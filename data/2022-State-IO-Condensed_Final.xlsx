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osJA\Desktop\"/>
    </mc:Choice>
  </mc:AlternateContent>
  <xr:revisionPtr revIDLastSave="0" documentId="8_{BA4BD1AD-605B-46F9-8460-22822C6BCD70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I-O condensed 2022" sheetId="8" r:id="rId1"/>
    <sheet name="output earning ML" sheetId="3" r:id="rId2"/>
    <sheet name="job ML" sheetId="6" r:id="rId3"/>
    <sheet name="direct req." sheetId="2" r:id="rId4"/>
    <sheet name="ttll req.- type 1" sheetId="4" r:id="rId5"/>
    <sheet name="ttl req. - type 2" sheetId="5" r:id="rId6"/>
  </sheets>
  <definedNames>
    <definedName name="_xlnm.Print_Area" localSheetId="3">'direct req.'!#REF!</definedName>
    <definedName name="_xlnm.Print_Area" localSheetId="0">'I-O condensed 2022'!$A$1:$G$37</definedName>
    <definedName name="_xlnm.Print_Area" localSheetId="2">'job ML'!$A$1:$M$26</definedName>
    <definedName name="_xlnm.Print_Area" localSheetId="1">'output earning ML'!#REF!</definedName>
    <definedName name="_xlnm.Print_Area" localSheetId="5">'ttl req. - type 2'!$A$1:$F$25</definedName>
    <definedName name="_xlnm.Print_Area" localSheetId="4">'ttll req.- type 1'!$B$1:$G$24</definedName>
    <definedName name="_xlnm.Print_Titles" localSheetId="0">'I-O condensed 2022'!$A:$B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5" i="4" l="1"/>
  <c r="F95" i="4"/>
  <c r="E95" i="4"/>
  <c r="D95" i="4"/>
  <c r="C95" i="4"/>
  <c r="G71" i="4"/>
  <c r="F71" i="4"/>
  <c r="E71" i="4"/>
  <c r="D71" i="4"/>
  <c r="C71" i="4"/>
  <c r="G49" i="4"/>
  <c r="F49" i="4"/>
  <c r="E49" i="4"/>
  <c r="D49" i="4"/>
  <c r="C49" i="4"/>
  <c r="G117" i="4"/>
  <c r="F117" i="4"/>
  <c r="E117" i="4"/>
  <c r="D117" i="4"/>
  <c r="C117" i="4"/>
  <c r="U26" i="3"/>
  <c r="T26" i="3"/>
  <c r="R26" i="3"/>
  <c r="Q26" i="3"/>
  <c r="P26" i="3"/>
  <c r="O26" i="3"/>
  <c r="N26" i="3"/>
  <c r="M26" i="3"/>
  <c r="L26" i="3"/>
  <c r="K26" i="3"/>
  <c r="J26" i="3"/>
  <c r="I26" i="3"/>
  <c r="G26" i="3"/>
  <c r="F26" i="3"/>
  <c r="D26" i="3"/>
  <c r="C26" i="3"/>
  <c r="CI26" i="6"/>
  <c r="CH26" i="6"/>
  <c r="CI25" i="6"/>
  <c r="CH25" i="6"/>
  <c r="CI24" i="6"/>
  <c r="CH24" i="6"/>
  <c r="CI23" i="6"/>
  <c r="CH23" i="6"/>
  <c r="CI22" i="6"/>
  <c r="CH22" i="6"/>
  <c r="CI21" i="6"/>
  <c r="CH21" i="6"/>
  <c r="CI20" i="6"/>
  <c r="CH20" i="6"/>
  <c r="CI19" i="6"/>
  <c r="CH19" i="6"/>
  <c r="CI18" i="6"/>
  <c r="CH18" i="6"/>
  <c r="CI17" i="6"/>
  <c r="CH17" i="6"/>
  <c r="CI16" i="6"/>
  <c r="CH16" i="6"/>
  <c r="CI15" i="6"/>
  <c r="CH15" i="6"/>
  <c r="CI14" i="6"/>
  <c r="CH14" i="6"/>
  <c r="CI13" i="6"/>
  <c r="CH13" i="6"/>
  <c r="CI12" i="6"/>
  <c r="CH12" i="6"/>
  <c r="CI11" i="6"/>
  <c r="CH11" i="6"/>
  <c r="CI10" i="6"/>
  <c r="CH10" i="6"/>
  <c r="CI9" i="6"/>
  <c r="CH9" i="6"/>
  <c r="CI8" i="6"/>
  <c r="CH8" i="6"/>
  <c r="CI7" i="6"/>
  <c r="CI27" i="6" s="1"/>
  <c r="CH7" i="6"/>
  <c r="CH27" i="6" s="1"/>
  <c r="CF26" i="6"/>
  <c r="CE26" i="6"/>
  <c r="CF25" i="6"/>
  <c r="CE25" i="6"/>
  <c r="CF24" i="6"/>
  <c r="CE24" i="6"/>
  <c r="CF23" i="6"/>
  <c r="CE23" i="6"/>
  <c r="CF22" i="6"/>
  <c r="CE22" i="6"/>
  <c r="CF21" i="6"/>
  <c r="CE21" i="6"/>
  <c r="CF20" i="6"/>
  <c r="CE20" i="6"/>
  <c r="CF19" i="6"/>
  <c r="CE19" i="6"/>
  <c r="CF18" i="6"/>
  <c r="CE18" i="6"/>
  <c r="CF17" i="6"/>
  <c r="CE17" i="6"/>
  <c r="CF16" i="6"/>
  <c r="CE16" i="6"/>
  <c r="CF15" i="6"/>
  <c r="CE15" i="6"/>
  <c r="CF14" i="6"/>
  <c r="CE14" i="6"/>
  <c r="CF13" i="6"/>
  <c r="CE13" i="6"/>
  <c r="CF12" i="6"/>
  <c r="CE12" i="6"/>
  <c r="CF11" i="6"/>
  <c r="CE11" i="6"/>
  <c r="CF10" i="6"/>
  <c r="CE10" i="6"/>
  <c r="CF9" i="6"/>
  <c r="CE9" i="6"/>
  <c r="CF8" i="6"/>
  <c r="CE8" i="6"/>
  <c r="CF7" i="6"/>
  <c r="CF27" i="6" s="1"/>
  <c r="CE7" i="6"/>
  <c r="CE27" i="6" s="1"/>
  <c r="CC26" i="6"/>
  <c r="CB26" i="6"/>
  <c r="CC25" i="6"/>
  <c r="CB25" i="6"/>
  <c r="CC24" i="6"/>
  <c r="CB24" i="6"/>
  <c r="CC23" i="6"/>
  <c r="CB23" i="6"/>
  <c r="CC22" i="6"/>
  <c r="CB22" i="6"/>
  <c r="CC21" i="6"/>
  <c r="CB21" i="6"/>
  <c r="CC20" i="6"/>
  <c r="CB20" i="6"/>
  <c r="CC19" i="6"/>
  <c r="CB19" i="6"/>
  <c r="CC18" i="6"/>
  <c r="CB18" i="6"/>
  <c r="CC17" i="6"/>
  <c r="CB17" i="6"/>
  <c r="CC16" i="6"/>
  <c r="CB16" i="6"/>
  <c r="CC15" i="6"/>
  <c r="CB15" i="6"/>
  <c r="CC14" i="6"/>
  <c r="CB14" i="6"/>
  <c r="CC13" i="6"/>
  <c r="CB13" i="6"/>
  <c r="CC12" i="6"/>
  <c r="CB12" i="6"/>
  <c r="CC11" i="6"/>
  <c r="CB11" i="6"/>
  <c r="CC10" i="6"/>
  <c r="CB10" i="6"/>
  <c r="CC9" i="6"/>
  <c r="CB9" i="6"/>
  <c r="CC8" i="6"/>
  <c r="CB8" i="6"/>
  <c r="CC7" i="6"/>
  <c r="CC27" i="6" s="1"/>
  <c r="CB7" i="6"/>
  <c r="CB27" i="6" s="1"/>
  <c r="BZ27" i="6"/>
  <c r="BY27" i="6"/>
  <c r="BZ7" i="6"/>
  <c r="BZ8" i="6"/>
  <c r="BZ9" i="6"/>
  <c r="BZ10" i="6"/>
  <c r="BZ11" i="6"/>
  <c r="BZ12" i="6"/>
  <c r="BZ13" i="6"/>
  <c r="BZ14" i="6"/>
  <c r="BZ15" i="6"/>
  <c r="BZ16" i="6"/>
  <c r="BZ17" i="6"/>
  <c r="BZ18" i="6"/>
  <c r="BZ19" i="6"/>
  <c r="BZ20" i="6"/>
  <c r="BZ21" i="6"/>
  <c r="BZ22" i="6"/>
  <c r="BZ23" i="6"/>
  <c r="BZ24" i="6"/>
  <c r="BZ25" i="6"/>
  <c r="BZ26" i="6"/>
  <c r="BY8" i="6"/>
  <c r="BY9" i="6"/>
  <c r="BY10" i="6"/>
  <c r="BY11" i="6"/>
  <c r="BY12" i="6"/>
  <c r="BY13" i="6"/>
  <c r="BY14" i="6"/>
  <c r="BY15" i="6"/>
  <c r="BY16" i="6"/>
  <c r="BY17" i="6"/>
  <c r="BY18" i="6"/>
  <c r="BY19" i="6"/>
  <c r="BY20" i="6"/>
  <c r="BY21" i="6"/>
  <c r="BY22" i="6"/>
  <c r="BY23" i="6"/>
  <c r="BY24" i="6"/>
  <c r="BY25" i="6"/>
  <c r="BY26" i="6"/>
  <c r="BY7" i="6"/>
  <c r="AS27" i="3"/>
  <c r="AR27" i="3"/>
  <c r="AH27" i="3"/>
  <c r="AI27" i="3"/>
  <c r="AJ27" i="3"/>
  <c r="AK27" i="3"/>
  <c r="AL27" i="3"/>
  <c r="AM27" i="3"/>
  <c r="AN27" i="3"/>
  <c r="AO27" i="3"/>
  <c r="AP27" i="3"/>
  <c r="AG27" i="3"/>
  <c r="AE27" i="3"/>
  <c r="AD27" i="3"/>
  <c r="AB27" i="3"/>
  <c r="AA27" i="3"/>
  <c r="AS25" i="3"/>
  <c r="AR25" i="3"/>
  <c r="AS24" i="3"/>
  <c r="AR24" i="3"/>
  <c r="AS23" i="3"/>
  <c r="AR23" i="3"/>
  <c r="AS22" i="3"/>
  <c r="AR22" i="3"/>
  <c r="AS21" i="3"/>
  <c r="AR21" i="3"/>
  <c r="AS20" i="3"/>
  <c r="AR20" i="3"/>
  <c r="AS19" i="3"/>
  <c r="AR19" i="3"/>
  <c r="AS18" i="3"/>
  <c r="AR18" i="3"/>
  <c r="AS17" i="3"/>
  <c r="AR17" i="3"/>
  <c r="AS16" i="3"/>
  <c r="AR16" i="3"/>
  <c r="AS15" i="3"/>
  <c r="AR15" i="3"/>
  <c r="AS14" i="3"/>
  <c r="AR14" i="3"/>
  <c r="AS13" i="3"/>
  <c r="AR13" i="3"/>
  <c r="AS12" i="3"/>
  <c r="AR12" i="3"/>
  <c r="AS11" i="3"/>
  <c r="AR11" i="3"/>
  <c r="AS10" i="3"/>
  <c r="AR10" i="3"/>
  <c r="AS9" i="3"/>
  <c r="AR9" i="3"/>
  <c r="AS8" i="3"/>
  <c r="AR8" i="3"/>
  <c r="AS7" i="3"/>
  <c r="AR7" i="3"/>
  <c r="AS6" i="3"/>
  <c r="AR6" i="3"/>
  <c r="AP25" i="3"/>
  <c r="AO25" i="3"/>
  <c r="AP24" i="3"/>
  <c r="AO24" i="3"/>
  <c r="AP23" i="3"/>
  <c r="AO23" i="3"/>
  <c r="AP22" i="3"/>
  <c r="AO22" i="3"/>
  <c r="AP21" i="3"/>
  <c r="AO21" i="3"/>
  <c r="AP20" i="3"/>
  <c r="AO20" i="3"/>
  <c r="AP19" i="3"/>
  <c r="AO19" i="3"/>
  <c r="AP18" i="3"/>
  <c r="AO18" i="3"/>
  <c r="AP17" i="3"/>
  <c r="AO17" i="3"/>
  <c r="AP16" i="3"/>
  <c r="AO16" i="3"/>
  <c r="AP15" i="3"/>
  <c r="AO15" i="3"/>
  <c r="AP14" i="3"/>
  <c r="AO14" i="3"/>
  <c r="AP13" i="3"/>
  <c r="AO13" i="3"/>
  <c r="AP12" i="3"/>
  <c r="AO12" i="3"/>
  <c r="AP11" i="3"/>
  <c r="AO11" i="3"/>
  <c r="AP10" i="3"/>
  <c r="AO10" i="3"/>
  <c r="AP9" i="3"/>
  <c r="AO9" i="3"/>
  <c r="AP8" i="3"/>
  <c r="AO8" i="3"/>
  <c r="AP7" i="3"/>
  <c r="AO7" i="3"/>
  <c r="AP6" i="3"/>
  <c r="AO6" i="3"/>
  <c r="AN25" i="3"/>
  <c r="AM25" i="3"/>
  <c r="AN24" i="3"/>
  <c r="AM24" i="3"/>
  <c r="AN23" i="3"/>
  <c r="AM23" i="3"/>
  <c r="AN22" i="3"/>
  <c r="AM22" i="3"/>
  <c r="AN21" i="3"/>
  <c r="AM21" i="3"/>
  <c r="AN20" i="3"/>
  <c r="AM20" i="3"/>
  <c r="AN19" i="3"/>
  <c r="AM19" i="3"/>
  <c r="AN18" i="3"/>
  <c r="AM18" i="3"/>
  <c r="AN17" i="3"/>
  <c r="AM17" i="3"/>
  <c r="AN16" i="3"/>
  <c r="AM16" i="3"/>
  <c r="AN15" i="3"/>
  <c r="AM15" i="3"/>
  <c r="AN14" i="3"/>
  <c r="AM14" i="3"/>
  <c r="AN13" i="3"/>
  <c r="AM13" i="3"/>
  <c r="AN12" i="3"/>
  <c r="AM12" i="3"/>
  <c r="AN11" i="3"/>
  <c r="AM11" i="3"/>
  <c r="AN10" i="3"/>
  <c r="AM10" i="3"/>
  <c r="AN9" i="3"/>
  <c r="AM9" i="3"/>
  <c r="AN8" i="3"/>
  <c r="AM8" i="3"/>
  <c r="AN7" i="3"/>
  <c r="AM7" i="3"/>
  <c r="AN6" i="3"/>
  <c r="AM6" i="3"/>
  <c r="AL25" i="3"/>
  <c r="AK25" i="3"/>
  <c r="AL24" i="3"/>
  <c r="AK24" i="3"/>
  <c r="AL23" i="3"/>
  <c r="AK23" i="3"/>
  <c r="AL22" i="3"/>
  <c r="AK22" i="3"/>
  <c r="AL21" i="3"/>
  <c r="AK21" i="3"/>
  <c r="AL20" i="3"/>
  <c r="AK20" i="3"/>
  <c r="AL19" i="3"/>
  <c r="AK19" i="3"/>
  <c r="AL18" i="3"/>
  <c r="AK18" i="3"/>
  <c r="AL17" i="3"/>
  <c r="AK17" i="3"/>
  <c r="AL16" i="3"/>
  <c r="AK16" i="3"/>
  <c r="AL15" i="3"/>
  <c r="AK15" i="3"/>
  <c r="AL14" i="3"/>
  <c r="AK14" i="3"/>
  <c r="AL13" i="3"/>
  <c r="AK13" i="3"/>
  <c r="AL12" i="3"/>
  <c r="AK12" i="3"/>
  <c r="AL11" i="3"/>
  <c r="AK11" i="3"/>
  <c r="AL10" i="3"/>
  <c r="AK10" i="3"/>
  <c r="AL9" i="3"/>
  <c r="AK9" i="3"/>
  <c r="AL8" i="3"/>
  <c r="AK8" i="3"/>
  <c r="AL7" i="3"/>
  <c r="AK7" i="3"/>
  <c r="AL6" i="3"/>
  <c r="AK6" i="3"/>
  <c r="AJ25" i="3"/>
  <c r="AI25" i="3"/>
  <c r="AJ24" i="3"/>
  <c r="AI24" i="3"/>
  <c r="AJ23" i="3"/>
  <c r="AI23" i="3"/>
  <c r="AJ22" i="3"/>
  <c r="AI22" i="3"/>
  <c r="AJ21" i="3"/>
  <c r="AI21" i="3"/>
  <c r="AJ20" i="3"/>
  <c r="AI20" i="3"/>
  <c r="AJ19" i="3"/>
  <c r="AI19" i="3"/>
  <c r="AJ18" i="3"/>
  <c r="AI18" i="3"/>
  <c r="AJ17" i="3"/>
  <c r="AI17" i="3"/>
  <c r="AJ16" i="3"/>
  <c r="AI16" i="3"/>
  <c r="AJ15" i="3"/>
  <c r="AI15" i="3"/>
  <c r="AJ14" i="3"/>
  <c r="AI14" i="3"/>
  <c r="AJ13" i="3"/>
  <c r="AI13" i="3"/>
  <c r="AJ12" i="3"/>
  <c r="AI12" i="3"/>
  <c r="AJ11" i="3"/>
  <c r="AI11" i="3"/>
  <c r="AJ10" i="3"/>
  <c r="AI10" i="3"/>
  <c r="AJ9" i="3"/>
  <c r="AI9" i="3"/>
  <c r="AJ8" i="3"/>
  <c r="AI8" i="3"/>
  <c r="AJ7" i="3"/>
  <c r="AI7" i="3"/>
  <c r="AJ6" i="3"/>
  <c r="AI6" i="3"/>
  <c r="AH25" i="3"/>
  <c r="AG25" i="3"/>
  <c r="AH24" i="3"/>
  <c r="AG24" i="3"/>
  <c r="AH23" i="3"/>
  <c r="AG23" i="3"/>
  <c r="AH22" i="3"/>
  <c r="AG22" i="3"/>
  <c r="AH21" i="3"/>
  <c r="AG21" i="3"/>
  <c r="AH20" i="3"/>
  <c r="AG20" i="3"/>
  <c r="AH19" i="3"/>
  <c r="AG19" i="3"/>
  <c r="AH18" i="3"/>
  <c r="AG18" i="3"/>
  <c r="AH17" i="3"/>
  <c r="AG17" i="3"/>
  <c r="AH16" i="3"/>
  <c r="AG16" i="3"/>
  <c r="AH15" i="3"/>
  <c r="AG15" i="3"/>
  <c r="AH14" i="3"/>
  <c r="AG14" i="3"/>
  <c r="AH13" i="3"/>
  <c r="AG13" i="3"/>
  <c r="AH12" i="3"/>
  <c r="AG12" i="3"/>
  <c r="AH11" i="3"/>
  <c r="AG11" i="3"/>
  <c r="AH10" i="3"/>
  <c r="AG10" i="3"/>
  <c r="AH9" i="3"/>
  <c r="AG9" i="3"/>
  <c r="AH8" i="3"/>
  <c r="AG8" i="3"/>
  <c r="AH7" i="3"/>
  <c r="AG7" i="3"/>
  <c r="AH6" i="3"/>
  <c r="AG6" i="3"/>
  <c r="AE25" i="3"/>
  <c r="AD25" i="3"/>
  <c r="AE24" i="3"/>
  <c r="AD24" i="3"/>
  <c r="AE23" i="3"/>
  <c r="AD23" i="3"/>
  <c r="AE22" i="3"/>
  <c r="AD22" i="3"/>
  <c r="AE21" i="3"/>
  <c r="AD21" i="3"/>
  <c r="AE20" i="3"/>
  <c r="AD20" i="3"/>
  <c r="AE19" i="3"/>
  <c r="AD19" i="3"/>
  <c r="AE18" i="3"/>
  <c r="AD18" i="3"/>
  <c r="AE17" i="3"/>
  <c r="AD17" i="3"/>
  <c r="AE16" i="3"/>
  <c r="AD16" i="3"/>
  <c r="AE15" i="3"/>
  <c r="AD15" i="3"/>
  <c r="AE14" i="3"/>
  <c r="AD14" i="3"/>
  <c r="AE13" i="3"/>
  <c r="AD13" i="3"/>
  <c r="AE12" i="3"/>
  <c r="AD12" i="3"/>
  <c r="AE11" i="3"/>
  <c r="AD11" i="3"/>
  <c r="AE10" i="3"/>
  <c r="AD10" i="3"/>
  <c r="AE9" i="3"/>
  <c r="AD9" i="3"/>
  <c r="AE8" i="3"/>
  <c r="AD8" i="3"/>
  <c r="AE7" i="3"/>
  <c r="AD7" i="3"/>
  <c r="AE6" i="3"/>
  <c r="AD6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6" i="3"/>
  <c r="AS26" i="8"/>
  <c r="AT26" i="8"/>
  <c r="AU26" i="8"/>
  <c r="AR26" i="8"/>
  <c r="AM26" i="8"/>
  <c r="AN26" i="8"/>
  <c r="AO26" i="8"/>
  <c r="AL26" i="8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C28" i="2"/>
  <c r="C27" i="2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C2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Binsheng Li</author>
  </authors>
  <commentList>
    <comment ref="W25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Binsheng Li:</t>
        </r>
        <r>
          <rPr>
            <sz val="8"/>
            <color indexed="81"/>
            <rFont val="Tahoma"/>
            <family val="2"/>
          </rPr>
          <t xml:space="preserve">
Dampening factor
</t>
        </r>
      </text>
    </comment>
  </commentList>
</comments>
</file>

<file path=xl/sharedStrings.xml><?xml version="1.0" encoding="utf-8"?>
<sst xmlns="http://schemas.openxmlformats.org/spreadsheetml/2006/main" count="593" uniqueCount="97">
  <si>
    <t>Industry</t>
  </si>
  <si>
    <t>Agriculture</t>
  </si>
  <si>
    <t>Construction</t>
  </si>
  <si>
    <t>Food processing</t>
  </si>
  <si>
    <t>Manufacturing</t>
  </si>
  <si>
    <t>Transportation</t>
  </si>
  <si>
    <t>Information</t>
  </si>
  <si>
    <t>Utilities</t>
  </si>
  <si>
    <t>Wholesale trade</t>
  </si>
  <si>
    <t>Retail trade</t>
  </si>
  <si>
    <t>Finance and insurance</t>
  </si>
  <si>
    <t>Real estate and rentals</t>
  </si>
  <si>
    <t>Professional services</t>
  </si>
  <si>
    <t>Business services</t>
  </si>
  <si>
    <t>Educational services</t>
  </si>
  <si>
    <t>Health services</t>
  </si>
  <si>
    <t>Arts, entertainment, and recreation</t>
  </si>
  <si>
    <t>Other services</t>
  </si>
  <si>
    <t>Government</t>
  </si>
  <si>
    <t>PCE</t>
  </si>
  <si>
    <t>State and local government</t>
  </si>
  <si>
    <t xml:space="preserve">Federal government: military </t>
  </si>
  <si>
    <t>Federal government: civilian</t>
  </si>
  <si>
    <t>Exports</t>
  </si>
  <si>
    <t>Output</t>
  </si>
  <si>
    <t>Imports</t>
  </si>
  <si>
    <t>Other capital costs</t>
  </si>
  <si>
    <t>Wage and salary jobs</t>
  </si>
  <si>
    <t>Total jobs</t>
  </si>
  <si>
    <t>Earnings</t>
  </si>
  <si>
    <t>Output multipliers</t>
  </si>
  <si>
    <t>Earnings multipliers</t>
  </si>
  <si>
    <t>Earnings/earnings multipliers</t>
  </si>
  <si>
    <t>Type 1</t>
  </si>
  <si>
    <t>Type 2</t>
  </si>
  <si>
    <t>Total job/total job multipliers</t>
  </si>
  <si>
    <t>Total job multipliers</t>
  </si>
  <si>
    <t xml:space="preserve">Type1 </t>
  </si>
  <si>
    <t>Eating and drinking places</t>
  </si>
  <si>
    <t>Accommodation</t>
  </si>
  <si>
    <t>Output multipliers (Type II)</t>
  </si>
  <si>
    <t>Earnings (household sector)</t>
  </si>
  <si>
    <t>PCE (HH sector)</t>
  </si>
  <si>
    <t>Total Output</t>
  </si>
  <si>
    <t>Total intermediate input</t>
  </si>
  <si>
    <t>Mining and Construction</t>
  </si>
  <si>
    <t>Other manufacturing</t>
  </si>
  <si>
    <t>Arts and entertainment</t>
  </si>
  <si>
    <t>Eating and drinking</t>
  </si>
  <si>
    <t>Total Interindustry demand</t>
  </si>
  <si>
    <t>Mining and construction</t>
  </si>
  <si>
    <t>Total Value added</t>
  </si>
  <si>
    <t>Final-demand multipliers</t>
  </si>
  <si>
    <t>Direct-effect multipliers</t>
  </si>
  <si>
    <t>W&amp;s/w&amp;s job multipliers</t>
  </si>
  <si>
    <t>W&amp;s job multipliers</t>
  </si>
  <si>
    <t>Gross private investment*</t>
  </si>
  <si>
    <t xml:space="preserve">  Compensation of employees</t>
  </si>
  <si>
    <t xml:space="preserve">  Proprietor's income</t>
  </si>
  <si>
    <t>Proprietors' jobs</t>
  </si>
  <si>
    <t>Visitor expenditures</t>
  </si>
  <si>
    <t>TOPILS</t>
  </si>
  <si>
    <t>Earnings (RIMS II)</t>
  </si>
  <si>
    <t>State total taxes</t>
  </si>
  <si>
    <t>State individual income tax</t>
  </si>
  <si>
    <t>State GET</t>
  </si>
  <si>
    <t>State TAT</t>
  </si>
  <si>
    <t>State other taxes</t>
  </si>
  <si>
    <t>State GET multipliers</t>
  </si>
  <si>
    <t>State TAT multipliers</t>
  </si>
  <si>
    <t>State Other Taxes multipliers</t>
  </si>
  <si>
    <t>type 1</t>
  </si>
  <si>
    <t>type 2</t>
  </si>
  <si>
    <t>State individual income tax multipliers</t>
  </si>
  <si>
    <t>State total tax multipliers</t>
  </si>
  <si>
    <t>State average</t>
  </si>
  <si>
    <t>State weighted average 1/</t>
  </si>
  <si>
    <t>1/ Output as weight.</t>
  </si>
  <si>
    <t xml:space="preserve"> State weighted average 1/</t>
  </si>
  <si>
    <t>1/ Job as weight.</t>
  </si>
  <si>
    <t>Earnings (Labor income)</t>
  </si>
  <si>
    <t>Note. TOPILS = Taxes on production and imports less subsidies.</t>
  </si>
  <si>
    <t>2022 Condensed Input-Output Transactions Table for Hawaii (in $million except for employment, which is number of jobs)</t>
  </si>
  <si>
    <t>2022 Condensed Output, Earnings, State Tax, and Employment Multipliers for Hawaii</t>
  </si>
  <si>
    <t>2022 Condensed Type I and II Employment Multipliers for Hawaii</t>
  </si>
  <si>
    <t>2022 direct requirements table (condensed version)</t>
  </si>
  <si>
    <t>2022 type 1 total requirements table (condensed version)</t>
  </si>
  <si>
    <t>2022 type 2 total requirements table (condensed version)</t>
  </si>
  <si>
    <t>Total Hawaii produced</t>
  </si>
  <si>
    <t>Total</t>
  </si>
  <si>
    <t>Federal government: defense</t>
  </si>
  <si>
    <t>Federal government: nondefense</t>
  </si>
  <si>
    <t>*  Includes inventory variation</t>
  </si>
  <si>
    <t>Value Added</t>
  </si>
  <si>
    <t>Final-demand multipliers for state tax</t>
  </si>
  <si>
    <t>Output share</t>
  </si>
  <si>
    <t>Output multipliers (Type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</si>
</sst>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#,##0.0"/>
    <numFmt numFmtId="165" formatCode="0.00000"/>
    <numFmt numFmtId="166" formatCode="0.0"/>
    <numFmt numFmtId="167" formatCode="_(* #,##0.0_);_(* \(#,##0.0\);_(* &quot;-&quot;??_);_(@_)"/>
    <numFmt numFmtId="168" formatCode="0.0000"/>
    <numFmt numFmtId="169" formatCode="_(* #,##0.0000_);_(* \(#,##0.0000\);_(* &quot;-&quot;??_);_(@_)"/>
    <numFmt numFmtId="170" formatCode="_(* #,##0.0000_);_(* \(#,##0.0000\);_(* &quot;-&quot;????_);_(@_)"/>
    <numFmt numFmtId="171" formatCode="0.000"/>
    <numFmt numFmtId="172" formatCode="0.0%"/>
    <numFmt numFmtId="173" formatCode="_(* #,##0.000_);_(* \(#,##0.000\);_(* &quot;-&quot;??_);_(@_)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4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70">
    <xf numFmtId="0" fontId="0" fillId="0" borderId="0" xfId="0"/>
    <xf numFmtId="0" fontId="0" fillId="0" borderId="2" xfId="0" applyBorder="1" applyAlignment="1">
      <alignment horizontal="right" wrapText="1"/>
    </xf>
    <xf numFmtId="0" fontId="0" fillId="0" borderId="3" xfId="0" applyBorder="1"/>
    <xf numFmtId="4" fontId="0" fillId="0" borderId="0" xfId="0" applyNumberFormat="1"/>
    <xf numFmtId="0" fontId="0" fillId="0" borderId="4" xfId="0" applyBorder="1"/>
    <xf numFmtId="3" fontId="0" fillId="0" borderId="4" xfId="0" applyNumberFormat="1" applyBorder="1"/>
    <xf numFmtId="3" fontId="0" fillId="0" borderId="0" xfId="0" applyNumberFormat="1"/>
    <xf numFmtId="0" fontId="0" fillId="0" borderId="0" xfId="0" applyAlignment="1">
      <alignment horizontal="right" wrapText="1"/>
    </xf>
    <xf numFmtId="165" fontId="0" fillId="0" borderId="0" xfId="0" applyNumberFormat="1"/>
    <xf numFmtId="0" fontId="0" fillId="0" borderId="2" xfId="0" applyBorder="1"/>
    <xf numFmtId="0" fontId="0" fillId="0" borderId="6" xfId="0" applyBorder="1"/>
    <xf numFmtId="2" fontId="0" fillId="0" borderId="0" xfId="0" applyNumberFormat="1"/>
    <xf numFmtId="0" fontId="0" fillId="0" borderId="8" xfId="0" applyBorder="1"/>
    <xf numFmtId="0" fontId="0" fillId="0" borderId="4" xfId="0" applyBorder="1" applyAlignment="1">
      <alignment horizontal="center" wrapText="1"/>
    </xf>
    <xf numFmtId="43" fontId="0" fillId="0" borderId="0" xfId="1" applyFont="1"/>
    <xf numFmtId="0" fontId="0" fillId="0" borderId="8" xfId="0" applyBorder="1" applyAlignment="1">
      <alignment horizontal="center" wrapText="1"/>
    </xf>
    <xf numFmtId="167" fontId="0" fillId="0" borderId="0" xfId="1" applyNumberFormat="1" applyFont="1" applyFill="1" applyBorder="1"/>
    <xf numFmtId="0" fontId="2" fillId="0" borderId="0" xfId="0" applyFont="1"/>
    <xf numFmtId="43" fontId="0" fillId="0" borderId="0" xfId="0" applyNumberFormat="1"/>
    <xf numFmtId="164" fontId="0" fillId="0" borderId="4" xfId="1" applyNumberFormat="1" applyFont="1" applyFill="1" applyBorder="1"/>
    <xf numFmtId="164" fontId="0" fillId="0" borderId="6" xfId="1" applyNumberFormat="1" applyFont="1" applyFill="1" applyBorder="1"/>
    <xf numFmtId="164" fontId="0" fillId="0" borderId="0" xfId="1" applyNumberFormat="1" applyFont="1" applyFill="1" applyBorder="1"/>
    <xf numFmtId="164" fontId="0" fillId="0" borderId="2" xfId="1" applyNumberFormat="1" applyFont="1" applyFill="1" applyBorder="1"/>
    <xf numFmtId="164" fontId="0" fillId="0" borderId="0" xfId="0" applyNumberFormat="1"/>
    <xf numFmtId="0" fontId="6" fillId="0" borderId="0" xfId="0" applyFont="1"/>
    <xf numFmtId="0" fontId="0" fillId="0" borderId="1" xfId="0" applyBorder="1"/>
    <xf numFmtId="165" fontId="0" fillId="0" borderId="2" xfId="0" applyNumberFormat="1" applyBorder="1"/>
    <xf numFmtId="165" fontId="0" fillId="0" borderId="5" xfId="0" applyNumberFormat="1" applyBorder="1"/>
    <xf numFmtId="0" fontId="3" fillId="0" borderId="1" xfId="0" applyFont="1" applyBorder="1"/>
    <xf numFmtId="2" fontId="3" fillId="0" borderId="2" xfId="0" applyNumberFormat="1" applyFont="1" applyBorder="1"/>
    <xf numFmtId="0" fontId="1" fillId="0" borderId="0" xfId="0" applyFont="1"/>
    <xf numFmtId="0" fontId="1" fillId="0" borderId="4" xfId="0" applyFont="1" applyBorder="1"/>
    <xf numFmtId="0" fontId="7" fillId="0" borderId="0" xfId="0" applyFont="1"/>
    <xf numFmtId="164" fontId="1" fillId="0" borderId="0" xfId="1" applyNumberFormat="1" applyFont="1" applyFill="1" applyBorder="1"/>
    <xf numFmtId="3" fontId="0" fillId="0" borderId="0" xfId="1" applyNumberFormat="1" applyFont="1" applyFill="1" applyBorder="1"/>
    <xf numFmtId="0" fontId="0" fillId="0" borderId="2" xfId="0" applyBorder="1" applyAlignment="1">
      <alignment horizontal="center" wrapText="1"/>
    </xf>
    <xf numFmtId="3" fontId="0" fillId="0" borderId="4" xfId="1" applyNumberFormat="1" applyFont="1" applyFill="1" applyBorder="1"/>
    <xf numFmtId="3" fontId="1" fillId="0" borderId="0" xfId="1" applyNumberFormat="1" applyFont="1" applyFill="1" applyBorder="1"/>
    <xf numFmtId="172" fontId="0" fillId="0" borderId="0" xfId="2" applyNumberFormat="1" applyFont="1"/>
    <xf numFmtId="0" fontId="6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right" wrapText="1"/>
    </xf>
    <xf numFmtId="165" fontId="3" fillId="2" borderId="0" xfId="0" applyNumberFormat="1" applyFont="1" applyFill="1"/>
    <xf numFmtId="0" fontId="1" fillId="2" borderId="0" xfId="0" applyFont="1" applyFill="1"/>
    <xf numFmtId="43" fontId="3" fillId="2" borderId="0" xfId="1" applyFont="1" applyFill="1" applyBorder="1"/>
    <xf numFmtId="0" fontId="2" fillId="2" borderId="0" xfId="0" applyFont="1" applyFill="1"/>
    <xf numFmtId="0" fontId="0" fillId="2" borderId="0" xfId="0" applyFill="1"/>
    <xf numFmtId="0" fontId="0" fillId="2" borderId="2" xfId="0" applyFill="1" applyBorder="1" applyAlignment="1">
      <alignment horizontal="right" wrapText="1"/>
    </xf>
    <xf numFmtId="0" fontId="0" fillId="2" borderId="0" xfId="0" applyFill="1" applyAlignment="1">
      <alignment horizontal="right" wrapText="1"/>
    </xf>
    <xf numFmtId="0" fontId="0" fillId="2" borderId="3" xfId="0" applyFill="1" applyBorder="1"/>
    <xf numFmtId="165" fontId="0" fillId="2" borderId="0" xfId="0" applyNumberFormat="1" applyFill="1"/>
    <xf numFmtId="4" fontId="0" fillId="2" borderId="0" xfId="0" applyNumberFormat="1" applyFill="1"/>
    <xf numFmtId="2" fontId="2" fillId="2" borderId="2" xfId="0" applyNumberFormat="1" applyFont="1" applyFill="1" applyBorder="1"/>
    <xf numFmtId="2" fontId="0" fillId="2" borderId="0" xfId="0" applyNumberFormat="1" applyFill="1"/>
    <xf numFmtId="43" fontId="0" fillId="2" borderId="0" xfId="1" applyFont="1" applyFill="1"/>
    <xf numFmtId="0" fontId="0" fillId="2" borderId="4" xfId="0" applyFill="1" applyBorder="1"/>
    <xf numFmtId="0" fontId="0" fillId="2" borderId="0" xfId="0" applyFill="1" applyAlignment="1">
      <alignment wrapText="1"/>
    </xf>
    <xf numFmtId="0" fontId="3" fillId="2" borderId="4" xfId="0" applyFont="1" applyFill="1" applyBorder="1" applyAlignment="1">
      <alignment wrapText="1"/>
    </xf>
    <xf numFmtId="0" fontId="3" fillId="2" borderId="4" xfId="0" applyFont="1" applyFill="1" applyBorder="1"/>
    <xf numFmtId="0" fontId="1" fillId="2" borderId="4" xfId="0" applyFont="1" applyFill="1" applyBorder="1"/>
    <xf numFmtId="166" fontId="0" fillId="2" borderId="4" xfId="0" applyNumberFormat="1" applyFill="1" applyBorder="1"/>
    <xf numFmtId="0" fontId="3" fillId="2" borderId="11" xfId="0" applyFont="1" applyFill="1" applyBorder="1"/>
    <xf numFmtId="0" fontId="3" fillId="2" borderId="1" xfId="0" applyFont="1" applyFill="1" applyBorder="1"/>
    <xf numFmtId="0" fontId="0" fillId="2" borderId="11" xfId="0" applyFill="1" applyBorder="1"/>
    <xf numFmtId="0" fontId="0" fillId="2" borderId="1" xfId="0" applyFill="1" applyBorder="1"/>
    <xf numFmtId="0" fontId="0" fillId="2" borderId="5" xfId="0" applyFill="1" applyBorder="1"/>
    <xf numFmtId="166" fontId="0" fillId="2" borderId="0" xfId="0" applyNumberFormat="1" applyFill="1"/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 wrapText="1"/>
    </xf>
    <xf numFmtId="0" fontId="3" fillId="2" borderId="14" xfId="0" applyFont="1" applyFill="1" applyBorder="1" applyAlignment="1">
      <alignment horizontal="right"/>
    </xf>
    <xf numFmtId="0" fontId="3" fillId="2" borderId="15" xfId="0" applyFont="1" applyFill="1" applyBorder="1" applyAlignment="1">
      <alignment horizontal="right"/>
    </xf>
    <xf numFmtId="0" fontId="3" fillId="2" borderId="0" xfId="0" applyFont="1" applyFill="1" applyAlignment="1">
      <alignment horizontal="right"/>
    </xf>
    <xf numFmtId="0" fontId="0" fillId="2" borderId="14" xfId="0" applyFill="1" applyBorder="1" applyAlignment="1">
      <alignment horizontal="right"/>
    </xf>
    <xf numFmtId="0" fontId="0" fillId="2" borderId="15" xfId="0" applyFill="1" applyBorder="1" applyAlignment="1">
      <alignment horizontal="right"/>
    </xf>
    <xf numFmtId="2" fontId="0" fillId="2" borderId="12" xfId="0" applyNumberFormat="1" applyFill="1" applyBorder="1"/>
    <xf numFmtId="2" fontId="0" fillId="2" borderId="13" xfId="0" applyNumberFormat="1" applyFill="1" applyBorder="1"/>
    <xf numFmtId="2" fontId="3" fillId="2" borderId="0" xfId="1" applyNumberFormat="1" applyFont="1" applyFill="1" applyBorder="1"/>
    <xf numFmtId="43" fontId="0" fillId="2" borderId="0" xfId="1" applyFont="1" applyFill="1" applyBorder="1"/>
    <xf numFmtId="2" fontId="0" fillId="2" borderId="10" xfId="0" applyNumberFormat="1" applyFill="1" applyBorder="1"/>
    <xf numFmtId="2" fontId="0" fillId="2" borderId="7" xfId="0" applyNumberFormat="1" applyFill="1" applyBorder="1"/>
    <xf numFmtId="2" fontId="3" fillId="2" borderId="7" xfId="1" applyNumberFormat="1" applyFont="1" applyFill="1" applyBorder="1"/>
    <xf numFmtId="0" fontId="0" fillId="2" borderId="6" xfId="0" applyFill="1" applyBorder="1"/>
    <xf numFmtId="0" fontId="1" fillId="2" borderId="6" xfId="0" applyFont="1" applyFill="1" applyBorder="1"/>
    <xf numFmtId="43" fontId="3" fillId="2" borderId="11" xfId="1" applyFont="1" applyFill="1" applyBorder="1"/>
    <xf numFmtId="43" fontId="3" fillId="2" borderId="6" xfId="1" applyFont="1" applyFill="1" applyBorder="1"/>
    <xf numFmtId="167" fontId="3" fillId="2" borderId="11" xfId="1" applyNumberFormat="1" applyFont="1" applyFill="1" applyBorder="1"/>
    <xf numFmtId="167" fontId="3" fillId="2" borderId="5" xfId="1" applyNumberFormat="1" applyFont="1" applyFill="1" applyBorder="1"/>
    <xf numFmtId="167" fontId="3" fillId="2" borderId="6" xfId="1" applyNumberFormat="1" applyFont="1" applyFill="1" applyBorder="1"/>
    <xf numFmtId="167" fontId="0" fillId="2" borderId="0" xfId="1" applyNumberFormat="1" applyFont="1" applyFill="1"/>
    <xf numFmtId="167" fontId="0" fillId="2" borderId="6" xfId="1" applyNumberFormat="1" applyFont="1" applyFill="1" applyBorder="1"/>
    <xf numFmtId="0" fontId="0" fillId="2" borderId="4" xfId="0" applyFill="1" applyBorder="1" applyAlignment="1">
      <alignment wrapText="1"/>
    </xf>
    <xf numFmtId="0" fontId="0" fillId="2" borderId="5" xfId="0" applyFill="1" applyBorder="1" applyAlignment="1">
      <alignment horizontal="center" wrapText="1"/>
    </xf>
    <xf numFmtId="0" fontId="0" fillId="2" borderId="11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2" fontId="0" fillId="2" borderId="14" xfId="0" applyNumberFormat="1" applyFill="1" applyBorder="1"/>
    <xf numFmtId="2" fontId="0" fillId="2" borderId="15" xfId="0" applyNumberFormat="1" applyFill="1" applyBorder="1"/>
    <xf numFmtId="171" fontId="0" fillId="2" borderId="14" xfId="0" applyNumberFormat="1" applyFill="1" applyBorder="1"/>
    <xf numFmtId="171" fontId="0" fillId="2" borderId="15" xfId="0" applyNumberFormat="1" applyFill="1" applyBorder="1"/>
    <xf numFmtId="168" fontId="0" fillId="2" borderId="14" xfId="0" applyNumberFormat="1" applyFill="1" applyBorder="1"/>
    <xf numFmtId="168" fontId="0" fillId="2" borderId="15" xfId="0" applyNumberFormat="1" applyFill="1" applyBorder="1"/>
    <xf numFmtId="43" fontId="0" fillId="2" borderId="14" xfId="1" applyFont="1" applyFill="1" applyBorder="1"/>
    <xf numFmtId="43" fontId="0" fillId="2" borderId="8" xfId="1" applyFont="1" applyFill="1" applyBorder="1"/>
    <xf numFmtId="171" fontId="0" fillId="2" borderId="12" xfId="0" applyNumberFormat="1" applyFill="1" applyBorder="1"/>
    <xf numFmtId="171" fontId="0" fillId="2" borderId="13" xfId="0" applyNumberFormat="1" applyFill="1" applyBorder="1"/>
    <xf numFmtId="168" fontId="0" fillId="2" borderId="12" xfId="0" applyNumberFormat="1" applyFill="1" applyBorder="1"/>
    <xf numFmtId="168" fontId="0" fillId="2" borderId="13" xfId="0" applyNumberFormat="1" applyFill="1" applyBorder="1"/>
    <xf numFmtId="43" fontId="0" fillId="2" borderId="12" xfId="1" applyFont="1" applyFill="1" applyBorder="1"/>
    <xf numFmtId="43" fontId="0" fillId="2" borderId="3" xfId="1" applyFont="1" applyFill="1" applyBorder="1"/>
    <xf numFmtId="171" fontId="0" fillId="2" borderId="10" xfId="0" applyNumberFormat="1" applyFill="1" applyBorder="1"/>
    <xf numFmtId="171" fontId="0" fillId="2" borderId="7" xfId="0" applyNumberFormat="1" applyFill="1" applyBorder="1"/>
    <xf numFmtId="168" fontId="0" fillId="2" borderId="10" xfId="0" applyNumberFormat="1" applyFill="1" applyBorder="1"/>
    <xf numFmtId="168" fontId="0" fillId="2" borderId="7" xfId="0" applyNumberFormat="1" applyFill="1" applyBorder="1"/>
    <xf numFmtId="43" fontId="0" fillId="2" borderId="10" xfId="1" applyFont="1" applyFill="1" applyBorder="1"/>
    <xf numFmtId="43" fontId="0" fillId="2" borderId="9" xfId="1" applyFont="1" applyFill="1" applyBorder="1"/>
    <xf numFmtId="0" fontId="0" fillId="2" borderId="14" xfId="0" applyFill="1" applyBorder="1"/>
    <xf numFmtId="43" fontId="2" fillId="2" borderId="4" xfId="1" applyFont="1" applyFill="1" applyBorder="1"/>
    <xf numFmtId="169" fontId="2" fillId="2" borderId="14" xfId="1" applyNumberFormat="1" applyFont="1" applyFill="1" applyBorder="1"/>
    <xf numFmtId="169" fontId="2" fillId="2" borderId="15" xfId="1" applyNumberFormat="1" applyFont="1" applyFill="1" applyBorder="1"/>
    <xf numFmtId="169" fontId="2" fillId="2" borderId="4" xfId="1" applyNumberFormat="1" applyFont="1" applyFill="1" applyBorder="1"/>
    <xf numFmtId="168" fontId="2" fillId="2" borderId="14" xfId="1" applyNumberFormat="1" applyFont="1" applyFill="1" applyBorder="1"/>
    <xf numFmtId="168" fontId="2" fillId="2" borderId="8" xfId="1" applyNumberFormat="1" applyFont="1" applyFill="1" applyBorder="1"/>
    <xf numFmtId="43" fontId="2" fillId="2" borderId="14" xfId="1" applyFont="1" applyFill="1" applyBorder="1"/>
    <xf numFmtId="43" fontId="2" fillId="2" borderId="8" xfId="1" applyFont="1" applyFill="1" applyBorder="1"/>
    <xf numFmtId="0" fontId="0" fillId="2" borderId="10" xfId="0" applyFill="1" applyBorder="1"/>
    <xf numFmtId="43" fontId="2" fillId="2" borderId="6" xfId="1" applyFont="1" applyFill="1" applyBorder="1"/>
    <xf numFmtId="43" fontId="2" fillId="2" borderId="10" xfId="1" applyFont="1" applyFill="1" applyBorder="1"/>
    <xf numFmtId="43" fontId="2" fillId="2" borderId="7" xfId="1" applyFont="1" applyFill="1" applyBorder="1"/>
    <xf numFmtId="170" fontId="0" fillId="2" borderId="0" xfId="0" applyNumberFormat="1" applyFill="1"/>
    <xf numFmtId="0" fontId="3" fillId="2" borderId="2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center" wrapText="1"/>
    </xf>
    <xf numFmtId="165" fontId="3" fillId="2" borderId="4" xfId="0" applyNumberFormat="1" applyFont="1" applyFill="1" applyBorder="1"/>
    <xf numFmtId="0" fontId="3" fillId="2" borderId="6" xfId="0" applyFont="1" applyFill="1" applyBorder="1"/>
    <xf numFmtId="165" fontId="3" fillId="2" borderId="6" xfId="0" applyNumberFormat="1" applyFont="1" applyFill="1" applyBorder="1"/>
    <xf numFmtId="0" fontId="1" fillId="2" borderId="2" xfId="0" applyFont="1" applyFill="1" applyBorder="1" applyAlignment="1">
      <alignment horizontal="right" wrapText="1"/>
    </xf>
    <xf numFmtId="0" fontId="2" fillId="2" borderId="5" xfId="0" applyFont="1" applyFill="1" applyBorder="1"/>
    <xf numFmtId="0" fontId="0" fillId="2" borderId="2" xfId="0" applyFill="1" applyBorder="1"/>
    <xf numFmtId="164" fontId="0" fillId="0" borderId="2" xfId="0" applyNumberFormat="1" applyBorder="1"/>
    <xf numFmtId="171" fontId="0" fillId="2" borderId="0" xfId="0" applyNumberFormat="1" applyFill="1"/>
    <xf numFmtId="173" fontId="2" fillId="2" borderId="14" xfId="1" applyNumberFormat="1" applyFont="1" applyFill="1" applyBorder="1"/>
    <xf numFmtId="173" fontId="2" fillId="2" borderId="15" xfId="1" applyNumberFormat="1" applyFont="1" applyFill="1" applyBorder="1"/>
    <xf numFmtId="173" fontId="2" fillId="2" borderId="4" xfId="1" applyNumberFormat="1" applyFont="1" applyFill="1" applyBorder="1"/>
    <xf numFmtId="173" fontId="2" fillId="2" borderId="10" xfId="1" applyNumberFormat="1" applyFont="1" applyFill="1" applyBorder="1"/>
    <xf numFmtId="173" fontId="2" fillId="2" borderId="7" xfId="1" applyNumberFormat="1" applyFont="1" applyFill="1" applyBorder="1"/>
    <xf numFmtId="173" fontId="2" fillId="2" borderId="6" xfId="1" applyNumberFormat="1" applyFont="1" applyFill="1" applyBorder="1"/>
    <xf numFmtId="173" fontId="0" fillId="2" borderId="6" xfId="0" applyNumberFormat="1" applyFill="1" applyBorder="1"/>
    <xf numFmtId="43" fontId="3" fillId="2" borderId="1" xfId="1" applyFont="1" applyFill="1" applyBorder="1"/>
    <xf numFmtId="43" fontId="2" fillId="2" borderId="15" xfId="1" applyFont="1" applyFill="1" applyBorder="1"/>
    <xf numFmtId="0" fontId="2" fillId="2" borderId="14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F8F8F8"/>
      <color rgb="FFCCCC00"/>
      <color rgb="FFCCFF66"/>
      <color rgb="FFFF99CC"/>
      <color rgb="FFFFCCFF"/>
      <color rgb="FF66FFCC"/>
      <color rgb="FFE3D4E8"/>
      <color rgb="FF00CC66"/>
      <color rgb="FF33CCCC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B74C0-2656-476E-B3CE-57CDAFCF04A0}">
  <dimension ref="A1:AU47"/>
  <sheetViews>
    <sheetView showGridLines="0" zoomScale="104" zoomScaleNormal="104" workbookViewId="0">
      <pane xSplit="2" ySplit="3" topLeftCell="C22" activePane="bottomRight" state="frozen"/>
      <selection pane="topRight" activeCell="C1" sqref="C1"/>
      <selection pane="bottomLeft" activeCell="A4" sqref="A4"/>
      <selection pane="bottomRight" activeCell="F31" sqref="F31"/>
    </sheetView>
  </sheetViews>
  <sheetFormatPr defaultRowHeight="12.5" x14ac:dyDescent="0.25"/>
  <cols>
    <col min="1" max="1" width="3" customWidth="1"/>
    <col min="2" max="2" width="32.81640625" customWidth="1"/>
    <col min="3" max="3" width="11.81640625" customWidth="1"/>
    <col min="4" max="4" width="12.81640625" customWidth="1"/>
    <col min="5" max="5" width="10.54296875" customWidth="1"/>
    <col min="6" max="6" width="13.54296875" customWidth="1"/>
    <col min="7" max="7" width="14" customWidth="1"/>
    <col min="8" max="8" width="11.81640625" customWidth="1"/>
    <col min="9" max="9" width="8.54296875" customWidth="1"/>
    <col min="10" max="10" width="10" customWidth="1"/>
    <col min="11" max="11" width="8.7265625" customWidth="1"/>
    <col min="12" max="12" width="11.1796875" customWidth="1"/>
    <col min="13" max="13" width="11.453125" customWidth="1"/>
    <col min="14" max="17" width="12" customWidth="1"/>
    <col min="18" max="18" width="13.08984375" customWidth="1"/>
    <col min="19" max="19" width="14.7265625" customWidth="1"/>
    <col min="20" max="20" width="12.26953125" customWidth="1"/>
    <col min="21" max="22" width="11.54296875" customWidth="1"/>
    <col min="23" max="23" width="12.7265625" customWidth="1"/>
    <col min="24" max="27" width="15.1796875" customWidth="1"/>
    <col min="28" max="31" width="15" customWidth="1"/>
    <col min="36" max="36" width="4.1796875" customWidth="1"/>
    <col min="37" max="37" width="26.6328125" customWidth="1"/>
    <col min="38" max="38" width="15.453125" customWidth="1"/>
    <col min="39" max="39" width="17.7265625" bestFit="1" customWidth="1"/>
    <col min="40" max="40" width="19" customWidth="1"/>
    <col min="41" max="41" width="19.90625" customWidth="1"/>
    <col min="42" max="42" width="5" customWidth="1"/>
    <col min="43" max="43" width="30.7265625" customWidth="1"/>
    <col min="44" max="44" width="19.36328125" customWidth="1"/>
    <col min="45" max="45" width="18.26953125" customWidth="1"/>
    <col min="46" max="46" width="14.08984375" customWidth="1"/>
    <col min="47" max="47" width="13.36328125" customWidth="1"/>
    <col min="48" max="61" width="24.1796875" customWidth="1"/>
  </cols>
  <sheetData>
    <row r="1" spans="1:47" ht="13" x14ac:dyDescent="0.3">
      <c r="A1" s="17" t="s">
        <v>82</v>
      </c>
      <c r="H1" s="18"/>
      <c r="N1" s="38"/>
      <c r="W1" s="18"/>
      <c r="X1" s="18"/>
    </row>
    <row r="2" spans="1:47" ht="13" x14ac:dyDescent="0.3">
      <c r="A2" s="17"/>
      <c r="C2" s="23"/>
      <c r="H2" s="18"/>
      <c r="W2" s="18"/>
      <c r="X2" s="18"/>
      <c r="AE2" s="23"/>
    </row>
    <row r="3" spans="1:47" ht="42" customHeight="1" x14ac:dyDescent="0.25">
      <c r="A3" s="4"/>
      <c r="B3" s="13" t="s">
        <v>0</v>
      </c>
      <c r="C3" s="35" t="s">
        <v>1</v>
      </c>
      <c r="D3" s="13" t="s">
        <v>45</v>
      </c>
      <c r="E3" s="13" t="s">
        <v>3</v>
      </c>
      <c r="F3" s="13" t="s">
        <v>46</v>
      </c>
      <c r="G3" s="13" t="s">
        <v>5</v>
      </c>
      <c r="H3" s="13" t="s">
        <v>6</v>
      </c>
      <c r="I3" s="13" t="s">
        <v>7</v>
      </c>
      <c r="J3" s="13" t="s">
        <v>8</v>
      </c>
      <c r="K3" s="13" t="s">
        <v>9</v>
      </c>
      <c r="L3" s="13" t="s">
        <v>10</v>
      </c>
      <c r="M3" s="13" t="s">
        <v>11</v>
      </c>
      <c r="N3" s="13" t="s">
        <v>12</v>
      </c>
      <c r="O3" s="13" t="s">
        <v>13</v>
      </c>
      <c r="P3" s="13" t="s">
        <v>14</v>
      </c>
      <c r="Q3" s="13" t="s">
        <v>15</v>
      </c>
      <c r="R3" s="13" t="s">
        <v>47</v>
      </c>
      <c r="S3" s="13" t="s">
        <v>39</v>
      </c>
      <c r="T3" s="13" t="s">
        <v>48</v>
      </c>
      <c r="U3" s="13" t="s">
        <v>17</v>
      </c>
      <c r="V3" s="13" t="s">
        <v>18</v>
      </c>
      <c r="W3" s="13" t="s">
        <v>49</v>
      </c>
      <c r="X3" s="13" t="s">
        <v>19</v>
      </c>
      <c r="Y3" s="13" t="s">
        <v>60</v>
      </c>
      <c r="Z3" s="13" t="s">
        <v>56</v>
      </c>
      <c r="AA3" s="13" t="s">
        <v>20</v>
      </c>
      <c r="AB3" s="13" t="s">
        <v>21</v>
      </c>
      <c r="AC3" s="13" t="s">
        <v>22</v>
      </c>
      <c r="AD3" s="13" t="s">
        <v>23</v>
      </c>
      <c r="AE3" s="13" t="s">
        <v>43</v>
      </c>
      <c r="AJ3" s="4"/>
      <c r="AK3" s="4"/>
      <c r="AL3" s="13" t="s">
        <v>19</v>
      </c>
      <c r="AM3" s="13" t="s">
        <v>60</v>
      </c>
      <c r="AN3" s="13" t="s">
        <v>56</v>
      </c>
      <c r="AO3" s="13" t="s">
        <v>20</v>
      </c>
      <c r="AP3" s="13"/>
      <c r="AQ3" s="13"/>
      <c r="AR3" s="13" t="s">
        <v>90</v>
      </c>
      <c r="AS3" s="13" t="s">
        <v>91</v>
      </c>
      <c r="AT3" s="13" t="s">
        <v>23</v>
      </c>
      <c r="AU3" s="13" t="s">
        <v>43</v>
      </c>
    </row>
    <row r="4" spans="1:47" x14ac:dyDescent="0.25">
      <c r="A4" s="4">
        <v>1</v>
      </c>
      <c r="B4" s="4" t="s">
        <v>1</v>
      </c>
      <c r="C4" s="21">
        <v>71.410327775163012</v>
      </c>
      <c r="D4" s="19">
        <v>12.0552183636146</v>
      </c>
      <c r="E4" s="19">
        <v>77.153207384965867</v>
      </c>
      <c r="F4" s="19">
        <v>3.8965907356623348</v>
      </c>
      <c r="G4" s="19">
        <v>0.10233403326843996</v>
      </c>
      <c r="H4" s="19">
        <v>7.1225630184364452E-3</v>
      </c>
      <c r="I4" s="19">
        <v>3.3714698057882395E-2</v>
      </c>
      <c r="J4" s="19">
        <v>0.19059885010226199</v>
      </c>
      <c r="K4" s="19">
        <v>0.17256992807410898</v>
      </c>
      <c r="L4" s="19">
        <v>1.1107979490611534E-3</v>
      </c>
      <c r="M4" s="19">
        <v>36.418072019995492</v>
      </c>
      <c r="N4" s="19">
        <v>3.4738238383623248</v>
      </c>
      <c r="O4" s="19">
        <v>0.73247852466160723</v>
      </c>
      <c r="P4" s="19">
        <v>3.1974830837441723E-2</v>
      </c>
      <c r="Q4" s="19">
        <v>6.0488267573146981</v>
      </c>
      <c r="R4" s="19">
        <v>0.19887016146164882</v>
      </c>
      <c r="S4" s="19">
        <v>0.18409217966790084</v>
      </c>
      <c r="T4" s="19">
        <v>70.033533663083716</v>
      </c>
      <c r="U4" s="19">
        <v>1.4338049207983123</v>
      </c>
      <c r="V4" s="19">
        <v>0.25847361947586123</v>
      </c>
      <c r="W4" s="21">
        <v>283.83674564553502</v>
      </c>
      <c r="X4" s="19">
        <v>265.7534115407135</v>
      </c>
      <c r="Y4" s="19">
        <v>28.300478581254726</v>
      </c>
      <c r="Z4" s="19">
        <v>0</v>
      </c>
      <c r="AA4" s="19">
        <v>8.0341178181891273</v>
      </c>
      <c r="AB4" s="19">
        <v>0</v>
      </c>
      <c r="AC4" s="19">
        <v>0</v>
      </c>
      <c r="AD4" s="19">
        <v>421.25261896691745</v>
      </c>
      <c r="AE4" s="19">
        <v>1007.1773020333685</v>
      </c>
      <c r="AJ4" s="4">
        <v>1</v>
      </c>
      <c r="AK4" s="4" t="s">
        <v>1</v>
      </c>
      <c r="AL4" s="19">
        <v>265.7534115407135</v>
      </c>
      <c r="AM4" s="19">
        <v>28.300478581254726</v>
      </c>
      <c r="AN4" s="19">
        <v>0</v>
      </c>
      <c r="AO4" s="19">
        <v>8.0341178181891273</v>
      </c>
      <c r="AP4" s="36">
        <v>1</v>
      </c>
      <c r="AQ4" s="19" t="s">
        <v>1</v>
      </c>
      <c r="AR4" s="19">
        <v>0</v>
      </c>
      <c r="AS4" s="19">
        <v>0</v>
      </c>
      <c r="AT4" s="19">
        <v>421.25261896691745</v>
      </c>
      <c r="AU4" s="19">
        <v>1007.1773020333685</v>
      </c>
    </row>
    <row r="5" spans="1:47" x14ac:dyDescent="0.25">
      <c r="A5">
        <v>2</v>
      </c>
      <c r="B5" t="s">
        <v>50</v>
      </c>
      <c r="C5" s="21">
        <v>22.833933379829688</v>
      </c>
      <c r="D5" s="21">
        <v>23.819747147311833</v>
      </c>
      <c r="E5" s="21">
        <v>7.8507113811984119</v>
      </c>
      <c r="F5" s="21">
        <v>3.6988039460066719</v>
      </c>
      <c r="G5" s="21">
        <v>141.76209113794488</v>
      </c>
      <c r="H5" s="21">
        <v>24.290163944151328</v>
      </c>
      <c r="I5" s="21">
        <v>194.61931891086658</v>
      </c>
      <c r="J5" s="21">
        <v>13.707422606182829</v>
      </c>
      <c r="K5" s="21">
        <v>43.668212064411094</v>
      </c>
      <c r="L5" s="21">
        <v>45.350492516535169</v>
      </c>
      <c r="M5" s="21">
        <v>1168.5031498809308</v>
      </c>
      <c r="N5" s="21">
        <v>41.310942826015904</v>
      </c>
      <c r="O5" s="21">
        <v>21.544899454793455</v>
      </c>
      <c r="P5" s="21">
        <v>11.290385037694229</v>
      </c>
      <c r="Q5" s="21">
        <v>39.8875510678849</v>
      </c>
      <c r="R5" s="21">
        <v>1.9167030675463039</v>
      </c>
      <c r="S5" s="21">
        <v>490.13385215781176</v>
      </c>
      <c r="T5" s="21">
        <v>179.89717747242375</v>
      </c>
      <c r="U5" s="21">
        <v>17.713441639412459</v>
      </c>
      <c r="V5" s="21">
        <v>46.521396696381345</v>
      </c>
      <c r="W5" s="21">
        <v>2540.3203963353335</v>
      </c>
      <c r="X5" s="21">
        <v>410.53386807734057</v>
      </c>
      <c r="Y5" s="21">
        <v>0</v>
      </c>
      <c r="Z5" s="21">
        <v>6290.5390840398186</v>
      </c>
      <c r="AA5" s="21">
        <v>2323.5871865968447</v>
      </c>
      <c r="AB5" s="21">
        <v>257.05031178556249</v>
      </c>
      <c r="AC5" s="21">
        <v>59.046418747703456</v>
      </c>
      <c r="AD5" s="21">
        <v>427.09416847765067</v>
      </c>
      <c r="AE5" s="21">
        <v>12308.170663023027</v>
      </c>
      <c r="AJ5">
        <v>2</v>
      </c>
      <c r="AK5" t="s">
        <v>50</v>
      </c>
      <c r="AL5" s="21">
        <v>410.53386807734057</v>
      </c>
      <c r="AM5" s="21">
        <v>0</v>
      </c>
      <c r="AN5" s="21">
        <v>6290.5390840398186</v>
      </c>
      <c r="AO5" s="21">
        <v>2323.5871865968447</v>
      </c>
      <c r="AP5" s="34">
        <v>2</v>
      </c>
      <c r="AQ5" s="21" t="s">
        <v>50</v>
      </c>
      <c r="AR5" s="21">
        <v>257.05031178556249</v>
      </c>
      <c r="AS5" s="21">
        <v>59.046418747703456</v>
      </c>
      <c r="AT5" s="21">
        <v>427.09416847765067</v>
      </c>
      <c r="AU5" s="21">
        <v>12308.170663023027</v>
      </c>
    </row>
    <row r="6" spans="1:47" x14ac:dyDescent="0.25">
      <c r="A6">
        <v>3</v>
      </c>
      <c r="B6" t="s">
        <v>3</v>
      </c>
      <c r="C6" s="21">
        <v>4.3708781620617048</v>
      </c>
      <c r="D6" s="21">
        <v>0</v>
      </c>
      <c r="E6" s="21">
        <v>27.438855285403555</v>
      </c>
      <c r="F6" s="21">
        <v>24.832201026369567</v>
      </c>
      <c r="G6" s="21">
        <v>3.0287217028928302</v>
      </c>
      <c r="H6" s="21">
        <v>1.0627356742064351</v>
      </c>
      <c r="I6" s="21">
        <v>0</v>
      </c>
      <c r="J6" s="21">
        <v>0.82190001895298292</v>
      </c>
      <c r="K6" s="21">
        <v>0.50738058891575166</v>
      </c>
      <c r="L6" s="21">
        <v>0</v>
      </c>
      <c r="M6" s="21">
        <v>0</v>
      </c>
      <c r="N6" s="21">
        <v>1.6301474543674876</v>
      </c>
      <c r="O6" s="21">
        <v>2.9201457568806409E-3</v>
      </c>
      <c r="P6" s="21">
        <v>1.0817810949271926E-2</v>
      </c>
      <c r="Q6" s="21">
        <v>22.772450720973989</v>
      </c>
      <c r="R6" s="21">
        <v>7.1392393172353436E-2</v>
      </c>
      <c r="S6" s="21">
        <v>5.3055070395654935</v>
      </c>
      <c r="T6" s="21">
        <v>259.58436560738539</v>
      </c>
      <c r="U6" s="21">
        <v>0.70259694470734302</v>
      </c>
      <c r="V6" s="21">
        <v>1.467627728072981</v>
      </c>
      <c r="W6" s="21">
        <v>353.61049830375401</v>
      </c>
      <c r="X6" s="21">
        <v>275.96967045593624</v>
      </c>
      <c r="Y6" s="21">
        <v>36.758369219131296</v>
      </c>
      <c r="Z6" s="21">
        <v>0.53506616113999861</v>
      </c>
      <c r="AA6" s="21">
        <v>15.711224630566772</v>
      </c>
      <c r="AB6" s="21">
        <v>4.4242067453069707</v>
      </c>
      <c r="AC6" s="21">
        <v>0.39464465768007456</v>
      </c>
      <c r="AD6" s="21">
        <v>342.50937436806305</v>
      </c>
      <c r="AE6" s="21">
        <v>1029.913</v>
      </c>
      <c r="AJ6">
        <v>3</v>
      </c>
      <c r="AK6" t="s">
        <v>3</v>
      </c>
      <c r="AL6" s="21">
        <v>275.96967045593624</v>
      </c>
      <c r="AM6" s="21">
        <v>36.758369219131296</v>
      </c>
      <c r="AN6" s="21">
        <v>0.53506616113999861</v>
      </c>
      <c r="AO6" s="21">
        <v>15.711224630566772</v>
      </c>
      <c r="AP6" s="34">
        <v>3</v>
      </c>
      <c r="AQ6" s="21" t="s">
        <v>3</v>
      </c>
      <c r="AR6" s="21">
        <v>4.4242067453069707</v>
      </c>
      <c r="AS6" s="21">
        <v>0.39464465768007456</v>
      </c>
      <c r="AT6" s="21">
        <v>342.50937436806305</v>
      </c>
      <c r="AU6" s="21">
        <v>1029.913</v>
      </c>
    </row>
    <row r="7" spans="1:47" x14ac:dyDescent="0.25">
      <c r="A7">
        <v>4</v>
      </c>
      <c r="B7" t="s">
        <v>46</v>
      </c>
      <c r="C7" s="21">
        <v>7.496796115103848</v>
      </c>
      <c r="D7" s="21">
        <v>20.774562955712383</v>
      </c>
      <c r="E7" s="21">
        <v>8.9835574669820843</v>
      </c>
      <c r="F7" s="21">
        <v>20.973669018453315</v>
      </c>
      <c r="G7" s="21">
        <v>98.89381441210918</v>
      </c>
      <c r="H7" s="21">
        <v>1.3948074679936295</v>
      </c>
      <c r="I7" s="21">
        <v>513.73999596971737</v>
      </c>
      <c r="J7" s="21">
        <v>4.2345058872698891</v>
      </c>
      <c r="K7" s="21">
        <v>7.848197050087113</v>
      </c>
      <c r="L7" s="21">
        <v>1.4143240485937834</v>
      </c>
      <c r="M7" s="21">
        <v>20.82977367466232</v>
      </c>
      <c r="N7" s="21">
        <v>1.9516188966366519</v>
      </c>
      <c r="O7" s="21">
        <v>5.0037656334095395</v>
      </c>
      <c r="P7" s="21">
        <v>9.5572638661253595E-2</v>
      </c>
      <c r="Q7" s="21">
        <v>9.3288646399177324</v>
      </c>
      <c r="R7" s="21">
        <v>0.12656071316944245</v>
      </c>
      <c r="S7" s="21">
        <v>10.343582657748414</v>
      </c>
      <c r="T7" s="21">
        <v>87.603401003590719</v>
      </c>
      <c r="U7" s="21">
        <v>2.0696455677345966</v>
      </c>
      <c r="V7" s="21">
        <v>2.3915376105921715</v>
      </c>
      <c r="W7" s="21">
        <v>825.49855342814544</v>
      </c>
      <c r="X7" s="21">
        <v>1798.322567052561</v>
      </c>
      <c r="Y7" s="21">
        <v>72.59751680130762</v>
      </c>
      <c r="Z7" s="21">
        <v>105.68068492255964</v>
      </c>
      <c r="AA7" s="21">
        <v>179.49326136524064</v>
      </c>
      <c r="AB7" s="21">
        <v>47.44627421559381</v>
      </c>
      <c r="AC7" s="21">
        <v>24.072004358955709</v>
      </c>
      <c r="AD7" s="21">
        <v>1459.1480384561196</v>
      </c>
      <c r="AE7" s="21">
        <v>4512.2589006004837</v>
      </c>
      <c r="AJ7">
        <v>4</v>
      </c>
      <c r="AK7" t="s">
        <v>46</v>
      </c>
      <c r="AL7" s="21">
        <v>1798.322567052561</v>
      </c>
      <c r="AM7" s="21">
        <v>72.59751680130762</v>
      </c>
      <c r="AN7" s="21">
        <v>105.68068492255964</v>
      </c>
      <c r="AO7" s="21">
        <v>179.49326136524064</v>
      </c>
      <c r="AP7" s="34">
        <v>4</v>
      </c>
      <c r="AQ7" s="21" t="s">
        <v>46</v>
      </c>
      <c r="AR7" s="21">
        <v>47.44627421559381</v>
      </c>
      <c r="AS7" s="21">
        <v>24.072004358955709</v>
      </c>
      <c r="AT7" s="21">
        <v>1459.1480384561196</v>
      </c>
      <c r="AU7" s="21">
        <v>4512.2589006004837</v>
      </c>
    </row>
    <row r="8" spans="1:47" x14ac:dyDescent="0.25">
      <c r="A8">
        <v>5</v>
      </c>
      <c r="B8" t="s">
        <v>5</v>
      </c>
      <c r="C8" s="21">
        <v>53.911190861981019</v>
      </c>
      <c r="D8" s="21">
        <v>362.12859499620237</v>
      </c>
      <c r="E8" s="21">
        <v>17.180108883998095</v>
      </c>
      <c r="F8" s="21">
        <v>70.634936133684278</v>
      </c>
      <c r="G8" s="21">
        <v>581.36861555418523</v>
      </c>
      <c r="H8" s="21">
        <v>125.60717396723308</v>
      </c>
      <c r="I8" s="21">
        <v>54.449368466300527</v>
      </c>
      <c r="J8" s="21">
        <v>71.714157987851536</v>
      </c>
      <c r="K8" s="21">
        <v>90.497304721704737</v>
      </c>
      <c r="L8" s="21">
        <v>181.87301264061884</v>
      </c>
      <c r="M8" s="21">
        <v>162.57579222730729</v>
      </c>
      <c r="N8" s="21">
        <v>454.70419229446281</v>
      </c>
      <c r="O8" s="21">
        <v>98.350018155984429</v>
      </c>
      <c r="P8" s="21">
        <v>8.1564658172141211</v>
      </c>
      <c r="Q8" s="21">
        <v>108.88688506818539</v>
      </c>
      <c r="R8" s="21">
        <v>3.8672828302667703</v>
      </c>
      <c r="S8" s="21">
        <v>283.90956445905863</v>
      </c>
      <c r="T8" s="21">
        <v>133.67703765509933</v>
      </c>
      <c r="U8" s="21">
        <v>47.511921994059854</v>
      </c>
      <c r="V8" s="21">
        <v>85.595271920897403</v>
      </c>
      <c r="W8" s="21">
        <v>2996.5988966362956</v>
      </c>
      <c r="X8" s="21">
        <v>1589.5327864889539</v>
      </c>
      <c r="Y8" s="21">
        <v>3642.1391085865816</v>
      </c>
      <c r="Z8" s="21">
        <v>111.57339752022733</v>
      </c>
      <c r="AA8" s="21">
        <v>167.88014334595223</v>
      </c>
      <c r="AB8" s="21">
        <v>13.907620756038478</v>
      </c>
      <c r="AC8" s="21">
        <v>3.1354941468171829</v>
      </c>
      <c r="AD8" s="21">
        <v>520.42623336854194</v>
      </c>
      <c r="AE8" s="21">
        <v>9045.1936808494102</v>
      </c>
      <c r="AJ8">
        <v>5</v>
      </c>
      <c r="AK8" t="s">
        <v>5</v>
      </c>
      <c r="AL8" s="21">
        <v>1589.5327864889539</v>
      </c>
      <c r="AM8" s="21">
        <v>3642.1391085865816</v>
      </c>
      <c r="AN8" s="21">
        <v>111.57339752022733</v>
      </c>
      <c r="AO8" s="21">
        <v>167.88014334595223</v>
      </c>
      <c r="AP8" s="34">
        <v>5</v>
      </c>
      <c r="AQ8" s="21" t="s">
        <v>5</v>
      </c>
      <c r="AR8" s="21">
        <v>13.907620756038478</v>
      </c>
      <c r="AS8" s="21">
        <v>3.1354941468171829</v>
      </c>
      <c r="AT8" s="21">
        <v>520.42623336854194</v>
      </c>
      <c r="AU8" s="21">
        <v>9045.1936808494102</v>
      </c>
    </row>
    <row r="9" spans="1:47" x14ac:dyDescent="0.25">
      <c r="A9">
        <v>6</v>
      </c>
      <c r="B9" t="s">
        <v>6</v>
      </c>
      <c r="C9" s="21">
        <v>0.98339213439437068</v>
      </c>
      <c r="D9" s="21">
        <v>43.615479117939628</v>
      </c>
      <c r="E9" s="21">
        <v>2.8162011671214389</v>
      </c>
      <c r="F9" s="21">
        <v>8.5756775181034541</v>
      </c>
      <c r="G9" s="21">
        <v>50.932850284062177</v>
      </c>
      <c r="H9" s="21">
        <v>449.09496305245983</v>
      </c>
      <c r="I9" s="21">
        <v>8.1163314445576109</v>
      </c>
      <c r="J9" s="21">
        <v>67.718149232729147</v>
      </c>
      <c r="K9" s="21">
        <v>71.477045586148861</v>
      </c>
      <c r="L9" s="21">
        <v>175.92555368882407</v>
      </c>
      <c r="M9" s="21">
        <v>74.362147658847803</v>
      </c>
      <c r="N9" s="21">
        <v>143.17539016404314</v>
      </c>
      <c r="O9" s="21">
        <v>49.40518429959706</v>
      </c>
      <c r="P9" s="21">
        <v>6.0692347405262437</v>
      </c>
      <c r="Q9" s="21">
        <v>71.86913505577489</v>
      </c>
      <c r="R9" s="21">
        <v>2.1582134030043125</v>
      </c>
      <c r="S9" s="21">
        <v>124.40424142029545</v>
      </c>
      <c r="T9" s="21">
        <v>52.30918437794417</v>
      </c>
      <c r="U9" s="21">
        <v>17.723432377421673</v>
      </c>
      <c r="V9" s="21">
        <v>9.0368944243078886</v>
      </c>
      <c r="W9" s="21">
        <v>1429.768701148103</v>
      </c>
      <c r="X9" s="21">
        <v>3485.7621053788771</v>
      </c>
      <c r="Y9" s="21">
        <v>30.842143576076779</v>
      </c>
      <c r="Z9" s="21">
        <v>0</v>
      </c>
      <c r="AA9" s="21">
        <v>171.39925283933334</v>
      </c>
      <c r="AB9" s="21">
        <v>5.745789013862181</v>
      </c>
      <c r="AC9" s="21">
        <v>19.834900317359246</v>
      </c>
      <c r="AD9" s="21">
        <v>415.74632552343246</v>
      </c>
      <c r="AE9" s="21">
        <v>5559.0992177970438</v>
      </c>
      <c r="AJ9">
        <v>6</v>
      </c>
      <c r="AK9" t="s">
        <v>6</v>
      </c>
      <c r="AL9" s="21">
        <v>3485.7621053788771</v>
      </c>
      <c r="AM9" s="21">
        <v>30.842143576076779</v>
      </c>
      <c r="AN9" s="21">
        <v>0</v>
      </c>
      <c r="AO9" s="21">
        <v>171.39925283933334</v>
      </c>
      <c r="AP9" s="34">
        <v>6</v>
      </c>
      <c r="AQ9" s="21" t="s">
        <v>6</v>
      </c>
      <c r="AR9" s="21">
        <v>5.745789013862181</v>
      </c>
      <c r="AS9" s="21">
        <v>19.834900317359246</v>
      </c>
      <c r="AT9" s="21">
        <v>415.74632552343246</v>
      </c>
      <c r="AU9" s="21">
        <v>5559.0992177970438</v>
      </c>
    </row>
    <row r="10" spans="1:47" x14ac:dyDescent="0.25">
      <c r="A10">
        <v>7</v>
      </c>
      <c r="B10" t="s">
        <v>7</v>
      </c>
      <c r="C10" s="21">
        <v>12.230098816096538</v>
      </c>
      <c r="D10" s="21">
        <v>137.4953215242931</v>
      </c>
      <c r="E10" s="21">
        <v>18.895983556375381</v>
      </c>
      <c r="F10" s="21">
        <v>45.133059160294344</v>
      </c>
      <c r="G10" s="21">
        <v>30.138399925959018</v>
      </c>
      <c r="H10" s="21">
        <v>36.641140164805996</v>
      </c>
      <c r="I10" s="21">
        <v>303.72486666366945</v>
      </c>
      <c r="J10" s="21">
        <v>31.250758196917889</v>
      </c>
      <c r="K10" s="21">
        <v>137.62896210990493</v>
      </c>
      <c r="L10" s="21">
        <v>36.925139921242938</v>
      </c>
      <c r="M10" s="21">
        <v>112.33789723321127</v>
      </c>
      <c r="N10" s="21">
        <v>71.461216879237753</v>
      </c>
      <c r="O10" s="21">
        <v>51.629254712686844</v>
      </c>
      <c r="P10" s="21">
        <v>2.7470571183568611</v>
      </c>
      <c r="Q10" s="21">
        <v>161.37213468698036</v>
      </c>
      <c r="R10" s="21">
        <v>5.8794071250841409</v>
      </c>
      <c r="S10" s="21">
        <v>595.69602985982851</v>
      </c>
      <c r="T10" s="21">
        <v>212.804473310113</v>
      </c>
      <c r="U10" s="21">
        <v>42.821014998478162</v>
      </c>
      <c r="V10" s="21">
        <v>24.46569626412419</v>
      </c>
      <c r="W10" s="21">
        <v>2071.2779122276606</v>
      </c>
      <c r="X10" s="21">
        <v>1543.4138863621556</v>
      </c>
      <c r="Y10" s="21">
        <v>0</v>
      </c>
      <c r="Z10" s="21">
        <v>0</v>
      </c>
      <c r="AA10" s="21">
        <v>636.26452282852449</v>
      </c>
      <c r="AB10" s="21">
        <v>54.717269307057236</v>
      </c>
      <c r="AC10" s="21">
        <v>48.663152126507711</v>
      </c>
      <c r="AD10" s="21">
        <v>0</v>
      </c>
      <c r="AE10" s="21">
        <v>4354.3367428519059</v>
      </c>
      <c r="AJ10">
        <v>7</v>
      </c>
      <c r="AK10" t="s">
        <v>7</v>
      </c>
      <c r="AL10" s="21">
        <v>1543.4138863621556</v>
      </c>
      <c r="AM10" s="21">
        <v>0</v>
      </c>
      <c r="AN10" s="21">
        <v>0</v>
      </c>
      <c r="AO10" s="21">
        <v>636.26452282852449</v>
      </c>
      <c r="AP10" s="34">
        <v>7</v>
      </c>
      <c r="AQ10" s="21" t="s">
        <v>7</v>
      </c>
      <c r="AR10" s="21">
        <v>54.717269307057236</v>
      </c>
      <c r="AS10" s="21">
        <v>48.663152126507711</v>
      </c>
      <c r="AT10" s="21">
        <v>0</v>
      </c>
      <c r="AU10" s="21">
        <v>4354.3367428519059</v>
      </c>
    </row>
    <row r="11" spans="1:47" x14ac:dyDescent="0.25">
      <c r="A11">
        <v>8</v>
      </c>
      <c r="B11" t="s">
        <v>8</v>
      </c>
      <c r="C11" s="21">
        <v>24.527369547887005</v>
      </c>
      <c r="D11" s="21">
        <v>496.26597445309824</v>
      </c>
      <c r="E11" s="21">
        <v>35.081086686989558</v>
      </c>
      <c r="F11" s="21">
        <v>58.252802337537467</v>
      </c>
      <c r="G11" s="21">
        <v>94.54922957053742</v>
      </c>
      <c r="H11" s="21">
        <v>50.062792137543177</v>
      </c>
      <c r="I11" s="21">
        <v>27.587808967410748</v>
      </c>
      <c r="J11" s="21">
        <v>68.428251776854921</v>
      </c>
      <c r="K11" s="21">
        <v>21.790383188868837</v>
      </c>
      <c r="L11" s="21">
        <v>7.3204853152662421</v>
      </c>
      <c r="M11" s="21">
        <v>66.172243204010584</v>
      </c>
      <c r="N11" s="21">
        <v>47.029889814180237</v>
      </c>
      <c r="O11" s="21">
        <v>24.088692576656101</v>
      </c>
      <c r="P11" s="21">
        <v>1.4367260736690286</v>
      </c>
      <c r="Q11" s="21">
        <v>83.875635750606392</v>
      </c>
      <c r="R11" s="21">
        <v>0.98828382331451514</v>
      </c>
      <c r="S11" s="21">
        <v>121.12284018446456</v>
      </c>
      <c r="T11" s="21">
        <v>208.25324266601274</v>
      </c>
      <c r="U11" s="21">
        <v>13.336462612739135</v>
      </c>
      <c r="V11" s="21">
        <v>16.216654311582509</v>
      </c>
      <c r="W11" s="21">
        <v>1466.3868549992294</v>
      </c>
      <c r="X11" s="21">
        <v>2459.068466559987</v>
      </c>
      <c r="Y11" s="21">
        <v>143.48285771140587</v>
      </c>
      <c r="Z11" s="21">
        <v>486.25996485489043</v>
      </c>
      <c r="AA11" s="21">
        <v>171.28634327039143</v>
      </c>
      <c r="AB11" s="21">
        <v>0.34133486196396945</v>
      </c>
      <c r="AC11" s="21">
        <v>3.6286070744579707E-2</v>
      </c>
      <c r="AD11" s="21">
        <v>199.95325690617102</v>
      </c>
      <c r="AE11" s="21">
        <v>4926.8153652347846</v>
      </c>
      <c r="AJ11">
        <v>8</v>
      </c>
      <c r="AK11" t="s">
        <v>8</v>
      </c>
      <c r="AL11" s="21">
        <v>2459.068466559987</v>
      </c>
      <c r="AM11" s="21">
        <v>143.48285771140587</v>
      </c>
      <c r="AN11" s="21">
        <v>486.25996485489043</v>
      </c>
      <c r="AO11" s="21">
        <v>171.28634327039143</v>
      </c>
      <c r="AP11" s="34">
        <v>8</v>
      </c>
      <c r="AQ11" s="21" t="s">
        <v>8</v>
      </c>
      <c r="AR11" s="21">
        <v>0.34133486196396945</v>
      </c>
      <c r="AS11" s="21">
        <v>3.6286070744579707E-2</v>
      </c>
      <c r="AT11" s="21">
        <v>199.95325690617102</v>
      </c>
      <c r="AU11" s="21">
        <v>4926.8153652347846</v>
      </c>
    </row>
    <row r="12" spans="1:47" x14ac:dyDescent="0.25">
      <c r="A12">
        <v>9</v>
      </c>
      <c r="B12" t="s">
        <v>9</v>
      </c>
      <c r="C12" s="21">
        <v>8.7130547712380206</v>
      </c>
      <c r="D12" s="21">
        <v>707.77608351693641</v>
      </c>
      <c r="E12" s="21">
        <v>12.039078502896809</v>
      </c>
      <c r="F12" s="21">
        <v>17.69116234135705</v>
      </c>
      <c r="G12" s="21">
        <v>10.80989557864862</v>
      </c>
      <c r="H12" s="21">
        <v>69.814171460168225</v>
      </c>
      <c r="I12" s="21">
        <v>17.367991549337322</v>
      </c>
      <c r="J12" s="21">
        <v>36.935054004110867</v>
      </c>
      <c r="K12" s="21">
        <v>86.615793619613044</v>
      </c>
      <c r="L12" s="21">
        <v>15.448417898124195</v>
      </c>
      <c r="M12" s="21">
        <v>220.07194697735343</v>
      </c>
      <c r="N12" s="21">
        <v>111.47196738748659</v>
      </c>
      <c r="O12" s="21">
        <v>48.67012122441416</v>
      </c>
      <c r="P12" s="21">
        <v>0.25309714736692568</v>
      </c>
      <c r="Q12" s="21">
        <v>46.514653980761473</v>
      </c>
      <c r="R12" s="21">
        <v>0.27912927022680906</v>
      </c>
      <c r="S12" s="21">
        <v>39.388720063908146</v>
      </c>
      <c r="T12" s="21">
        <v>30.421818250369697</v>
      </c>
      <c r="U12" s="21">
        <v>19.22810229089335</v>
      </c>
      <c r="V12" s="21">
        <v>0.21285159631491588</v>
      </c>
      <c r="W12" s="21">
        <v>1499.7231114315257</v>
      </c>
      <c r="X12" s="21">
        <v>5115.584029612729</v>
      </c>
      <c r="Y12" s="21">
        <v>3233.1779877743274</v>
      </c>
      <c r="Z12" s="33">
        <v>726.59615564736634</v>
      </c>
      <c r="AA12" s="33">
        <v>142.99067231878411</v>
      </c>
      <c r="AB12" s="33">
        <v>0.45655124913654571</v>
      </c>
      <c r="AC12" s="33">
        <v>0.12309747243629607</v>
      </c>
      <c r="AD12" s="21">
        <v>113.4179022485808</v>
      </c>
      <c r="AE12" s="21">
        <v>10832.069507754886</v>
      </c>
      <c r="AJ12">
        <v>9</v>
      </c>
      <c r="AK12" t="s">
        <v>9</v>
      </c>
      <c r="AL12" s="21">
        <v>5115.584029612729</v>
      </c>
      <c r="AM12" s="21">
        <v>3233.1779877743274</v>
      </c>
      <c r="AN12" s="33">
        <v>726.59615564736634</v>
      </c>
      <c r="AO12" s="33">
        <v>142.99067231878411</v>
      </c>
      <c r="AP12" s="37">
        <v>9</v>
      </c>
      <c r="AQ12" s="33" t="s">
        <v>9</v>
      </c>
      <c r="AR12" s="33">
        <v>0.45655124913654571</v>
      </c>
      <c r="AS12" s="33">
        <v>0.12309747243629607</v>
      </c>
      <c r="AT12" s="21">
        <v>113.4179022485808</v>
      </c>
      <c r="AU12" s="21">
        <v>10832.069507754886</v>
      </c>
    </row>
    <row r="13" spans="1:47" x14ac:dyDescent="0.25">
      <c r="A13">
        <v>10</v>
      </c>
      <c r="B13" t="s">
        <v>10</v>
      </c>
      <c r="C13" s="21">
        <v>11.099207531721722</v>
      </c>
      <c r="D13" s="21">
        <v>182.29036208609526</v>
      </c>
      <c r="E13" s="21">
        <v>3.0524608159188249</v>
      </c>
      <c r="F13" s="21">
        <v>19.348632162495267</v>
      </c>
      <c r="G13" s="21">
        <v>67.335701183544941</v>
      </c>
      <c r="H13" s="21">
        <v>101.14327476815052</v>
      </c>
      <c r="I13" s="21">
        <v>53.35078192906041</v>
      </c>
      <c r="J13" s="21">
        <v>52.973276585800939</v>
      </c>
      <c r="K13" s="21">
        <v>121.46094104882205</v>
      </c>
      <c r="L13" s="21">
        <v>1146.0863673101082</v>
      </c>
      <c r="M13" s="21">
        <v>961.2580397632521</v>
      </c>
      <c r="N13" s="21">
        <v>86.287022049489423</v>
      </c>
      <c r="O13" s="21">
        <v>35.787744537389138</v>
      </c>
      <c r="P13" s="21">
        <v>1.9272308770891708</v>
      </c>
      <c r="Q13" s="21">
        <v>60.155501039735917</v>
      </c>
      <c r="R13" s="21">
        <v>1.5212642665524527</v>
      </c>
      <c r="S13" s="21">
        <v>344.63983734925245</v>
      </c>
      <c r="T13" s="21">
        <v>82.582708057481511</v>
      </c>
      <c r="U13" s="21">
        <v>14.113077610730148</v>
      </c>
      <c r="V13" s="21">
        <v>7.350542839413805</v>
      </c>
      <c r="W13" s="21">
        <v>3353.7639738121043</v>
      </c>
      <c r="X13" s="21">
        <v>3338.8213941635431</v>
      </c>
      <c r="Y13" s="21">
        <v>0</v>
      </c>
      <c r="Z13" s="33">
        <v>0</v>
      </c>
      <c r="AA13" s="33">
        <v>101.64011369580624</v>
      </c>
      <c r="AB13" s="33">
        <v>0</v>
      </c>
      <c r="AC13" s="33">
        <v>0</v>
      </c>
      <c r="AD13" s="21">
        <v>1688.0816872964317</v>
      </c>
      <c r="AE13" s="21">
        <v>8482.3071689678854</v>
      </c>
      <c r="AJ13">
        <v>10</v>
      </c>
      <c r="AK13" t="s">
        <v>10</v>
      </c>
      <c r="AL13" s="21">
        <v>3338.8213941635431</v>
      </c>
      <c r="AM13" s="21">
        <v>0</v>
      </c>
      <c r="AN13" s="33">
        <v>0</v>
      </c>
      <c r="AO13" s="33">
        <v>101.64011369580624</v>
      </c>
      <c r="AP13" s="37">
        <v>10</v>
      </c>
      <c r="AQ13" s="33" t="s">
        <v>10</v>
      </c>
      <c r="AR13" s="33">
        <v>0</v>
      </c>
      <c r="AS13" s="33">
        <v>0</v>
      </c>
      <c r="AT13" s="21">
        <v>1688.0816872964317</v>
      </c>
      <c r="AU13" s="21">
        <v>8482.3071689678854</v>
      </c>
    </row>
    <row r="14" spans="1:47" x14ac:dyDescent="0.25">
      <c r="A14">
        <v>11</v>
      </c>
      <c r="B14" t="s">
        <v>11</v>
      </c>
      <c r="C14" s="21">
        <v>29.668688325757291</v>
      </c>
      <c r="D14" s="21">
        <v>699.27123821618909</v>
      </c>
      <c r="E14" s="21">
        <v>26.134044182661992</v>
      </c>
      <c r="F14" s="21">
        <v>46.213243920519844</v>
      </c>
      <c r="G14" s="21">
        <v>173.68068047895815</v>
      </c>
      <c r="H14" s="21">
        <v>296.39715167164462</v>
      </c>
      <c r="I14" s="21">
        <v>37.13710658052009</v>
      </c>
      <c r="J14" s="21">
        <v>169.87534938814804</v>
      </c>
      <c r="K14" s="21">
        <v>691.56899984912263</v>
      </c>
      <c r="L14" s="21">
        <v>307.73954371013917</v>
      </c>
      <c r="M14" s="21">
        <v>771.01471326804528</v>
      </c>
      <c r="N14" s="21">
        <v>537.70623397802899</v>
      </c>
      <c r="O14" s="21">
        <v>191.41313118998826</v>
      </c>
      <c r="P14" s="21">
        <v>24.370787538502345</v>
      </c>
      <c r="Q14" s="21">
        <v>467.42247940374068</v>
      </c>
      <c r="R14" s="21">
        <v>8.8139667295264381</v>
      </c>
      <c r="S14" s="21">
        <v>481.74084369372554</v>
      </c>
      <c r="T14" s="21">
        <v>331.33798962131976</v>
      </c>
      <c r="U14" s="21">
        <v>100.58953883910688</v>
      </c>
      <c r="V14" s="21">
        <v>16.154187508758508</v>
      </c>
      <c r="W14" s="21">
        <v>5408.2499180944051</v>
      </c>
      <c r="X14" s="21">
        <v>16202.579057180532</v>
      </c>
      <c r="Y14" s="21">
        <v>1957.0938018955385</v>
      </c>
      <c r="Z14" s="33">
        <v>54.714112790792633</v>
      </c>
      <c r="AA14" s="33">
        <v>242.28443136589573</v>
      </c>
      <c r="AB14" s="33">
        <v>0.20752292072761142</v>
      </c>
      <c r="AC14" s="33">
        <v>0.33134275401232377</v>
      </c>
      <c r="AD14" s="21">
        <v>379.02298481811613</v>
      </c>
      <c r="AE14" s="21">
        <v>24244.483171820022</v>
      </c>
      <c r="AJ14">
        <v>11</v>
      </c>
      <c r="AK14" t="s">
        <v>11</v>
      </c>
      <c r="AL14" s="21">
        <v>16202.579057180532</v>
      </c>
      <c r="AM14" s="21">
        <v>1957.0938018955385</v>
      </c>
      <c r="AN14" s="33">
        <v>54.714112790792633</v>
      </c>
      <c r="AO14" s="33">
        <v>242.28443136589573</v>
      </c>
      <c r="AP14" s="37">
        <v>11</v>
      </c>
      <c r="AQ14" s="33" t="s">
        <v>11</v>
      </c>
      <c r="AR14" s="33">
        <v>0.20752292072761142</v>
      </c>
      <c r="AS14" s="33">
        <v>0.33134275401232377</v>
      </c>
      <c r="AT14" s="21">
        <v>379.02298481811613</v>
      </c>
      <c r="AU14" s="21">
        <v>24244.483171820022</v>
      </c>
    </row>
    <row r="15" spans="1:47" x14ac:dyDescent="0.25">
      <c r="A15">
        <v>12</v>
      </c>
      <c r="B15" t="s">
        <v>12</v>
      </c>
      <c r="C15" s="21">
        <v>3.9879061894412002</v>
      </c>
      <c r="D15" s="21">
        <v>848.07210856098391</v>
      </c>
      <c r="E15" s="21">
        <v>10.233570131760299</v>
      </c>
      <c r="F15" s="21">
        <v>30.135477519330465</v>
      </c>
      <c r="G15" s="21">
        <v>154.31983903058747</v>
      </c>
      <c r="H15" s="21">
        <v>191.44432979325157</v>
      </c>
      <c r="I15" s="21">
        <v>138.69961707583829</v>
      </c>
      <c r="J15" s="21">
        <v>82.022769933636852</v>
      </c>
      <c r="K15" s="21">
        <v>130.21880522601776</v>
      </c>
      <c r="L15" s="21">
        <v>347.17325298925357</v>
      </c>
      <c r="M15" s="21">
        <v>260.78762626260993</v>
      </c>
      <c r="N15" s="21">
        <v>604.34728761059307</v>
      </c>
      <c r="O15" s="21">
        <v>273.71703216650741</v>
      </c>
      <c r="P15" s="21">
        <v>5.9556826675783006</v>
      </c>
      <c r="Q15" s="21">
        <v>328.02315531582786</v>
      </c>
      <c r="R15" s="21">
        <v>8.1654050338177875</v>
      </c>
      <c r="S15" s="21">
        <v>436.60857134355729</v>
      </c>
      <c r="T15" s="21">
        <v>242.60097648963728</v>
      </c>
      <c r="U15" s="21">
        <v>44.561439455882592</v>
      </c>
      <c r="V15" s="21">
        <v>23.645540060863375</v>
      </c>
      <c r="W15" s="21">
        <v>4164.720392856977</v>
      </c>
      <c r="X15" s="21">
        <v>1764.2234647451996</v>
      </c>
      <c r="Y15" s="21">
        <v>158.1471330813479</v>
      </c>
      <c r="Z15" s="33">
        <v>815.63969002861609</v>
      </c>
      <c r="AA15" s="33">
        <v>33.685874154225274</v>
      </c>
      <c r="AB15" s="33">
        <v>350.61449960331043</v>
      </c>
      <c r="AC15" s="33">
        <v>168.35440345397208</v>
      </c>
      <c r="AD15" s="21">
        <v>1079.9904289208737</v>
      </c>
      <c r="AE15" s="21">
        <v>8535.3758868445238</v>
      </c>
      <c r="AJ15">
        <v>12</v>
      </c>
      <c r="AK15" t="s">
        <v>12</v>
      </c>
      <c r="AL15" s="21">
        <v>1764.2234647451996</v>
      </c>
      <c r="AM15" s="21">
        <v>158.1471330813479</v>
      </c>
      <c r="AN15" s="33">
        <v>815.63969002861609</v>
      </c>
      <c r="AO15" s="33">
        <v>33.685874154225274</v>
      </c>
      <c r="AP15" s="37">
        <v>12</v>
      </c>
      <c r="AQ15" s="33" t="s">
        <v>12</v>
      </c>
      <c r="AR15" s="33">
        <v>350.61449960331043</v>
      </c>
      <c r="AS15" s="33">
        <v>168.35440345397208</v>
      </c>
      <c r="AT15" s="21">
        <v>1079.9904289208737</v>
      </c>
      <c r="AU15" s="21">
        <v>8535.3758868445238</v>
      </c>
    </row>
    <row r="16" spans="1:47" x14ac:dyDescent="0.25">
      <c r="A16">
        <v>13</v>
      </c>
      <c r="B16" t="s">
        <v>13</v>
      </c>
      <c r="C16" s="21">
        <v>9.7292904491911365</v>
      </c>
      <c r="D16" s="21">
        <v>270.94894247253819</v>
      </c>
      <c r="E16" s="21">
        <v>82.0515577488883</v>
      </c>
      <c r="F16" s="21">
        <v>67.84596055674929</v>
      </c>
      <c r="G16" s="21">
        <v>394.96874560854985</v>
      </c>
      <c r="H16" s="21">
        <v>162.15874331746994</v>
      </c>
      <c r="I16" s="21">
        <v>89.892753776211336</v>
      </c>
      <c r="J16" s="21">
        <v>179.47354589333463</v>
      </c>
      <c r="K16" s="21">
        <v>244.48356293721085</v>
      </c>
      <c r="L16" s="33">
        <v>260.40605570633835</v>
      </c>
      <c r="M16" s="21">
        <v>383.66629648263535</v>
      </c>
      <c r="N16" s="21">
        <v>138.46351324473036</v>
      </c>
      <c r="O16" s="21">
        <v>185.97148592214171</v>
      </c>
      <c r="P16" s="21">
        <v>8.2894692468352176</v>
      </c>
      <c r="Q16" s="21">
        <v>463.85404311822805</v>
      </c>
      <c r="R16" s="21">
        <v>5.4299858288930558</v>
      </c>
      <c r="S16" s="21">
        <v>998.61109112189547</v>
      </c>
      <c r="T16" s="21">
        <v>204.99552755424764</v>
      </c>
      <c r="U16" s="21">
        <v>65.149352236758148</v>
      </c>
      <c r="V16" s="21">
        <v>32.202769437580223</v>
      </c>
      <c r="W16" s="21">
        <v>4248.5926926604279</v>
      </c>
      <c r="X16" s="21">
        <v>868.17083021904989</v>
      </c>
      <c r="Y16" s="21">
        <v>436.76504018292007</v>
      </c>
      <c r="Z16" s="33">
        <v>0</v>
      </c>
      <c r="AA16" s="33">
        <v>0</v>
      </c>
      <c r="AB16" s="33">
        <v>92.685598182360323</v>
      </c>
      <c r="AC16" s="33">
        <v>14.402938287009505</v>
      </c>
      <c r="AD16" s="21">
        <v>145.00210690484403</v>
      </c>
      <c r="AE16" s="21">
        <v>5805.6192064366123</v>
      </c>
      <c r="AJ16">
        <v>13</v>
      </c>
      <c r="AK16" t="s">
        <v>13</v>
      </c>
      <c r="AL16" s="21">
        <v>868.17083021904989</v>
      </c>
      <c r="AM16" s="21">
        <v>436.76504018292007</v>
      </c>
      <c r="AN16" s="33">
        <v>0</v>
      </c>
      <c r="AO16" s="33">
        <v>0</v>
      </c>
      <c r="AP16" s="37">
        <v>13</v>
      </c>
      <c r="AQ16" s="33" t="s">
        <v>13</v>
      </c>
      <c r="AR16" s="33">
        <v>92.685598182360323</v>
      </c>
      <c r="AS16" s="33">
        <v>14.402938287009505</v>
      </c>
      <c r="AT16" s="21">
        <v>145.00210690484403</v>
      </c>
      <c r="AU16" s="21">
        <v>5805.6192064366123</v>
      </c>
    </row>
    <row r="17" spans="1:47" x14ac:dyDescent="0.25">
      <c r="A17">
        <v>14</v>
      </c>
      <c r="B17" t="s">
        <v>14</v>
      </c>
      <c r="C17" s="21">
        <v>0</v>
      </c>
      <c r="D17" s="21">
        <v>5.6857875352194318</v>
      </c>
      <c r="E17" s="21">
        <v>0.14715144071835584</v>
      </c>
      <c r="F17" s="21">
        <v>6.1429593669459797</v>
      </c>
      <c r="G17" s="21">
        <v>13.649743355927573</v>
      </c>
      <c r="H17" s="21">
        <v>32.067802557010857</v>
      </c>
      <c r="I17" s="21">
        <v>59.566496044626639</v>
      </c>
      <c r="J17" s="21">
        <v>3.147543669021426</v>
      </c>
      <c r="K17" s="21">
        <v>5.215381493222182</v>
      </c>
      <c r="L17" s="21">
        <v>70.095939218343446</v>
      </c>
      <c r="M17" s="21">
        <v>3.9688761586732113</v>
      </c>
      <c r="N17" s="21">
        <v>13.183508663629663</v>
      </c>
      <c r="O17" s="21">
        <v>3.1034797957556108</v>
      </c>
      <c r="P17" s="21">
        <v>1.5382498826885609</v>
      </c>
      <c r="Q17" s="21">
        <v>58.27287173124126</v>
      </c>
      <c r="R17" s="3">
        <v>0.65872143928079385</v>
      </c>
      <c r="S17" s="21">
        <v>2.43508273007494</v>
      </c>
      <c r="T17" s="21">
        <v>0.92829544672440933</v>
      </c>
      <c r="U17" s="21">
        <v>1.4080172624846425</v>
      </c>
      <c r="V17" s="21">
        <v>1.243855957283877</v>
      </c>
      <c r="W17" s="21">
        <v>282.45976374887283</v>
      </c>
      <c r="X17" s="21">
        <v>721.66931402919136</v>
      </c>
      <c r="Y17" s="21">
        <v>214.43397076315682</v>
      </c>
      <c r="Z17" s="33">
        <v>0</v>
      </c>
      <c r="AA17" s="33">
        <v>0</v>
      </c>
      <c r="AB17" s="33">
        <v>0.32919756958082358</v>
      </c>
      <c r="AC17" s="33">
        <v>5.3775433497281762E-2</v>
      </c>
      <c r="AD17" s="21">
        <v>0</v>
      </c>
      <c r="AE17" s="21">
        <v>1218.9460215442991</v>
      </c>
      <c r="AJ17">
        <v>14</v>
      </c>
      <c r="AK17" t="s">
        <v>14</v>
      </c>
      <c r="AL17" s="21">
        <v>721.66931402919136</v>
      </c>
      <c r="AM17" s="21">
        <v>214.43397076315682</v>
      </c>
      <c r="AN17" s="33">
        <v>0</v>
      </c>
      <c r="AO17" s="33">
        <v>0</v>
      </c>
      <c r="AP17" s="37">
        <v>14</v>
      </c>
      <c r="AQ17" s="33" t="s">
        <v>14</v>
      </c>
      <c r="AR17" s="33">
        <v>0.32919756958082358</v>
      </c>
      <c r="AS17" s="33">
        <v>5.3775433497281762E-2</v>
      </c>
      <c r="AT17" s="21">
        <v>0</v>
      </c>
      <c r="AU17" s="21">
        <v>1218.9460215442991</v>
      </c>
    </row>
    <row r="18" spans="1:47" x14ac:dyDescent="0.25">
      <c r="A18">
        <v>15</v>
      </c>
      <c r="B18" t="s">
        <v>15</v>
      </c>
      <c r="C18" s="21">
        <v>0</v>
      </c>
      <c r="D18" s="21">
        <v>1.358260472023908E-2</v>
      </c>
      <c r="E18" s="21">
        <v>0</v>
      </c>
      <c r="F18" s="21">
        <v>0</v>
      </c>
      <c r="G18" s="21">
        <v>13.552137742897168</v>
      </c>
      <c r="H18" s="21">
        <v>0</v>
      </c>
      <c r="I18" s="21">
        <v>0</v>
      </c>
      <c r="J18" s="21">
        <v>0</v>
      </c>
      <c r="K18" s="21">
        <v>7.4274896217861375E-2</v>
      </c>
      <c r="L18" s="21">
        <v>4.4657952733805455E-2</v>
      </c>
      <c r="M18" s="21">
        <v>0</v>
      </c>
      <c r="N18" s="21">
        <v>19.535575776066796</v>
      </c>
      <c r="O18" s="21">
        <v>1.7318800574864284</v>
      </c>
      <c r="P18" s="21">
        <v>6.5184926021411052</v>
      </c>
      <c r="Q18" s="21">
        <v>676.75419871595989</v>
      </c>
      <c r="R18" s="21">
        <v>2.0015855059364207</v>
      </c>
      <c r="S18" s="21">
        <v>0</v>
      </c>
      <c r="T18" s="21">
        <v>0</v>
      </c>
      <c r="U18" s="21">
        <v>6.3057855390071875</v>
      </c>
      <c r="V18" s="21">
        <v>16.375537450624893</v>
      </c>
      <c r="W18" s="21">
        <v>742.90770884379174</v>
      </c>
      <c r="X18" s="21">
        <v>11084.966969075118</v>
      </c>
      <c r="Y18" s="21">
        <v>235.5437779372337</v>
      </c>
      <c r="Z18" s="33">
        <v>0</v>
      </c>
      <c r="AA18" s="33">
        <v>0</v>
      </c>
      <c r="AB18" s="33">
        <v>5.86715137647625</v>
      </c>
      <c r="AC18" s="33">
        <v>48.584367904045209</v>
      </c>
      <c r="AD18" s="21">
        <v>0</v>
      </c>
      <c r="AE18" s="21">
        <v>12117.869975136664</v>
      </c>
      <c r="AJ18">
        <v>15</v>
      </c>
      <c r="AK18" t="s">
        <v>15</v>
      </c>
      <c r="AL18" s="21">
        <v>11084.966969075118</v>
      </c>
      <c r="AM18" s="21">
        <v>235.5437779372337</v>
      </c>
      <c r="AN18" s="33">
        <v>0</v>
      </c>
      <c r="AO18" s="33">
        <v>0</v>
      </c>
      <c r="AP18" s="37">
        <v>15</v>
      </c>
      <c r="AQ18" s="33" t="s">
        <v>15</v>
      </c>
      <c r="AR18" s="33">
        <v>5.86715137647625</v>
      </c>
      <c r="AS18" s="33">
        <v>48.584367904045209</v>
      </c>
      <c r="AT18" s="21">
        <v>0</v>
      </c>
      <c r="AU18" s="21">
        <v>12117.869975136664</v>
      </c>
    </row>
    <row r="19" spans="1:47" x14ac:dyDescent="0.25">
      <c r="A19">
        <v>16</v>
      </c>
      <c r="B19" t="s">
        <v>47</v>
      </c>
      <c r="C19" s="21">
        <v>0.79002665705529362</v>
      </c>
      <c r="D19" s="21">
        <v>16.855150718511435</v>
      </c>
      <c r="E19" s="21">
        <v>2.324876944676983</v>
      </c>
      <c r="F19" s="21">
        <v>2.9145635999107955</v>
      </c>
      <c r="G19" s="21">
        <v>3.0058304651516079</v>
      </c>
      <c r="H19" s="21">
        <v>17.225461153855466</v>
      </c>
      <c r="I19" s="21">
        <v>1.3640996629130229</v>
      </c>
      <c r="J19" s="21">
        <v>0</v>
      </c>
      <c r="K19" s="21">
        <v>0</v>
      </c>
      <c r="L19" s="21">
        <v>0</v>
      </c>
      <c r="M19" s="21">
        <v>0.17939463259103844</v>
      </c>
      <c r="N19" s="21">
        <v>0</v>
      </c>
      <c r="O19" s="21">
        <v>0</v>
      </c>
      <c r="P19" s="21">
        <v>0.25110200991494014</v>
      </c>
      <c r="Q19" s="21">
        <v>0.53088452684159404</v>
      </c>
      <c r="R19" s="21">
        <v>10.583216975235905</v>
      </c>
      <c r="S19" s="21">
        <v>18.252661692300642</v>
      </c>
      <c r="T19" s="21">
        <v>31.966265006482995</v>
      </c>
      <c r="U19" s="21">
        <v>1.1115870470118561</v>
      </c>
      <c r="V19" s="21">
        <v>0.13267288575644404</v>
      </c>
      <c r="W19" s="21">
        <v>107.48779397821002</v>
      </c>
      <c r="X19" s="21">
        <v>510.59453770898597</v>
      </c>
      <c r="Y19" s="21">
        <v>718.06724100528004</v>
      </c>
      <c r="Z19" s="33">
        <v>0</v>
      </c>
      <c r="AA19" s="33">
        <v>0</v>
      </c>
      <c r="AB19" s="33">
        <v>0.6632068101298334</v>
      </c>
      <c r="AC19" s="33">
        <v>3.1771456550978745E-2</v>
      </c>
      <c r="AD19" s="21">
        <v>48.859466897554604</v>
      </c>
      <c r="AE19" s="21">
        <v>1385.7040178567113</v>
      </c>
      <c r="AJ19">
        <v>16</v>
      </c>
      <c r="AK19" t="s">
        <v>47</v>
      </c>
      <c r="AL19" s="21">
        <v>510.59453770898597</v>
      </c>
      <c r="AM19" s="21">
        <v>718.06724100528004</v>
      </c>
      <c r="AN19" s="33">
        <v>0</v>
      </c>
      <c r="AO19" s="33">
        <v>0</v>
      </c>
      <c r="AP19" s="37">
        <v>16</v>
      </c>
      <c r="AQ19" s="33" t="s">
        <v>47</v>
      </c>
      <c r="AR19" s="33">
        <v>0.6632068101298334</v>
      </c>
      <c r="AS19" s="33">
        <v>3.1771456550978745E-2</v>
      </c>
      <c r="AT19" s="21">
        <v>48.859466897554604</v>
      </c>
      <c r="AU19" s="21">
        <v>1385.7040178567113</v>
      </c>
    </row>
    <row r="20" spans="1:47" x14ac:dyDescent="0.25">
      <c r="A20">
        <v>17</v>
      </c>
      <c r="B20" t="s">
        <v>39</v>
      </c>
      <c r="C20" s="21">
        <v>4.8332977194284723</v>
      </c>
      <c r="D20" s="21">
        <v>252.28515219971797</v>
      </c>
      <c r="E20" s="21">
        <v>45.565562840047868</v>
      </c>
      <c r="F20" s="21">
        <v>60.060389425866902</v>
      </c>
      <c r="G20" s="21">
        <v>48.95842497087876</v>
      </c>
      <c r="H20" s="21">
        <v>103.50129275399328</v>
      </c>
      <c r="I20" s="21">
        <v>91.658941480522344</v>
      </c>
      <c r="J20" s="21">
        <v>146.77829782268927</v>
      </c>
      <c r="K20" s="21">
        <v>208.9948884192826</v>
      </c>
      <c r="L20" s="21">
        <v>427.44905331374764</v>
      </c>
      <c r="M20" s="21">
        <v>349.04237522382795</v>
      </c>
      <c r="N20" s="21">
        <v>626.65809310754116</v>
      </c>
      <c r="O20" s="21">
        <v>86.171138871728516</v>
      </c>
      <c r="P20" s="21">
        <v>7.0947085250816642</v>
      </c>
      <c r="Q20" s="21">
        <v>395.34677932804607</v>
      </c>
      <c r="R20" s="21">
        <v>2.5401749202644233</v>
      </c>
      <c r="S20" s="21">
        <v>366.84153648338133</v>
      </c>
      <c r="T20" s="21">
        <v>210.04817871838699</v>
      </c>
      <c r="U20" s="21">
        <v>64.787244818148537</v>
      </c>
      <c r="V20" s="21">
        <v>27.126943056400545</v>
      </c>
      <c r="W20" s="21">
        <v>3525.7424739989824</v>
      </c>
      <c r="X20" s="21">
        <v>836.89480889581864</v>
      </c>
      <c r="Y20" s="21">
        <v>7739.1405363635258</v>
      </c>
      <c r="Z20" s="33">
        <v>0</v>
      </c>
      <c r="AA20" s="33">
        <v>30.571173695393785</v>
      </c>
      <c r="AB20" s="33">
        <v>0.39942866304184388</v>
      </c>
      <c r="AC20" s="33">
        <v>43.123302325696784</v>
      </c>
      <c r="AD20" s="21">
        <v>0</v>
      </c>
      <c r="AE20" s="21">
        <v>12175.87172394246</v>
      </c>
      <c r="AJ20">
        <v>17</v>
      </c>
      <c r="AK20" t="s">
        <v>39</v>
      </c>
      <c r="AL20" s="21">
        <v>836.89480889581864</v>
      </c>
      <c r="AM20" s="21">
        <v>7739.1405363635258</v>
      </c>
      <c r="AN20" s="33">
        <v>0</v>
      </c>
      <c r="AO20" s="33">
        <v>30.571173695393785</v>
      </c>
      <c r="AP20" s="37">
        <v>17</v>
      </c>
      <c r="AQ20" s="33" t="s">
        <v>39</v>
      </c>
      <c r="AR20" s="33">
        <v>0.39942866304184388</v>
      </c>
      <c r="AS20" s="33">
        <v>43.123302325696784</v>
      </c>
      <c r="AT20" s="21">
        <v>0</v>
      </c>
      <c r="AU20" s="21">
        <v>12175.87172394246</v>
      </c>
    </row>
    <row r="21" spans="1:47" x14ac:dyDescent="0.25">
      <c r="A21">
        <v>18</v>
      </c>
      <c r="B21" t="s">
        <v>48</v>
      </c>
      <c r="C21" s="21">
        <v>4.2612987538633043</v>
      </c>
      <c r="D21" s="21">
        <v>249.09216813302726</v>
      </c>
      <c r="E21" s="21">
        <v>42.282784241652472</v>
      </c>
      <c r="F21" s="21">
        <v>34.061449997423878</v>
      </c>
      <c r="G21" s="21">
        <v>238.30182593002473</v>
      </c>
      <c r="H21" s="21">
        <v>154.86176844066492</v>
      </c>
      <c r="I21" s="21">
        <v>77.844268885700018</v>
      </c>
      <c r="J21" s="21">
        <v>87.721133057898086</v>
      </c>
      <c r="K21" s="21">
        <v>117.24367162801821</v>
      </c>
      <c r="L21" s="21">
        <v>257.19738029808769</v>
      </c>
      <c r="M21" s="21">
        <v>113.96236282147291</v>
      </c>
      <c r="N21" s="21">
        <v>158.63004922557846</v>
      </c>
      <c r="O21" s="21">
        <v>61.48997082779286</v>
      </c>
      <c r="P21" s="21">
        <v>14.406973309979197</v>
      </c>
      <c r="Q21" s="21">
        <v>260.73516430687761</v>
      </c>
      <c r="R21" s="21">
        <v>7.9114453879384339</v>
      </c>
      <c r="S21" s="21">
        <v>326.83379613942782</v>
      </c>
      <c r="T21" s="21">
        <v>236.29123736255119</v>
      </c>
      <c r="U21" s="21">
        <v>15.991791308002757</v>
      </c>
      <c r="V21" s="21">
        <v>19.283228597239201</v>
      </c>
      <c r="W21" s="21">
        <v>2478.4037686532206</v>
      </c>
      <c r="X21" s="21">
        <v>2818.4290410124181</v>
      </c>
      <c r="Y21" s="21">
        <v>2216.4385328204685</v>
      </c>
      <c r="Z21" s="33">
        <v>0</v>
      </c>
      <c r="AA21" s="33">
        <v>0</v>
      </c>
      <c r="AB21" s="33">
        <v>0.65959199327469309</v>
      </c>
      <c r="AC21" s="33">
        <v>0</v>
      </c>
      <c r="AD21" s="21">
        <v>17.782602058151888</v>
      </c>
      <c r="AE21" s="21">
        <v>7531.7135365375325</v>
      </c>
      <c r="AJ21">
        <v>18</v>
      </c>
      <c r="AK21" t="s">
        <v>48</v>
      </c>
      <c r="AL21" s="21">
        <v>2818.4290410124181</v>
      </c>
      <c r="AM21" s="21">
        <v>2216.4385328204685</v>
      </c>
      <c r="AN21" s="33">
        <v>0</v>
      </c>
      <c r="AO21" s="33">
        <v>0</v>
      </c>
      <c r="AP21" s="37">
        <v>18</v>
      </c>
      <c r="AQ21" s="33" t="s">
        <v>48</v>
      </c>
      <c r="AR21" s="33">
        <v>0.65959199327469309</v>
      </c>
      <c r="AS21" s="33">
        <v>0</v>
      </c>
      <c r="AT21" s="21">
        <v>17.782602058151888</v>
      </c>
      <c r="AU21" s="21">
        <v>7531.7135365375325</v>
      </c>
    </row>
    <row r="22" spans="1:47" x14ac:dyDescent="0.25">
      <c r="A22">
        <v>19</v>
      </c>
      <c r="B22" t="s">
        <v>17</v>
      </c>
      <c r="C22" s="21">
        <v>1.094679883124057</v>
      </c>
      <c r="D22" s="21">
        <v>14.613866388405963</v>
      </c>
      <c r="E22" s="21">
        <v>4.4352003845178452</v>
      </c>
      <c r="F22" s="21">
        <v>8.8517109422945204</v>
      </c>
      <c r="G22" s="21">
        <v>19.06614689375386</v>
      </c>
      <c r="H22" s="21">
        <v>25.667146098766761</v>
      </c>
      <c r="I22" s="21">
        <v>2.5638794554045523</v>
      </c>
      <c r="J22" s="21">
        <v>13.738481474595554</v>
      </c>
      <c r="K22" s="21">
        <v>20.742825496249104</v>
      </c>
      <c r="L22" s="21">
        <v>29.566410617571108</v>
      </c>
      <c r="M22" s="21">
        <v>562.71473424623457</v>
      </c>
      <c r="N22" s="21">
        <v>29.557976660239447</v>
      </c>
      <c r="O22" s="21">
        <v>22.680863820112677</v>
      </c>
      <c r="P22" s="21">
        <v>0.88649150816522893</v>
      </c>
      <c r="Q22" s="21">
        <v>21.747063309453424</v>
      </c>
      <c r="R22" s="21">
        <v>1.3500905617333401</v>
      </c>
      <c r="S22" s="21">
        <v>45.460574830605566</v>
      </c>
      <c r="T22" s="21">
        <v>21.348770130997817</v>
      </c>
      <c r="U22" s="21">
        <v>11.614939857165824</v>
      </c>
      <c r="V22" s="21">
        <v>4.2060423080258094</v>
      </c>
      <c r="W22" s="21">
        <v>861.90789486741699</v>
      </c>
      <c r="X22" s="21">
        <v>1926.6335028832029</v>
      </c>
      <c r="Y22" s="21">
        <v>153.92849705176903</v>
      </c>
      <c r="Z22" s="33">
        <v>0</v>
      </c>
      <c r="AA22" s="33">
        <v>253.93910688194208</v>
      </c>
      <c r="AB22" s="33">
        <v>2.2635674442595941</v>
      </c>
      <c r="AC22" s="33">
        <v>3.4690621528661878</v>
      </c>
      <c r="AD22" s="21">
        <v>0</v>
      </c>
      <c r="AE22" s="21">
        <v>3202.1416312814572</v>
      </c>
      <c r="AJ22">
        <v>19</v>
      </c>
      <c r="AK22" t="s">
        <v>17</v>
      </c>
      <c r="AL22" s="21">
        <v>1926.6335028832029</v>
      </c>
      <c r="AM22" s="21">
        <v>153.92849705176903</v>
      </c>
      <c r="AN22" s="33">
        <v>0</v>
      </c>
      <c r="AO22" s="33">
        <v>253.93910688194208</v>
      </c>
      <c r="AP22" s="37">
        <v>19</v>
      </c>
      <c r="AQ22" s="33" t="s">
        <v>17</v>
      </c>
      <c r="AR22" s="33">
        <v>2.2635674442595941</v>
      </c>
      <c r="AS22" s="33">
        <v>3.4690621528661878</v>
      </c>
      <c r="AT22" s="21">
        <v>0</v>
      </c>
      <c r="AU22" s="21">
        <v>3202.1416312814572</v>
      </c>
    </row>
    <row r="23" spans="1:47" x14ac:dyDescent="0.25">
      <c r="A23">
        <v>20</v>
      </c>
      <c r="B23" t="s">
        <v>18</v>
      </c>
      <c r="C23" s="21">
        <v>8.3074114675869684</v>
      </c>
      <c r="D23" s="21">
        <v>37.436160827865081</v>
      </c>
      <c r="E23" s="21">
        <v>10.770888506239872</v>
      </c>
      <c r="F23" s="21">
        <v>30.388823633404961</v>
      </c>
      <c r="G23" s="21">
        <v>622.01843639486071</v>
      </c>
      <c r="H23" s="21">
        <v>53.160852483119029</v>
      </c>
      <c r="I23" s="21">
        <v>54.505233534635401</v>
      </c>
      <c r="J23" s="21">
        <v>44.661783249937798</v>
      </c>
      <c r="K23" s="21">
        <v>207.74580209852627</v>
      </c>
      <c r="L23" s="21">
        <v>139.95696041409343</v>
      </c>
      <c r="M23" s="21">
        <v>258.77789372765335</v>
      </c>
      <c r="N23" s="21">
        <v>81.258502167769606</v>
      </c>
      <c r="O23" s="21">
        <v>98.158733133792765</v>
      </c>
      <c r="P23" s="21">
        <v>2.2317168345425982</v>
      </c>
      <c r="Q23" s="21">
        <v>178.14530002719633</v>
      </c>
      <c r="R23" s="21">
        <v>7.5922018078694204</v>
      </c>
      <c r="S23" s="21">
        <v>344.04405763653079</v>
      </c>
      <c r="T23" s="21">
        <v>101.33962603583748</v>
      </c>
      <c r="U23" s="21">
        <v>18.556314560498983</v>
      </c>
      <c r="V23" s="21">
        <v>23.26517558996461</v>
      </c>
      <c r="W23" s="20">
        <v>2322.3218741319256</v>
      </c>
      <c r="X23" s="21">
        <v>5715.0026124374399</v>
      </c>
      <c r="Y23" s="21">
        <v>178.31765116430262</v>
      </c>
      <c r="Z23" s="33">
        <v>0</v>
      </c>
      <c r="AA23" s="33">
        <v>2410.8519999999999</v>
      </c>
      <c r="AB23" s="33">
        <v>8174.3486608774256</v>
      </c>
      <c r="AC23" s="33">
        <v>1542.1621201617409</v>
      </c>
      <c r="AD23" s="21">
        <v>0</v>
      </c>
      <c r="AE23" s="21">
        <v>20343.004918772836</v>
      </c>
      <c r="AJ23">
        <v>20</v>
      </c>
      <c r="AK23" t="s">
        <v>18</v>
      </c>
      <c r="AL23" s="21">
        <v>5715.0026124374399</v>
      </c>
      <c r="AM23" s="21">
        <v>178.31765116430262</v>
      </c>
      <c r="AN23" s="33">
        <v>0</v>
      </c>
      <c r="AO23" s="33">
        <v>2410.8519999999999</v>
      </c>
      <c r="AP23" s="37">
        <v>20</v>
      </c>
      <c r="AQ23" s="33" t="s">
        <v>18</v>
      </c>
      <c r="AR23" s="33">
        <v>8174.3486608774256</v>
      </c>
      <c r="AS23" s="33">
        <v>1542.1621201617409</v>
      </c>
      <c r="AT23" s="21">
        <v>0</v>
      </c>
      <c r="AU23" s="21">
        <v>20343.004918772836</v>
      </c>
    </row>
    <row r="24" spans="1:47" x14ac:dyDescent="0.25">
      <c r="A24" s="9"/>
      <c r="B24" s="9" t="s">
        <v>44</v>
      </c>
      <c r="C24" s="19">
        <v>280.24884854092466</v>
      </c>
      <c r="D24" s="19">
        <v>4380.4955018183819</v>
      </c>
      <c r="E24" s="19">
        <v>434.43688755301395</v>
      </c>
      <c r="F24" s="19">
        <v>559.65211334241042</v>
      </c>
      <c r="G24" s="19">
        <v>2760.4434642547421</v>
      </c>
      <c r="H24" s="19">
        <v>1895.6028934695075</v>
      </c>
      <c r="I24" s="19">
        <v>1726.2225750953494</v>
      </c>
      <c r="J24" s="19">
        <v>1075.3929796360349</v>
      </c>
      <c r="K24" s="19">
        <v>2207.9550019504177</v>
      </c>
      <c r="L24" s="19">
        <v>3449.974158357571</v>
      </c>
      <c r="M24" s="19">
        <v>5526.6433354633145</v>
      </c>
      <c r="N24" s="19">
        <v>3171.8369520384595</v>
      </c>
      <c r="O24" s="19">
        <v>1259.6527950506552</v>
      </c>
      <c r="P24" s="19">
        <v>103.56223621779372</v>
      </c>
      <c r="Q24" s="19">
        <v>3461.5435785515488</v>
      </c>
      <c r="R24" s="19">
        <v>72.053901244294778</v>
      </c>
      <c r="S24" s="19">
        <v>5035.9564830431009</v>
      </c>
      <c r="T24" s="19">
        <v>2698.0238084296898</v>
      </c>
      <c r="U24" s="19">
        <v>506.72951188104247</v>
      </c>
      <c r="V24" s="22">
        <v>357.15289986366054</v>
      </c>
      <c r="W24" s="20">
        <v>40963.579925801911</v>
      </c>
      <c r="X24" s="19">
        <v>62731.926323879758</v>
      </c>
      <c r="Y24" s="19">
        <v>21195.174644515628</v>
      </c>
      <c r="Z24" s="19">
        <v>8591.5381559654106</v>
      </c>
      <c r="AA24" s="19">
        <v>6889.6194248070906</v>
      </c>
      <c r="AB24" s="19">
        <v>9012.1277833751083</v>
      </c>
      <c r="AC24" s="19">
        <v>1975.8190818275955</v>
      </c>
      <c r="AD24" s="19">
        <v>7258.2871952114492</v>
      </c>
      <c r="AE24" s="19">
        <v>158618.07253538392</v>
      </c>
      <c r="AJ24" s="9"/>
      <c r="AK24" s="9" t="s">
        <v>88</v>
      </c>
      <c r="AL24" s="22">
        <v>62731.926323879758</v>
      </c>
      <c r="AM24" s="22">
        <v>21195.174644515628</v>
      </c>
      <c r="AN24" s="22">
        <v>8591.5381559654106</v>
      </c>
      <c r="AO24" s="22">
        <v>6889.6194248070906</v>
      </c>
      <c r="AP24" s="22"/>
      <c r="AQ24" s="22" t="s">
        <v>88</v>
      </c>
      <c r="AR24" s="22">
        <v>9012.1277833751083</v>
      </c>
      <c r="AS24" s="22">
        <v>1975.8190818275955</v>
      </c>
      <c r="AT24" s="22">
        <v>7258.2871952114492</v>
      </c>
      <c r="AU24" s="22">
        <v>158618.07253538392</v>
      </c>
    </row>
    <row r="25" spans="1:47" x14ac:dyDescent="0.25">
      <c r="A25" s="9"/>
      <c r="B25" s="10" t="s">
        <v>25</v>
      </c>
      <c r="C25" s="22">
        <v>147.52845349244387</v>
      </c>
      <c r="D25" s="22">
        <v>2050.3751612046449</v>
      </c>
      <c r="E25" s="22">
        <v>201.35918397755842</v>
      </c>
      <c r="F25" s="22">
        <v>2551.2234977383282</v>
      </c>
      <c r="G25" s="22">
        <v>804.34997300662121</v>
      </c>
      <c r="H25" s="22">
        <v>1210.6961744379246</v>
      </c>
      <c r="I25" s="22">
        <v>252.51391967030838</v>
      </c>
      <c r="J25" s="22">
        <v>512.22218470881535</v>
      </c>
      <c r="K25" s="22">
        <v>796.81420068078069</v>
      </c>
      <c r="L25" s="22">
        <v>855.43214572836837</v>
      </c>
      <c r="M25" s="22">
        <v>652.33938369398857</v>
      </c>
      <c r="N25" s="22">
        <v>727.73857062014986</v>
      </c>
      <c r="O25" s="22">
        <v>201.36619384102593</v>
      </c>
      <c r="P25" s="22">
        <v>12.083774536331724</v>
      </c>
      <c r="Q25" s="22">
        <v>1123.2314214484516</v>
      </c>
      <c r="R25" s="22">
        <v>16.450098755705142</v>
      </c>
      <c r="S25" s="22">
        <v>882.31511774647606</v>
      </c>
      <c r="T25" s="22">
        <v>1188.4895794120357</v>
      </c>
      <c r="U25" s="22">
        <v>186.01181898827286</v>
      </c>
      <c r="V25" s="22">
        <v>128.75175589381186</v>
      </c>
      <c r="W25" s="22">
        <v>14501.292609582042</v>
      </c>
      <c r="X25" s="20">
        <v>10288.719104743512</v>
      </c>
      <c r="Y25" s="20">
        <v>1450.150677590839</v>
      </c>
      <c r="Z25" s="20">
        <v>8499.9480848859821</v>
      </c>
      <c r="AA25" s="20">
        <v>7027.5095155560284</v>
      </c>
      <c r="AB25" s="20">
        <v>371.60531740672377</v>
      </c>
      <c r="AC25" s="20">
        <v>246.99988944530736</v>
      </c>
      <c r="AD25" s="20">
        <v>964.74182120187095</v>
      </c>
      <c r="AE25" s="20">
        <v>43350.967020412303</v>
      </c>
      <c r="AJ25" s="9"/>
      <c r="AK25" s="9" t="s">
        <v>25</v>
      </c>
      <c r="AL25" s="22">
        <v>10288.719104743512</v>
      </c>
      <c r="AM25" s="20">
        <v>1450.150677590839</v>
      </c>
      <c r="AN25" s="20">
        <v>8499.9480848859821</v>
      </c>
      <c r="AO25" s="20">
        <v>7027.5095155560284</v>
      </c>
      <c r="AP25" s="20"/>
      <c r="AQ25" s="20" t="s">
        <v>25</v>
      </c>
      <c r="AR25" s="20">
        <v>371.60531740672377</v>
      </c>
      <c r="AS25" s="20">
        <v>246.99988944530736</v>
      </c>
      <c r="AT25" s="20">
        <v>964.74182120187095</v>
      </c>
      <c r="AU25" s="20">
        <v>43350.967020412303</v>
      </c>
    </row>
    <row r="26" spans="1:47" x14ac:dyDescent="0.25">
      <c r="B26" t="s">
        <v>80</v>
      </c>
      <c r="C26" s="23">
        <v>374.21799999999996</v>
      </c>
      <c r="D26" s="23">
        <v>4651.4380000000001</v>
      </c>
      <c r="E26" s="23">
        <v>310.60000000000002</v>
      </c>
      <c r="F26" s="23">
        <v>670.35616176470592</v>
      </c>
      <c r="G26" s="23">
        <v>2905.9189999999999</v>
      </c>
      <c r="H26" s="23">
        <v>910.06900000000007</v>
      </c>
      <c r="I26" s="23">
        <v>639.53300000000002</v>
      </c>
      <c r="J26" s="23">
        <v>1589.348</v>
      </c>
      <c r="K26" s="23">
        <v>3372.194</v>
      </c>
      <c r="L26" s="23">
        <v>1909.4460000000001</v>
      </c>
      <c r="M26" s="23">
        <v>2899.4610000000002</v>
      </c>
      <c r="N26" s="23">
        <v>3830.7939999999999</v>
      </c>
      <c r="O26" s="23">
        <v>3639.17</v>
      </c>
      <c r="P26" s="23">
        <v>478.4334407442102</v>
      </c>
      <c r="Q26" s="23">
        <v>5120.3695000000007</v>
      </c>
      <c r="R26" s="23">
        <v>903.39</v>
      </c>
      <c r="S26" s="23">
        <v>3022.7170000000001</v>
      </c>
      <c r="T26" s="23">
        <v>2882.8629999999998</v>
      </c>
      <c r="U26" s="23">
        <v>1399.1878173610701</v>
      </c>
      <c r="V26" s="23">
        <v>17035.490000000002</v>
      </c>
      <c r="W26" s="21">
        <v>58544.996919869984</v>
      </c>
      <c r="X26" s="21"/>
      <c r="Y26" s="21"/>
      <c r="Z26" s="21"/>
      <c r="AA26" s="21"/>
      <c r="AB26" s="21"/>
      <c r="AC26" s="21"/>
      <c r="AD26" s="21"/>
      <c r="AE26" s="21"/>
      <c r="AJ26" s="9"/>
      <c r="AK26" s="9" t="s">
        <v>89</v>
      </c>
      <c r="AL26" s="140">
        <f>+AL25+AL24</f>
        <v>73020.645428623277</v>
      </c>
      <c r="AM26" s="140">
        <f t="shared" ref="AM26:AO26" si="0">+AM25+AM24</f>
        <v>22645.325322106466</v>
      </c>
      <c r="AN26" s="140">
        <f t="shared" si="0"/>
        <v>17091.486240851395</v>
      </c>
      <c r="AO26" s="140">
        <f t="shared" si="0"/>
        <v>13917.12894036312</v>
      </c>
      <c r="AP26" s="9"/>
      <c r="AQ26" s="9" t="s">
        <v>89</v>
      </c>
      <c r="AR26" s="140">
        <f t="shared" ref="AR26" si="1">+AR25+AR24</f>
        <v>9383.733100781832</v>
      </c>
      <c r="AS26" s="140">
        <f t="shared" ref="AS26" si="2">+AS25+AS24</f>
        <v>2222.8189712729027</v>
      </c>
      <c r="AT26" s="140">
        <f t="shared" ref="AT26" si="3">+AT25+AT24</f>
        <v>8223.0290164133203</v>
      </c>
      <c r="AU26" s="140">
        <f t="shared" ref="AU26" si="4">+AU25+AU24</f>
        <v>201969.03955579622</v>
      </c>
    </row>
    <row r="27" spans="1:47" x14ac:dyDescent="0.25">
      <c r="B27" t="s">
        <v>57</v>
      </c>
      <c r="C27" s="21">
        <v>284.53999999999996</v>
      </c>
      <c r="D27" s="21">
        <v>3828.3289999999997</v>
      </c>
      <c r="E27" s="21">
        <v>311.88099999999997</v>
      </c>
      <c r="F27" s="21">
        <v>570.92500000000007</v>
      </c>
      <c r="G27" s="21">
        <v>2611.33</v>
      </c>
      <c r="H27" s="21">
        <v>910.06900000000007</v>
      </c>
      <c r="I27" s="21">
        <v>624.97399999999993</v>
      </c>
      <c r="J27" s="21">
        <v>1521.088</v>
      </c>
      <c r="K27" s="21">
        <v>3199.1559999999999</v>
      </c>
      <c r="L27" s="21">
        <v>1853.4870000000001</v>
      </c>
      <c r="M27" s="21">
        <v>1012.7060000000001</v>
      </c>
      <c r="N27" s="21">
        <v>2912.5360000000001</v>
      </c>
      <c r="O27" s="21">
        <v>3258.058</v>
      </c>
      <c r="P27" s="21">
        <v>419.37744074421016</v>
      </c>
      <c r="Q27" s="21">
        <v>4516.2635</v>
      </c>
      <c r="R27" s="21">
        <v>643.14400000000001</v>
      </c>
      <c r="S27" s="21">
        <v>2895.6260000000002</v>
      </c>
      <c r="T27" s="21">
        <v>2629.6909999999998</v>
      </c>
      <c r="U27" s="21">
        <v>901.61638155857474</v>
      </c>
      <c r="V27" s="21">
        <v>17035.490000000002</v>
      </c>
      <c r="W27" s="21">
        <v>51940.287322302785</v>
      </c>
      <c r="X27" s="21"/>
      <c r="Y27" s="21"/>
      <c r="Z27" s="21"/>
      <c r="AA27" s="21"/>
      <c r="AB27" s="21"/>
      <c r="AC27" s="21"/>
      <c r="AD27" s="21"/>
      <c r="AE27" s="21">
        <v>51940.287322302785</v>
      </c>
      <c r="AK27" t="s">
        <v>92</v>
      </c>
    </row>
    <row r="28" spans="1:47" x14ac:dyDescent="0.25">
      <c r="B28" t="s">
        <v>58</v>
      </c>
      <c r="C28" s="21">
        <v>89.677999999999997</v>
      </c>
      <c r="D28" s="21">
        <v>823.10899999999992</v>
      </c>
      <c r="E28" s="21">
        <v>-1.2809999999999491</v>
      </c>
      <c r="F28" s="21">
        <v>99.431161764705863</v>
      </c>
      <c r="G28" s="21">
        <v>294.589</v>
      </c>
      <c r="H28" s="21">
        <v>-5.3290705182007514E-15</v>
      </c>
      <c r="I28" s="21">
        <v>14.559000000000069</v>
      </c>
      <c r="J28" s="21">
        <v>68.259999999999991</v>
      </c>
      <c r="K28" s="21">
        <v>173.03800000000001</v>
      </c>
      <c r="L28" s="21">
        <v>55.959000000000032</v>
      </c>
      <c r="M28" s="21">
        <v>1886.7550000000001</v>
      </c>
      <c r="N28" s="21">
        <v>918.2579999999997</v>
      </c>
      <c r="O28" s="21">
        <v>381.11199999999997</v>
      </c>
      <c r="P28" s="21">
        <v>59.05600000000004</v>
      </c>
      <c r="Q28" s="21">
        <v>604.10600000000034</v>
      </c>
      <c r="R28" s="21">
        <v>260.24599999999998</v>
      </c>
      <c r="S28" s="21">
        <v>127.09099999999989</v>
      </c>
      <c r="T28" s="21">
        <v>253.17200000000003</v>
      </c>
      <c r="U28" s="21">
        <v>497.57143580249539</v>
      </c>
      <c r="V28" s="21">
        <v>0</v>
      </c>
      <c r="W28" s="21">
        <v>6604.7095975672028</v>
      </c>
      <c r="X28" s="21"/>
      <c r="Y28" s="21"/>
      <c r="Z28" s="21"/>
      <c r="AA28" s="21"/>
      <c r="AB28" s="21"/>
      <c r="AC28" s="21"/>
      <c r="AD28" s="21"/>
      <c r="AE28" s="21">
        <v>6604.7095975672028</v>
      </c>
    </row>
    <row r="29" spans="1:47" x14ac:dyDescent="0.25">
      <c r="B29" s="30" t="s">
        <v>61</v>
      </c>
      <c r="C29" s="21">
        <v>-2.7469999999999999</v>
      </c>
      <c r="D29" s="21">
        <v>137.56300000000002</v>
      </c>
      <c r="E29" s="21">
        <v>28.675499026353368</v>
      </c>
      <c r="F29" s="21">
        <v>50.596500973646641</v>
      </c>
      <c r="G29" s="21">
        <v>1085.826</v>
      </c>
      <c r="H29" s="21">
        <v>104.20399999999999</v>
      </c>
      <c r="I29" s="21">
        <v>400.85599999999999</v>
      </c>
      <c r="J29" s="21">
        <v>773.51300000000003</v>
      </c>
      <c r="K29" s="21">
        <v>2836.7539999999999</v>
      </c>
      <c r="L29" s="21">
        <v>317.50899999999996</v>
      </c>
      <c r="M29" s="21">
        <v>2193.241</v>
      </c>
      <c r="N29" s="21">
        <v>264.64600000000002</v>
      </c>
      <c r="O29" s="21">
        <v>161.84899999999999</v>
      </c>
      <c r="P29" s="21">
        <v>64.462000000000003</v>
      </c>
      <c r="Q29" s="21">
        <v>233.10599999999999</v>
      </c>
      <c r="R29" s="21">
        <v>123.13</v>
      </c>
      <c r="S29" s="21">
        <v>1371.6859999999999</v>
      </c>
      <c r="T29" s="21">
        <v>200.227</v>
      </c>
      <c r="U29" s="21">
        <v>99.500418410259655</v>
      </c>
      <c r="V29" s="21">
        <v>-270.59800000000001</v>
      </c>
      <c r="W29" s="21">
        <v>10173.999418410258</v>
      </c>
      <c r="X29" s="21"/>
      <c r="Y29" s="21"/>
      <c r="Z29" s="21"/>
      <c r="AA29" s="21"/>
      <c r="AB29" s="21"/>
      <c r="AC29" s="21"/>
      <c r="AD29" s="21"/>
      <c r="AE29" s="21">
        <v>10173.999418410258</v>
      </c>
    </row>
    <row r="30" spans="1:47" x14ac:dyDescent="0.25">
      <c r="B30" t="s">
        <v>26</v>
      </c>
      <c r="C30" s="21">
        <v>207.92899999999997</v>
      </c>
      <c r="D30" s="21">
        <v>1088.2990000000004</v>
      </c>
      <c r="E30" s="21">
        <v>54.841429443074162</v>
      </c>
      <c r="F30" s="21">
        <v>680.43040879222008</v>
      </c>
      <c r="G30" s="21">
        <v>1488.6549999999997</v>
      </c>
      <c r="H30" s="21">
        <v>1438.527</v>
      </c>
      <c r="I30" s="21">
        <v>1335.2109999999998</v>
      </c>
      <c r="J30" s="21">
        <v>976.33899999999994</v>
      </c>
      <c r="K30" s="21">
        <v>1618.3519999999999</v>
      </c>
      <c r="L30" s="21">
        <v>1949.9449999999997</v>
      </c>
      <c r="M30" s="21">
        <v>12972.797999999999</v>
      </c>
      <c r="N30" s="21">
        <v>540.36000000000081</v>
      </c>
      <c r="O30" s="21">
        <v>543.58099999997899</v>
      </c>
      <c r="P30" s="21">
        <v>560.40455925578976</v>
      </c>
      <c r="Q30" s="21">
        <v>2179.6244999999994</v>
      </c>
      <c r="R30" s="21">
        <v>270.68000000000006</v>
      </c>
      <c r="S30" s="21">
        <v>1863.1970000000001</v>
      </c>
      <c r="T30" s="21">
        <v>562.11000000000013</v>
      </c>
      <c r="U30" s="21">
        <v>1010.7117642286705</v>
      </c>
      <c r="V30" s="21">
        <v>3092.2080000000024</v>
      </c>
      <c r="W30" s="21">
        <v>34434.20366171973</v>
      </c>
      <c r="X30" s="21"/>
      <c r="Y30" s="21"/>
      <c r="Z30" s="21"/>
      <c r="AA30" s="21"/>
      <c r="AB30" s="21"/>
      <c r="AC30" s="21"/>
      <c r="AD30" s="21"/>
      <c r="AE30" s="21">
        <v>34434.20366171973</v>
      </c>
    </row>
    <row r="31" spans="1:47" x14ac:dyDescent="0.25">
      <c r="A31" s="10"/>
      <c r="B31" t="s">
        <v>51</v>
      </c>
      <c r="C31" s="21">
        <v>579.4</v>
      </c>
      <c r="D31" s="21">
        <v>5877.3</v>
      </c>
      <c r="E31" s="21">
        <v>394.11692846942753</v>
      </c>
      <c r="F31" s="21">
        <v>1401.3830715305726</v>
      </c>
      <c r="G31" s="21">
        <v>5480.4</v>
      </c>
      <c r="H31" s="21">
        <v>2452.7999999999997</v>
      </c>
      <c r="I31" s="21">
        <v>2375.6</v>
      </c>
      <c r="J31" s="21">
        <v>3339.2</v>
      </c>
      <c r="K31" s="21">
        <v>7827.3</v>
      </c>
      <c r="L31" s="21">
        <v>4176.8999999999996</v>
      </c>
      <c r="M31" s="21">
        <v>18065.5</v>
      </c>
      <c r="N31" s="21">
        <v>4635.8</v>
      </c>
      <c r="O31" s="21">
        <v>4344.5999999999794</v>
      </c>
      <c r="P31" s="21">
        <v>1103.3</v>
      </c>
      <c r="Q31" s="21">
        <v>7533.0999999999995</v>
      </c>
      <c r="R31" s="21">
        <v>1297.2</v>
      </c>
      <c r="S31" s="21">
        <v>6257.6</v>
      </c>
      <c r="T31" s="21">
        <v>3645.2</v>
      </c>
      <c r="U31" s="21">
        <v>2509.4</v>
      </c>
      <c r="V31" s="21">
        <v>19857.100000000002</v>
      </c>
      <c r="W31" s="21">
        <v>103153.19999999998</v>
      </c>
      <c r="X31" s="21"/>
      <c r="Y31" s="21"/>
      <c r="Z31" s="21"/>
      <c r="AA31" s="21"/>
      <c r="AB31" s="21"/>
      <c r="AC31" s="21"/>
      <c r="AD31" s="21"/>
      <c r="AE31" s="21">
        <v>103153.19999999998</v>
      </c>
    </row>
    <row r="32" spans="1:47" x14ac:dyDescent="0.25">
      <c r="A32" s="9"/>
      <c r="B32" s="9" t="s">
        <v>24</v>
      </c>
      <c r="C32" s="22">
        <v>1007.1773020333685</v>
      </c>
      <c r="D32" s="22">
        <v>12308.170663023027</v>
      </c>
      <c r="E32" s="22">
        <v>1029.913</v>
      </c>
      <c r="F32" s="22">
        <v>4512.2586826113111</v>
      </c>
      <c r="G32" s="22">
        <v>9045.1934372613632</v>
      </c>
      <c r="H32" s="22">
        <v>5559.0990679074312</v>
      </c>
      <c r="I32" s="22">
        <v>4354.3364947656582</v>
      </c>
      <c r="J32" s="22">
        <v>4926.81516434485</v>
      </c>
      <c r="K32" s="22">
        <v>10832.069202631199</v>
      </c>
      <c r="L32" s="22">
        <v>8482.3063040859379</v>
      </c>
      <c r="M32" s="22">
        <v>24244.482719157302</v>
      </c>
      <c r="N32" s="22">
        <v>8535.3755226586109</v>
      </c>
      <c r="O32" s="22">
        <v>5805.6189888916597</v>
      </c>
      <c r="P32" s="22">
        <v>1218.9460107541254</v>
      </c>
      <c r="Q32" s="22">
        <v>12117.875000000002</v>
      </c>
      <c r="R32" s="22">
        <v>1385.704</v>
      </c>
      <c r="S32" s="22">
        <v>12175.871600789576</v>
      </c>
      <c r="T32" s="22">
        <v>7531.7133878417253</v>
      </c>
      <c r="U32" s="22">
        <v>3202.1413308693154</v>
      </c>
      <c r="V32" s="22">
        <v>20343.004655757475</v>
      </c>
      <c r="W32" s="22">
        <v>158618.07253538392</v>
      </c>
      <c r="X32" s="22">
        <v>73020.645428623277</v>
      </c>
      <c r="Y32" s="22">
        <v>22645.325322106466</v>
      </c>
      <c r="Z32" s="22">
        <v>17091.486240851395</v>
      </c>
      <c r="AA32" s="22">
        <v>13917.12894036312</v>
      </c>
      <c r="AB32" s="22">
        <v>9383.733100781832</v>
      </c>
      <c r="AC32" s="22">
        <v>2222.8189712729027</v>
      </c>
      <c r="AD32" s="22">
        <v>8223.0290164133203</v>
      </c>
      <c r="AE32" s="19">
        <v>305122.23955579626</v>
      </c>
    </row>
    <row r="33" spans="1:31" x14ac:dyDescent="0.25">
      <c r="B33" s="5" t="s">
        <v>27</v>
      </c>
      <c r="C33" s="21">
        <v>7332</v>
      </c>
      <c r="D33" s="21">
        <v>37982</v>
      </c>
      <c r="E33" s="21">
        <v>5862</v>
      </c>
      <c r="F33" s="21">
        <v>6667</v>
      </c>
      <c r="G33" s="21">
        <v>29582</v>
      </c>
      <c r="H33" s="21">
        <v>8510</v>
      </c>
      <c r="I33" s="21">
        <v>3616</v>
      </c>
      <c r="J33" s="21">
        <v>17333</v>
      </c>
      <c r="K33" s="21">
        <v>64327</v>
      </c>
      <c r="L33" s="21">
        <v>16344</v>
      </c>
      <c r="M33" s="21">
        <v>12487</v>
      </c>
      <c r="N33" s="21">
        <v>26204.000000000004</v>
      </c>
      <c r="O33" s="21">
        <v>45751</v>
      </c>
      <c r="P33" s="21">
        <v>16135</v>
      </c>
      <c r="Q33" s="21">
        <v>73339</v>
      </c>
      <c r="R33" s="21">
        <v>12045</v>
      </c>
      <c r="S33" s="21">
        <v>37127</v>
      </c>
      <c r="T33" s="21">
        <v>63783</v>
      </c>
      <c r="U33" s="21">
        <v>27053</v>
      </c>
      <c r="V33" s="21">
        <v>172482</v>
      </c>
      <c r="W33" s="21">
        <v>683961</v>
      </c>
      <c r="X33" s="21"/>
      <c r="Y33" s="21"/>
      <c r="Z33" s="21"/>
      <c r="AA33" s="21"/>
      <c r="AB33" s="21"/>
      <c r="AC33" s="21"/>
      <c r="AD33" s="21"/>
      <c r="AE33" s="34">
        <v>683961</v>
      </c>
    </row>
    <row r="34" spans="1:31" x14ac:dyDescent="0.25">
      <c r="B34" s="6" t="s">
        <v>59</v>
      </c>
      <c r="C34" s="21">
        <v>8351.9999999999982</v>
      </c>
      <c r="D34" s="21">
        <v>11985.000000000002</v>
      </c>
      <c r="E34" s="21">
        <v>616</v>
      </c>
      <c r="F34" s="21">
        <v>3117.0000000000009</v>
      </c>
      <c r="G34" s="21">
        <v>14783.000000000002</v>
      </c>
      <c r="H34" s="21">
        <v>2509</v>
      </c>
      <c r="I34" s="21">
        <v>437.00000000000023</v>
      </c>
      <c r="J34" s="21">
        <v>4356</v>
      </c>
      <c r="K34" s="21">
        <v>19981</v>
      </c>
      <c r="L34" s="21">
        <v>19438</v>
      </c>
      <c r="M34" s="21">
        <v>40603.999999999985</v>
      </c>
      <c r="N34" s="21">
        <v>23685.999999999989</v>
      </c>
      <c r="O34" s="21">
        <v>15509.000000000002</v>
      </c>
      <c r="P34" s="21">
        <v>4339</v>
      </c>
      <c r="Q34" s="21">
        <v>12615</v>
      </c>
      <c r="R34" s="21">
        <v>9803</v>
      </c>
      <c r="S34" s="21">
        <v>1392</v>
      </c>
      <c r="T34" s="21">
        <v>4072</v>
      </c>
      <c r="U34" s="21">
        <v>34199.560767107345</v>
      </c>
      <c r="V34" s="21">
        <v>0</v>
      </c>
      <c r="W34" s="21">
        <v>231793.56076710732</v>
      </c>
      <c r="X34" s="21"/>
      <c r="Y34" s="21"/>
      <c r="Z34" s="21"/>
      <c r="AA34" s="21"/>
      <c r="AB34" s="21"/>
      <c r="AC34" s="21"/>
      <c r="AD34" s="21"/>
      <c r="AE34" s="34">
        <v>231793.56076710732</v>
      </c>
    </row>
    <row r="35" spans="1:31" x14ac:dyDescent="0.25">
      <c r="A35" s="10"/>
      <c r="B35" s="10" t="s">
        <v>28</v>
      </c>
      <c r="C35" s="21">
        <v>15683.999999999998</v>
      </c>
      <c r="D35" s="21">
        <v>49967</v>
      </c>
      <c r="E35" s="21">
        <v>6478</v>
      </c>
      <c r="F35" s="21">
        <v>9784</v>
      </c>
      <c r="G35" s="21">
        <v>44365</v>
      </c>
      <c r="H35" s="21">
        <v>11019</v>
      </c>
      <c r="I35" s="21">
        <v>4053</v>
      </c>
      <c r="J35" s="21">
        <v>21689</v>
      </c>
      <c r="K35" s="21">
        <v>84308</v>
      </c>
      <c r="L35" s="21">
        <v>35782</v>
      </c>
      <c r="M35" s="21">
        <v>53090.999999999985</v>
      </c>
      <c r="N35" s="21">
        <v>49889.999999999993</v>
      </c>
      <c r="O35" s="21">
        <v>61260</v>
      </c>
      <c r="P35" s="21">
        <v>20474</v>
      </c>
      <c r="Q35" s="21">
        <v>85954</v>
      </c>
      <c r="R35" s="21">
        <v>21848</v>
      </c>
      <c r="S35" s="21">
        <v>38519</v>
      </c>
      <c r="T35" s="21">
        <v>67855</v>
      </c>
      <c r="U35" s="21">
        <v>61252.560767107345</v>
      </c>
      <c r="V35" s="21">
        <v>172482</v>
      </c>
      <c r="W35" s="21">
        <v>915754.56076710729</v>
      </c>
      <c r="X35" s="21"/>
      <c r="Y35" s="21"/>
      <c r="Z35" s="21"/>
      <c r="AA35" s="21"/>
      <c r="AB35" s="21"/>
      <c r="AC35" s="21"/>
      <c r="AD35" s="21"/>
      <c r="AE35" s="34">
        <v>915754.56076710729</v>
      </c>
    </row>
    <row r="36" spans="1:31" x14ac:dyDescent="0.25">
      <c r="A36" s="9"/>
      <c r="B36" s="4" t="s">
        <v>62</v>
      </c>
      <c r="C36" s="22">
        <v>322.3126493792351</v>
      </c>
      <c r="D36" s="22">
        <v>4042.120947456212</v>
      </c>
      <c r="E36" s="22">
        <v>235.61936893405772</v>
      </c>
      <c r="F36" s="22">
        <v>537.44961896256814</v>
      </c>
      <c r="G36" s="22">
        <v>2354.1371111642534</v>
      </c>
      <c r="H36" s="22">
        <v>704.89282948889775</v>
      </c>
      <c r="I36" s="22">
        <v>452.66358900439536</v>
      </c>
      <c r="J36" s="22">
        <v>1348.9181019018688</v>
      </c>
      <c r="K36" s="22">
        <v>2821.9954443301185</v>
      </c>
      <c r="L36" s="22">
        <v>1622.8739809978022</v>
      </c>
      <c r="M36" s="22">
        <v>2758.4315943817219</v>
      </c>
      <c r="N36" s="22">
        <v>3430.4979009177196</v>
      </c>
      <c r="O36" s="22">
        <v>3125.5195381705244</v>
      </c>
      <c r="P36" s="22">
        <v>421.58912394456149</v>
      </c>
      <c r="Q36" s="22">
        <v>4309.6634975746238</v>
      </c>
      <c r="R36" s="22">
        <v>801.6331433652183</v>
      </c>
      <c r="S36" s="22">
        <v>2755.5666267852466</v>
      </c>
      <c r="T36" s="22">
        <v>2617.486066470995</v>
      </c>
      <c r="U36" s="22">
        <v>1129.9396748492818</v>
      </c>
      <c r="V36" s="22">
        <v>12095.12653441256</v>
      </c>
      <c r="W36" s="22">
        <v>47888.437342491859</v>
      </c>
      <c r="X36" s="22"/>
      <c r="Y36" s="22"/>
      <c r="Z36" s="22"/>
      <c r="AA36" s="22"/>
      <c r="AB36" s="22"/>
      <c r="AC36" s="22"/>
      <c r="AD36" s="22"/>
      <c r="AE36" s="22"/>
    </row>
    <row r="37" spans="1:31" x14ac:dyDescent="0.25">
      <c r="B37" s="31" t="s">
        <v>63</v>
      </c>
      <c r="C37" s="21">
        <v>30.426381964474196</v>
      </c>
      <c r="D37" s="21">
        <v>779.0347393559631</v>
      </c>
      <c r="E37" s="21">
        <v>28.702418158843404</v>
      </c>
      <c r="F37" s="21">
        <v>78.868971833106642</v>
      </c>
      <c r="G37" s="21">
        <v>343.61457369223103</v>
      </c>
      <c r="H37" s="21">
        <v>196.84883058213086</v>
      </c>
      <c r="I37" s="21">
        <v>237.56230507550484</v>
      </c>
      <c r="J37" s="21">
        <v>253.97659269751023</v>
      </c>
      <c r="K37" s="21">
        <v>2002.0327421164448</v>
      </c>
      <c r="L37" s="21">
        <v>483.63683136912579</v>
      </c>
      <c r="M37" s="21">
        <v>1048.8382537131254</v>
      </c>
      <c r="N37" s="21">
        <v>497.73060502701435</v>
      </c>
      <c r="O37" s="21">
        <v>401.85201346514407</v>
      </c>
      <c r="P37" s="21">
        <v>72.793292468352234</v>
      </c>
      <c r="Q37" s="21">
        <v>662.84236693648063</v>
      </c>
      <c r="R37" s="21">
        <v>88.913740243362241</v>
      </c>
      <c r="S37" s="21">
        <v>1299.1188802977906</v>
      </c>
      <c r="T37" s="21">
        <v>384.52472910233598</v>
      </c>
      <c r="U37" s="21">
        <v>134.76844319388221</v>
      </c>
      <c r="V37" s="21">
        <v>1253.4172887071777</v>
      </c>
      <c r="W37" s="21">
        <v>10279.503999999999</v>
      </c>
      <c r="X37" s="21"/>
      <c r="Y37" s="21"/>
      <c r="Z37" s="21"/>
      <c r="AA37" s="21"/>
      <c r="AB37" s="21"/>
      <c r="AC37" s="21"/>
      <c r="AD37" s="21"/>
      <c r="AE37" s="21">
        <v>10279.503999999999</v>
      </c>
    </row>
    <row r="38" spans="1:31" x14ac:dyDescent="0.25">
      <c r="B38" t="s">
        <v>64</v>
      </c>
      <c r="C38" s="21">
        <v>17.113358049185234</v>
      </c>
      <c r="D38" s="21">
        <v>269.73926900571138</v>
      </c>
      <c r="E38" s="21">
        <v>18.60040141942023</v>
      </c>
      <c r="F38" s="21">
        <v>43.18584846612849</v>
      </c>
      <c r="G38" s="21">
        <v>174.79544298586117</v>
      </c>
      <c r="H38" s="21">
        <v>53.022872729493919</v>
      </c>
      <c r="I38" s="21">
        <v>35.516794609626977</v>
      </c>
      <c r="J38" s="21">
        <v>98.767961933988744</v>
      </c>
      <c r="K38" s="21">
        <v>186.75571752392619</v>
      </c>
      <c r="L38" s="21">
        <v>123.65445790576184</v>
      </c>
      <c r="M38" s="21">
        <v>175.4648108802642</v>
      </c>
      <c r="N38" s="21">
        <v>237.53025494525116</v>
      </c>
      <c r="O38" s="21">
        <v>224.53201746267229</v>
      </c>
      <c r="P38" s="21">
        <v>33.673401408625665</v>
      </c>
      <c r="Q38" s="21">
        <v>313.49485264819793</v>
      </c>
      <c r="R38" s="21">
        <v>48.579976654317065</v>
      </c>
      <c r="S38" s="21">
        <v>150.82839312511635</v>
      </c>
      <c r="T38" s="21">
        <v>162.46685436233707</v>
      </c>
      <c r="U38" s="21">
        <v>70.839870757129631</v>
      </c>
      <c r="V38" s="21">
        <v>1058.6444431269833</v>
      </c>
      <c r="W38" s="21">
        <v>3497.2069999999985</v>
      </c>
      <c r="X38" s="21"/>
      <c r="Y38" s="21"/>
      <c r="Z38" s="21"/>
      <c r="AA38" s="21"/>
      <c r="AB38" s="21"/>
      <c r="AC38" s="21"/>
      <c r="AD38" s="21"/>
      <c r="AE38" s="21">
        <v>3497.2069999999985</v>
      </c>
    </row>
    <row r="39" spans="1:31" x14ac:dyDescent="0.25">
      <c r="B39" t="s">
        <v>65</v>
      </c>
      <c r="C39" s="21">
        <v>5.761651051030741</v>
      </c>
      <c r="D39" s="21">
        <v>413.50529808271415</v>
      </c>
      <c r="E39" s="21">
        <v>2.8484790565053948</v>
      </c>
      <c r="F39" s="21">
        <v>4.1863203392634709</v>
      </c>
      <c r="G39" s="21">
        <v>78.807003548293295</v>
      </c>
      <c r="H39" s="21">
        <v>48.572460986870581</v>
      </c>
      <c r="I39" s="21">
        <v>0</v>
      </c>
      <c r="J39" s="21">
        <v>117.902</v>
      </c>
      <c r="K39" s="21">
        <v>1732.2760000000001</v>
      </c>
      <c r="L39" s="21">
        <v>3.1601065168211537</v>
      </c>
      <c r="M39" s="21">
        <v>631.66500000000008</v>
      </c>
      <c r="N39" s="21">
        <v>188.98554349369294</v>
      </c>
      <c r="O39" s="21">
        <v>127.89631269879992</v>
      </c>
      <c r="P39" s="21">
        <v>27.515469837574635</v>
      </c>
      <c r="Q39" s="21">
        <v>248.37216998314707</v>
      </c>
      <c r="R39" s="21">
        <v>29.21131984403355</v>
      </c>
      <c r="S39" s="21">
        <v>252.05102492649991</v>
      </c>
      <c r="T39" s="21">
        <v>163.68294396177524</v>
      </c>
      <c r="U39" s="21">
        <v>40.592895672977129</v>
      </c>
      <c r="V39" s="21">
        <v>0</v>
      </c>
      <c r="W39" s="21">
        <v>4116.9919999999993</v>
      </c>
      <c r="X39" s="21"/>
      <c r="Y39" s="21"/>
      <c r="Z39" s="21"/>
      <c r="AA39" s="21"/>
      <c r="AB39" s="21"/>
      <c r="AC39" s="21"/>
      <c r="AD39" s="21"/>
      <c r="AE39" s="21">
        <v>4116.9919999999993</v>
      </c>
    </row>
    <row r="40" spans="1:31" x14ac:dyDescent="0.25">
      <c r="B40" t="s">
        <v>66</v>
      </c>
      <c r="C40" s="21">
        <v>0</v>
      </c>
      <c r="D40" s="21">
        <v>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  <c r="N40" s="21">
        <v>0</v>
      </c>
      <c r="O40" s="21">
        <v>0</v>
      </c>
      <c r="P40" s="21">
        <v>0</v>
      </c>
      <c r="Q40" s="21">
        <v>0</v>
      </c>
      <c r="R40" s="21">
        <v>0</v>
      </c>
      <c r="S40" s="21">
        <v>810.03800000000047</v>
      </c>
      <c r="T40" s="21">
        <v>0</v>
      </c>
      <c r="U40" s="21">
        <v>0</v>
      </c>
      <c r="V40" s="21">
        <v>0</v>
      </c>
      <c r="W40" s="21">
        <v>810.03800000000047</v>
      </c>
      <c r="X40" s="21"/>
      <c r="Y40" s="21"/>
      <c r="Z40" s="21"/>
      <c r="AA40" s="21"/>
      <c r="AB40" s="21"/>
      <c r="AC40" s="21"/>
      <c r="AD40" s="21"/>
      <c r="AE40" s="21">
        <v>810.03800000000047</v>
      </c>
    </row>
    <row r="41" spans="1:31" x14ac:dyDescent="0.25">
      <c r="A41" s="10"/>
      <c r="B41" s="10" t="s">
        <v>67</v>
      </c>
      <c r="C41" s="20">
        <v>7.5513728642582194</v>
      </c>
      <c r="D41" s="20">
        <v>95.790172267537571</v>
      </c>
      <c r="E41" s="20">
        <v>7.2535376829177798</v>
      </c>
      <c r="F41" s="20">
        <v>31.496803027714684</v>
      </c>
      <c r="G41" s="20">
        <v>90.012127158076552</v>
      </c>
      <c r="H41" s="20">
        <v>95.253496865766337</v>
      </c>
      <c r="I41" s="20">
        <v>202.04551046587784</v>
      </c>
      <c r="J41" s="20">
        <v>37.306630763521461</v>
      </c>
      <c r="K41" s="20">
        <v>83.001024592518533</v>
      </c>
      <c r="L41" s="20">
        <v>356.82226694654287</v>
      </c>
      <c r="M41" s="20">
        <v>241.7084428328611</v>
      </c>
      <c r="N41" s="20">
        <v>71.21480658807026</v>
      </c>
      <c r="O41" s="20">
        <v>49.423683303671879</v>
      </c>
      <c r="P41" s="20">
        <v>11.604421222151952</v>
      </c>
      <c r="Q41" s="20">
        <v>100.97534430513572</v>
      </c>
      <c r="R41" s="20">
        <v>11.122443745011621</v>
      </c>
      <c r="S41" s="20">
        <v>86.201462246173733</v>
      </c>
      <c r="T41" s="20">
        <v>58.374930778223671</v>
      </c>
      <c r="U41" s="20">
        <v>23.335676763775449</v>
      </c>
      <c r="V41" s="20">
        <v>194.77284558019429</v>
      </c>
      <c r="W41" s="20">
        <v>1855.2670000000016</v>
      </c>
      <c r="X41" s="20"/>
      <c r="Y41" s="20"/>
      <c r="Z41" s="20"/>
      <c r="AA41" s="20"/>
      <c r="AB41" s="20"/>
      <c r="AC41" s="20"/>
      <c r="AD41" s="20"/>
      <c r="AE41" s="20">
        <v>1855.2670000000016</v>
      </c>
    </row>
    <row r="42" spans="1:31" x14ac:dyDescent="0.25"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Y42" s="16"/>
      <c r="Z42" s="16"/>
      <c r="AA42" s="16"/>
      <c r="AB42" s="16"/>
      <c r="AC42" s="16"/>
      <c r="AD42" s="16"/>
      <c r="AE42" s="16"/>
    </row>
    <row r="43" spans="1:31" x14ac:dyDescent="0.25">
      <c r="A43" s="30" t="s">
        <v>81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Y43" s="16"/>
      <c r="Z43" s="16"/>
      <c r="AA43" s="16"/>
      <c r="AB43" s="16"/>
      <c r="AC43" s="16"/>
      <c r="AD43" s="16"/>
      <c r="AE43" s="16"/>
    </row>
    <row r="44" spans="1:31" x14ac:dyDescent="0.25">
      <c r="A44" s="30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Y44" s="16"/>
      <c r="Z44" s="16"/>
      <c r="AA44" s="16"/>
      <c r="AB44" s="16"/>
      <c r="AC44" s="16"/>
      <c r="AD44" s="16"/>
      <c r="AE44" s="16"/>
    </row>
    <row r="46" spans="1:31" x14ac:dyDescent="0.25">
      <c r="B46" s="32"/>
    </row>
    <row r="47" spans="1:31" x14ac:dyDescent="0.25">
      <c r="B47" s="32"/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28"/>
  <sheetViews>
    <sheetView zoomScale="89" zoomScaleNormal="89" workbookViewId="0">
      <selection activeCell="B34" sqref="B34"/>
    </sheetView>
  </sheetViews>
  <sheetFormatPr defaultRowHeight="12.5" x14ac:dyDescent="0.25"/>
  <cols>
    <col min="1" max="1" width="3.54296875" style="46" customWidth="1"/>
    <col min="2" max="2" width="26.81640625" style="46" customWidth="1"/>
    <col min="3" max="3" width="8.7265625" style="46"/>
    <col min="4" max="4" width="9" style="46" customWidth="1"/>
    <col min="5" max="5" width="2.08984375" style="46" customWidth="1"/>
    <col min="6" max="6" width="8.7265625" style="46"/>
    <col min="7" max="7" width="11" style="46" customWidth="1"/>
    <col min="8" max="8" width="2.26953125" style="46" customWidth="1"/>
    <col min="9" max="9" width="10.453125" style="46" customWidth="1"/>
    <col min="10" max="10" width="11.81640625" style="46" customWidth="1"/>
    <col min="11" max="11" width="10" style="46" customWidth="1"/>
    <col min="12" max="12" width="12.54296875" style="46" customWidth="1"/>
    <col min="13" max="15" width="8.7265625" style="46"/>
    <col min="16" max="16" width="8" style="46" customWidth="1"/>
    <col min="17" max="18" width="8.7265625" style="46"/>
    <col min="19" max="19" width="2" style="46" customWidth="1"/>
    <col min="20" max="23" width="8.7265625" style="46"/>
    <col min="24" max="24" width="16.1796875" style="46" hidden="1" customWidth="1"/>
    <col min="25" max="25" width="6.453125" style="46" hidden="1" customWidth="1"/>
    <col min="26" max="26" width="34.90625" style="46" hidden="1" customWidth="1"/>
    <col min="27" max="48" width="0" style="46" hidden="1" customWidth="1"/>
    <col min="49" max="16384" width="8.7265625" style="46"/>
  </cols>
  <sheetData>
    <row r="1" spans="1:45" ht="13" x14ac:dyDescent="0.3">
      <c r="A1" s="45" t="s">
        <v>83</v>
      </c>
    </row>
    <row r="2" spans="1:45" ht="13" x14ac:dyDescent="0.3">
      <c r="A2" s="45"/>
    </row>
    <row r="3" spans="1:45" s="56" customFormat="1" ht="25.5" customHeight="1" x14ac:dyDescent="0.3">
      <c r="A3" s="90"/>
      <c r="B3" s="90"/>
      <c r="C3" s="160" t="s">
        <v>94</v>
      </c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90"/>
      <c r="T3" s="151" t="s">
        <v>53</v>
      </c>
      <c r="U3" s="152"/>
      <c r="Y3" s="90"/>
      <c r="Z3" s="90"/>
      <c r="AA3" s="160" t="s">
        <v>94</v>
      </c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90"/>
      <c r="AR3" s="151" t="s">
        <v>53</v>
      </c>
      <c r="AS3" s="152"/>
    </row>
    <row r="4" spans="1:45" ht="30" customHeight="1" x14ac:dyDescent="0.25">
      <c r="C4" s="155" t="s">
        <v>30</v>
      </c>
      <c r="D4" s="156"/>
      <c r="E4" s="90"/>
      <c r="F4" s="155" t="s">
        <v>31</v>
      </c>
      <c r="G4" s="156"/>
      <c r="H4" s="90"/>
      <c r="I4" s="157" t="s">
        <v>74</v>
      </c>
      <c r="J4" s="154"/>
      <c r="K4" s="158" t="s">
        <v>73</v>
      </c>
      <c r="L4" s="159"/>
      <c r="M4" s="155" t="s">
        <v>68</v>
      </c>
      <c r="N4" s="159"/>
      <c r="O4" s="155" t="s">
        <v>69</v>
      </c>
      <c r="P4" s="156"/>
      <c r="Q4" s="159" t="s">
        <v>70</v>
      </c>
      <c r="R4" s="156"/>
      <c r="S4" s="56"/>
      <c r="T4" s="153" t="s">
        <v>32</v>
      </c>
      <c r="U4" s="154"/>
      <c r="X4" s="46" t="s">
        <v>95</v>
      </c>
      <c r="AA4" s="155" t="s">
        <v>30</v>
      </c>
      <c r="AB4" s="156"/>
      <c r="AC4" s="90"/>
      <c r="AD4" s="155" t="s">
        <v>31</v>
      </c>
      <c r="AE4" s="156"/>
      <c r="AF4" s="90"/>
      <c r="AG4" s="157" t="s">
        <v>74</v>
      </c>
      <c r="AH4" s="154"/>
      <c r="AI4" s="158" t="s">
        <v>73</v>
      </c>
      <c r="AJ4" s="159"/>
      <c r="AK4" s="155" t="s">
        <v>68</v>
      </c>
      <c r="AL4" s="159"/>
      <c r="AM4" s="155" t="s">
        <v>69</v>
      </c>
      <c r="AN4" s="156"/>
      <c r="AO4" s="159" t="s">
        <v>70</v>
      </c>
      <c r="AP4" s="156"/>
      <c r="AQ4" s="56"/>
      <c r="AR4" s="153" t="s">
        <v>32</v>
      </c>
      <c r="AS4" s="154"/>
    </row>
    <row r="5" spans="1:45" s="67" customFormat="1" x14ac:dyDescent="0.25">
      <c r="B5" s="68" t="s">
        <v>0</v>
      </c>
      <c r="C5" s="92" t="s">
        <v>33</v>
      </c>
      <c r="D5" s="93" t="s">
        <v>34</v>
      </c>
      <c r="E5" s="94"/>
      <c r="F5" s="92" t="s">
        <v>33</v>
      </c>
      <c r="G5" s="93" t="s">
        <v>34</v>
      </c>
      <c r="H5" s="94"/>
      <c r="I5" s="92" t="s">
        <v>33</v>
      </c>
      <c r="J5" s="93" t="s">
        <v>34</v>
      </c>
      <c r="K5" s="95" t="s">
        <v>71</v>
      </c>
      <c r="L5" s="96" t="s">
        <v>72</v>
      </c>
      <c r="M5" s="95" t="s">
        <v>71</v>
      </c>
      <c r="N5" s="96" t="s">
        <v>72</v>
      </c>
      <c r="O5" s="95" t="s">
        <v>71</v>
      </c>
      <c r="P5" s="97" t="s">
        <v>72</v>
      </c>
      <c r="Q5" s="96" t="s">
        <v>71</v>
      </c>
      <c r="R5" s="97" t="s">
        <v>72</v>
      </c>
      <c r="S5" s="77"/>
      <c r="T5" s="92" t="s">
        <v>33</v>
      </c>
      <c r="U5" s="93" t="s">
        <v>34</v>
      </c>
      <c r="Z5" s="68" t="s">
        <v>0</v>
      </c>
      <c r="AA5" s="92" t="s">
        <v>33</v>
      </c>
      <c r="AB5" s="93" t="s">
        <v>34</v>
      </c>
      <c r="AC5" s="94"/>
      <c r="AD5" s="92" t="s">
        <v>33</v>
      </c>
      <c r="AE5" s="93" t="s">
        <v>34</v>
      </c>
      <c r="AF5" s="94"/>
      <c r="AG5" s="92" t="s">
        <v>33</v>
      </c>
      <c r="AH5" s="93" t="s">
        <v>34</v>
      </c>
      <c r="AI5" s="95" t="s">
        <v>71</v>
      </c>
      <c r="AJ5" s="96" t="s">
        <v>72</v>
      </c>
      <c r="AK5" s="95" t="s">
        <v>71</v>
      </c>
      <c r="AL5" s="96" t="s">
        <v>72</v>
      </c>
      <c r="AM5" s="95" t="s">
        <v>71</v>
      </c>
      <c r="AN5" s="97" t="s">
        <v>72</v>
      </c>
      <c r="AO5" s="96" t="s">
        <v>71</v>
      </c>
      <c r="AP5" s="97" t="s">
        <v>72</v>
      </c>
      <c r="AQ5" s="77"/>
      <c r="AR5" s="92" t="s">
        <v>33</v>
      </c>
      <c r="AS5" s="93" t="s">
        <v>34</v>
      </c>
    </row>
    <row r="6" spans="1:45" x14ac:dyDescent="0.25">
      <c r="A6" s="55">
        <v>1</v>
      </c>
      <c r="B6" s="55" t="s">
        <v>1</v>
      </c>
      <c r="C6" s="74">
        <v>1.3860268951463217</v>
      </c>
      <c r="D6" s="75">
        <v>1.9184367264908766</v>
      </c>
      <c r="E6" s="44"/>
      <c r="F6" s="98">
        <v>0.42911370913042685</v>
      </c>
      <c r="G6" s="99">
        <v>0.57563330669355917</v>
      </c>
      <c r="H6" s="44"/>
      <c r="I6" s="100">
        <v>5.0045010264240956E-2</v>
      </c>
      <c r="J6" s="101">
        <v>8.2440278656933319E-2</v>
      </c>
      <c r="K6" s="100">
        <v>2.4405818338413297E-2</v>
      </c>
      <c r="L6" s="101">
        <v>3.5007647008655961E-2</v>
      </c>
      <c r="M6" s="100">
        <v>1.2821951092379087E-2</v>
      </c>
      <c r="N6" s="101">
        <v>2.6851971433063972E-2</v>
      </c>
      <c r="O6" s="102">
        <v>7.6665015246106527E-4</v>
      </c>
      <c r="P6" s="103">
        <v>1.9393378418880516E-3</v>
      </c>
      <c r="Q6" s="102">
        <v>1.2050590680987497E-2</v>
      </c>
      <c r="R6" s="103">
        <v>1.8641322373325352E-2</v>
      </c>
      <c r="S6" s="77"/>
      <c r="T6" s="104">
        <v>1.3409141361963528</v>
      </c>
      <c r="U6" s="105">
        <v>1.798765273137048</v>
      </c>
      <c r="X6" s="141">
        <f>'I-O condensed 2022'!AE4/'I-O condensed 2022'!AE$24</f>
        <v>6.3497007997540206E-3</v>
      </c>
      <c r="Y6" s="55">
        <v>1</v>
      </c>
      <c r="Z6" s="55" t="s">
        <v>1</v>
      </c>
      <c r="AA6" s="74">
        <f>C6*$X6</f>
        <v>8.8008560845911805E-3</v>
      </c>
      <c r="AB6" s="74">
        <f>D6*$X6</f>
        <v>1.2181499216476604E-2</v>
      </c>
      <c r="AC6" s="44"/>
      <c r="AD6" s="74">
        <f>F6*$X6</f>
        <v>2.7247436620508854E-3</v>
      </c>
      <c r="AE6" s="74">
        <f>G6*$X6</f>
        <v>3.6550992678771443E-3</v>
      </c>
      <c r="AF6" s="44"/>
      <c r="AG6" s="74">
        <f t="shared" ref="AG6:AP6" si="0">I6*$X6</f>
        <v>3.1777084169854895E-4</v>
      </c>
      <c r="AH6" s="74">
        <f t="shared" si="0"/>
        <v>5.2347110331987378E-4</v>
      </c>
      <c r="AI6" s="74">
        <f t="shared" si="0"/>
        <v>1.5496964422207426E-4</v>
      </c>
      <c r="AJ6" s="74">
        <f t="shared" si="0"/>
        <v>2.2228808420836921E-4</v>
      </c>
      <c r="AK6" s="74">
        <f t="shared" si="0"/>
        <v>8.141555310568642E-5</v>
      </c>
      <c r="AL6" s="74">
        <f t="shared" si="0"/>
        <v>1.7050198448349843E-4</v>
      </c>
      <c r="AM6" s="74">
        <f t="shared" si="0"/>
        <v>4.8679990862135676E-6</v>
      </c>
      <c r="AN6" s="74">
        <f t="shared" si="0"/>
        <v>1.2314215045629798E-5</v>
      </c>
      <c r="AO6" s="74">
        <f t="shared" si="0"/>
        <v>7.6517645284574661E-5</v>
      </c>
      <c r="AP6" s="74">
        <f t="shared" si="0"/>
        <v>1.1836681958237651E-4</v>
      </c>
      <c r="AQ6" s="77"/>
      <c r="AR6" s="74">
        <f>T6*$X6</f>
        <v>8.5144035630074534E-3</v>
      </c>
      <c r="AS6" s="74">
        <f>U6*$X6</f>
        <v>1.1421621293408074E-2</v>
      </c>
    </row>
    <row r="7" spans="1:45" x14ac:dyDescent="0.25">
      <c r="A7" s="46">
        <v>2</v>
      </c>
      <c r="B7" s="46" t="s">
        <v>50</v>
      </c>
      <c r="C7" s="74">
        <v>1.4996400540050692</v>
      </c>
      <c r="D7" s="75">
        <v>2.0834013702151957</v>
      </c>
      <c r="E7" s="44"/>
      <c r="F7" s="74">
        <v>0.47050217501275576</v>
      </c>
      <c r="G7" s="75">
        <v>0.63115374094651655</v>
      </c>
      <c r="H7" s="44"/>
      <c r="I7" s="106">
        <v>9.9261626591619703E-2</v>
      </c>
      <c r="J7" s="107">
        <v>0.13478145248991327</v>
      </c>
      <c r="K7" s="106">
        <v>3.178983994174997E-2</v>
      </c>
      <c r="L7" s="107">
        <v>4.3414226071407776E-2</v>
      </c>
      <c r="M7" s="106">
        <v>5.1484777497430606E-2</v>
      </c>
      <c r="N7" s="107">
        <v>6.6868007968305734E-2</v>
      </c>
      <c r="O7" s="108">
        <v>2.3453483895722774E-3</v>
      </c>
      <c r="P7" s="109">
        <v>3.6311430326848751E-3</v>
      </c>
      <c r="Q7" s="108">
        <v>1.3641660762866886E-2</v>
      </c>
      <c r="R7" s="109">
        <v>2.0868075417514835E-2</v>
      </c>
      <c r="S7" s="77"/>
      <c r="T7" s="110">
        <v>1.4326689237304817</v>
      </c>
      <c r="U7" s="111">
        <v>1.9218494595180107</v>
      </c>
      <c r="X7" s="141">
        <f>'I-O condensed 2022'!AE5/'I-O condensed 2022'!AE$24</f>
        <v>7.7596269241497484E-2</v>
      </c>
      <c r="Y7" s="46">
        <v>2</v>
      </c>
      <c r="Z7" s="46" t="s">
        <v>50</v>
      </c>
      <c r="AA7" s="74">
        <f t="shared" ref="AA7:AB25" si="1">C7*$X7</f>
        <v>0.11636647339591118</v>
      </c>
      <c r="AB7" s="74">
        <f t="shared" si="1"/>
        <v>0.1616641736613231</v>
      </c>
      <c r="AC7" s="44"/>
      <c r="AD7" s="74">
        <f t="shared" ref="AD7:AD25" si="2">F7*$X7</f>
        <v>3.6509213450999965E-2</v>
      </c>
      <c r="AE7" s="74">
        <f t="shared" ref="AE7:AE25" si="3">G7*$X7</f>
        <v>4.8975175615264252E-2</v>
      </c>
      <c r="AF7" s="44"/>
      <c r="AG7" s="74">
        <f t="shared" ref="AG7:AG25" si="4">I7*$X7</f>
        <v>7.702331902352309E-3</v>
      </c>
      <c r="AH7" s="74">
        <f t="shared" ref="AH7:AH25" si="5">J7*$X7</f>
        <v>1.0458537876167412E-2</v>
      </c>
      <c r="AI7" s="74">
        <f t="shared" ref="AI7:AI25" si="6">K7*$X7</f>
        <v>2.4667729792641415E-3</v>
      </c>
      <c r="AJ7" s="74">
        <f t="shared" ref="AJ7:AJ25" si="7">L7*$X7</f>
        <v>3.3687819751481974E-3</v>
      </c>
      <c r="AK7" s="74">
        <f t="shared" ref="AK7:AK25" si="8">M7*$X7</f>
        <v>3.995026656529216E-3</v>
      </c>
      <c r="AL7" s="74">
        <f t="shared" ref="AL7:AL25" si="9">N7*$X7</f>
        <v>5.1887079499512512E-3</v>
      </c>
      <c r="AM7" s="74">
        <f t="shared" ref="AM7:AM25" si="10">O7*$X7</f>
        <v>1.8199028510236295E-4</v>
      </c>
      <c r="AN7" s="74">
        <f t="shared" ref="AN7:AN25" si="11">P7*$X7</f>
        <v>2.8176315241860327E-4</v>
      </c>
      <c r="AO7" s="74">
        <f t="shared" ref="AO7:AO25" si="12">Q7*$X7</f>
        <v>1.0585419814565908E-3</v>
      </c>
      <c r="AP7" s="74">
        <f t="shared" ref="AP7:AP25" si="13">R7*$X7</f>
        <v>1.6192847986493562E-3</v>
      </c>
      <c r="AQ7" s="77"/>
      <c r="AR7" s="74">
        <f t="shared" ref="AR7:AR25" si="14">T7*$X7</f>
        <v>0.11116976353971689</v>
      </c>
      <c r="AS7" s="74">
        <f t="shared" ref="AS7:AS25" si="15">U7*$X7</f>
        <v>0.14912834810238598</v>
      </c>
    </row>
    <row r="8" spans="1:45" x14ac:dyDescent="0.25">
      <c r="A8" s="46">
        <v>3</v>
      </c>
      <c r="B8" s="46" t="s">
        <v>3</v>
      </c>
      <c r="C8" s="74">
        <v>1.5914282205334827</v>
      </c>
      <c r="D8" s="75">
        <v>2.106954799631191</v>
      </c>
      <c r="E8" s="44"/>
      <c r="F8" s="74">
        <v>0.41550608100768399</v>
      </c>
      <c r="G8" s="75">
        <v>0.55737939448827478</v>
      </c>
      <c r="H8" s="44"/>
      <c r="I8" s="106">
        <v>6.2244213661132829E-2</v>
      </c>
      <c r="J8" s="107">
        <v>9.3612195449261776E-2</v>
      </c>
      <c r="K8" s="106">
        <v>3.0735166835217233E-2</v>
      </c>
      <c r="L8" s="107">
        <v>4.1000800835152014E-2</v>
      </c>
      <c r="M8" s="106">
        <v>1.4310344770929862E-2</v>
      </c>
      <c r="N8" s="107">
        <v>2.7895459028941597E-2</v>
      </c>
      <c r="O8" s="108">
        <v>3.7868702388071441E-3</v>
      </c>
      <c r="P8" s="109">
        <v>4.9223708199169006E-3</v>
      </c>
      <c r="Q8" s="108">
        <v>1.3411831816178584E-2</v>
      </c>
      <c r="R8" s="109">
        <v>1.9793564765251268E-2</v>
      </c>
      <c r="S8" s="77"/>
      <c r="T8" s="110">
        <v>1.81621365147036</v>
      </c>
      <c r="U8" s="111">
        <v>2.4363543918847408</v>
      </c>
      <c r="X8" s="141">
        <f>'I-O condensed 2022'!AE6/'I-O condensed 2022'!AE$24</f>
        <v>6.4930369127405132E-3</v>
      </c>
      <c r="Y8" s="46">
        <v>3</v>
      </c>
      <c r="Z8" s="46" t="s">
        <v>3</v>
      </c>
      <c r="AA8" s="74">
        <f t="shared" si="1"/>
        <v>1.0333202179900853E-2</v>
      </c>
      <c r="AB8" s="74">
        <f t="shared" si="1"/>
        <v>1.3680535287481116E-2</v>
      </c>
      <c r="AC8" s="44"/>
      <c r="AD8" s="74">
        <f t="shared" si="2"/>
        <v>2.697896321451042E-3</v>
      </c>
      <c r="AE8" s="74">
        <f t="shared" si="3"/>
        <v>3.6190849828133245E-3</v>
      </c>
      <c r="AF8" s="44"/>
      <c r="AG8" s="74">
        <f t="shared" si="4"/>
        <v>4.0415397690624278E-4</v>
      </c>
      <c r="AH8" s="74">
        <f t="shared" si="5"/>
        <v>6.0782744053473621E-4</v>
      </c>
      <c r="AI8" s="74">
        <f t="shared" si="6"/>
        <v>1.9956457278030352E-4</v>
      </c>
      <c r="AJ8" s="74">
        <f t="shared" si="7"/>
        <v>2.6621971327456408E-4</v>
      </c>
      <c r="AK8" s="74">
        <f t="shared" si="8"/>
        <v>9.2917596831690777E-5</v>
      </c>
      <c r="AL8" s="74">
        <f t="shared" si="9"/>
        <v>1.8112624517275841E-4</v>
      </c>
      <c r="AM8" s="74">
        <f t="shared" si="10"/>
        <v>2.4588288244333267E-5</v>
      </c>
      <c r="AN8" s="74">
        <f t="shared" si="11"/>
        <v>3.1961135431917221E-5</v>
      </c>
      <c r="AO8" s="74">
        <f t="shared" si="12"/>
        <v>8.7083519049915183E-5</v>
      </c>
      <c r="AP8" s="74">
        <f t="shared" si="13"/>
        <v>1.2852034665549649E-4</v>
      </c>
      <c r="AQ8" s="77"/>
      <c r="AR8" s="74">
        <f t="shared" si="14"/>
        <v>1.1792742280420281E-2</v>
      </c>
      <c r="AS8" s="74">
        <f t="shared" si="15"/>
        <v>1.5819338999025087E-2</v>
      </c>
    </row>
    <row r="9" spans="1:45" x14ac:dyDescent="0.25">
      <c r="A9" s="46">
        <v>4</v>
      </c>
      <c r="B9" s="46" t="s">
        <v>46</v>
      </c>
      <c r="C9" s="74">
        <v>1.1730835090679912</v>
      </c>
      <c r="D9" s="75">
        <v>1.3840418998834374</v>
      </c>
      <c r="E9" s="44"/>
      <c r="F9" s="74">
        <v>0.17002904947564298</v>
      </c>
      <c r="G9" s="75">
        <v>0.22808496186701588</v>
      </c>
      <c r="H9" s="44"/>
      <c r="I9" s="106">
        <v>2.7846654772009646E-2</v>
      </c>
      <c r="J9" s="107">
        <v>4.0682731958822757E-2</v>
      </c>
      <c r="K9" s="106">
        <v>1.3211267476363401E-2</v>
      </c>
      <c r="L9" s="107">
        <v>1.7412062774089691E-2</v>
      </c>
      <c r="M9" s="106">
        <v>4.267233804263389E-3</v>
      </c>
      <c r="N9" s="107">
        <v>9.8263920690615063E-3</v>
      </c>
      <c r="O9" s="108">
        <v>1.1574900722167464E-3</v>
      </c>
      <c r="P9" s="109">
        <v>1.622147735028574E-3</v>
      </c>
      <c r="Q9" s="108">
        <v>9.210663419166102E-3</v>
      </c>
      <c r="R9" s="109">
        <v>1.1822129380642983E-2</v>
      </c>
      <c r="S9" s="77"/>
      <c r="T9" s="110">
        <v>1.4275106497862318</v>
      </c>
      <c r="U9" s="111">
        <v>1.9149299083030731</v>
      </c>
      <c r="X9" s="141">
        <f>'I-O condensed 2022'!AE7/'I-O condensed 2022'!AE$24</f>
        <v>2.8447318949698534E-2</v>
      </c>
      <c r="Y9" s="46">
        <v>4</v>
      </c>
      <c r="Z9" s="46" t="s">
        <v>46</v>
      </c>
      <c r="AA9" s="74">
        <f t="shared" si="1"/>
        <v>3.3371080737088721E-2</v>
      </c>
      <c r="AB9" s="74">
        <f t="shared" si="1"/>
        <v>3.9372281365730871E-2</v>
      </c>
      <c r="AC9" s="44"/>
      <c r="AD9" s="74">
        <f t="shared" si="2"/>
        <v>4.8368706011476881E-3</v>
      </c>
      <c r="AE9" s="74">
        <f t="shared" si="3"/>
        <v>6.4884056578608284E-3</v>
      </c>
      <c r="AF9" s="44"/>
      <c r="AG9" s="74">
        <f t="shared" si="4"/>
        <v>7.9216266998150312E-4</v>
      </c>
      <c r="AH9" s="74">
        <f t="shared" si="5"/>
        <v>1.1573146517777249E-3</v>
      </c>
      <c r="AI9" s="74">
        <f t="shared" si="6"/>
        <v>3.7582513962988848E-4</v>
      </c>
      <c r="AJ9" s="74">
        <f t="shared" si="7"/>
        <v>4.9532650330670212E-4</v>
      </c>
      <c r="AK9" s="74">
        <f t="shared" si="8"/>
        <v>1.2139136106281607E-4</v>
      </c>
      <c r="AL9" s="74">
        <f t="shared" si="9"/>
        <v>2.7953450931338076E-4</v>
      </c>
      <c r="AM9" s="74">
        <f t="shared" si="10"/>
        <v>3.2927489265459376E-5</v>
      </c>
      <c r="AN9" s="74">
        <f t="shared" si="11"/>
        <v>4.6145754001888913E-5</v>
      </c>
      <c r="AO9" s="74">
        <f t="shared" si="12"/>
        <v>2.6201868002333895E-4</v>
      </c>
      <c r="AP9" s="74">
        <f t="shared" si="13"/>
        <v>3.3630788515575294E-4</v>
      </c>
      <c r="AQ9" s="77"/>
      <c r="AR9" s="74">
        <f t="shared" si="14"/>
        <v>4.0608850758560341E-2</v>
      </c>
      <c r="AS9" s="74">
        <f t="shared" si="15"/>
        <v>5.4474621867814488E-2</v>
      </c>
    </row>
    <row r="10" spans="1:45" x14ac:dyDescent="0.25">
      <c r="A10" s="46">
        <v>5</v>
      </c>
      <c r="B10" s="46" t="s">
        <v>5</v>
      </c>
      <c r="C10" s="74">
        <v>1.4017991336242828</v>
      </c>
      <c r="D10" s="75">
        <v>1.9041705338786969</v>
      </c>
      <c r="E10" s="44"/>
      <c r="F10" s="74">
        <v>0.40490321972418031</v>
      </c>
      <c r="G10" s="75">
        <v>0.54315621780765921</v>
      </c>
      <c r="H10" s="44"/>
      <c r="I10" s="106">
        <v>6.0287730747856164E-2</v>
      </c>
      <c r="J10" s="107">
        <v>9.085526610488498E-2</v>
      </c>
      <c r="K10" s="106">
        <v>3.0250788687473711E-2</v>
      </c>
      <c r="L10" s="107">
        <v>4.0254464804567014E-2</v>
      </c>
      <c r="M10" s="106">
        <v>1.488792044199508E-2</v>
      </c>
      <c r="N10" s="107">
        <v>2.8126370502821268E-2</v>
      </c>
      <c r="O10" s="108">
        <v>8.5252142873172554E-4</v>
      </c>
      <c r="P10" s="109">
        <v>1.9590463685713326E-3</v>
      </c>
      <c r="Q10" s="108">
        <v>1.4296500189655639E-2</v>
      </c>
      <c r="R10" s="109">
        <v>2.0515384428925375E-2</v>
      </c>
      <c r="S10" s="77"/>
      <c r="T10" s="110">
        <v>1.55574113691444</v>
      </c>
      <c r="U10" s="111">
        <v>2.0869443132357786</v>
      </c>
      <c r="X10" s="141">
        <f>'I-O condensed 2022'!AE8/'I-O condensed 2022'!AE$24</f>
        <v>5.7024987986987692E-2</v>
      </c>
      <c r="Y10" s="46">
        <v>5</v>
      </c>
      <c r="Z10" s="46" t="s">
        <v>5</v>
      </c>
      <c r="AA10" s="74">
        <f t="shared" si="1"/>
        <v>7.9937578755094482E-2</v>
      </c>
      <c r="AB10" s="74">
        <f t="shared" si="1"/>
        <v>0.10858530181960864</v>
      </c>
      <c r="AC10" s="44"/>
      <c r="AD10" s="74">
        <f t="shared" si="2"/>
        <v>2.3089601240664021E-2</v>
      </c>
      <c r="AE10" s="74">
        <f t="shared" si="3"/>
        <v>3.0973476795539436E-2</v>
      </c>
      <c r="AF10" s="44"/>
      <c r="AG10" s="74">
        <f t="shared" si="4"/>
        <v>3.4379071216592461E-3</v>
      </c>
      <c r="AH10" s="74">
        <f t="shared" si="5"/>
        <v>5.1810204581856359E-3</v>
      </c>
      <c r="AI10" s="74">
        <f t="shared" si="6"/>
        <v>1.7250508615000914E-3</v>
      </c>
      <c r="AJ10" s="74">
        <f t="shared" si="7"/>
        <v>2.2955103719030528E-3</v>
      </c>
      <c r="AK10" s="74">
        <f t="shared" si="8"/>
        <v>8.489834843559979E-4</v>
      </c>
      <c r="AL10" s="74">
        <f t="shared" si="9"/>
        <v>1.6039059400409477E-3</v>
      </c>
      <c r="AM10" s="74">
        <f t="shared" si="10"/>
        <v>4.8615024232076233E-5</v>
      </c>
      <c r="AN10" s="74">
        <f t="shared" si="11"/>
        <v>1.1171459563373211E-4</v>
      </c>
      <c r="AO10" s="74">
        <f t="shared" si="12"/>
        <v>8.1525775157108001E-4</v>
      </c>
      <c r="AP10" s="74">
        <f t="shared" si="13"/>
        <v>1.1698895506079038E-3</v>
      </c>
      <c r="AQ10" s="77"/>
      <c r="AR10" s="74">
        <f t="shared" si="14"/>
        <v>8.8716119643408517E-2</v>
      </c>
      <c r="AS10" s="74">
        <f t="shared" si="15"/>
        <v>0.11900797439178255</v>
      </c>
    </row>
    <row r="11" spans="1:45" x14ac:dyDescent="0.25">
      <c r="A11" s="46">
        <v>6</v>
      </c>
      <c r="B11" s="46" t="s">
        <v>6</v>
      </c>
      <c r="C11" s="74">
        <v>1.4843882063132416</v>
      </c>
      <c r="D11" s="75">
        <v>1.8021667121154969</v>
      </c>
      <c r="E11" s="44"/>
      <c r="F11" s="74">
        <v>0.25612433369676435</v>
      </c>
      <c r="G11" s="75">
        <v>0.34357722438958799</v>
      </c>
      <c r="H11" s="44"/>
      <c r="I11" s="106">
        <v>6.3269864655066607E-2</v>
      </c>
      <c r="J11" s="107">
        <v>8.2605570682310489E-2</v>
      </c>
      <c r="K11" s="106">
        <v>1.8651317183649332E-2</v>
      </c>
      <c r="L11" s="107">
        <v>2.4979211740166107E-2</v>
      </c>
      <c r="M11" s="106">
        <v>1.899118201642792E-2</v>
      </c>
      <c r="N11" s="107">
        <v>2.7365255216726808E-2</v>
      </c>
      <c r="O11" s="108">
        <v>2.0555492250121338E-3</v>
      </c>
      <c r="P11" s="109">
        <v>2.7554892332154004E-3</v>
      </c>
      <c r="Q11" s="108">
        <v>2.3571816229977234E-2</v>
      </c>
      <c r="R11" s="109">
        <v>2.7505614492202186E-2</v>
      </c>
      <c r="S11" s="77"/>
      <c r="T11" s="110">
        <v>2.0199106660717141</v>
      </c>
      <c r="U11" s="111">
        <v>2.709603145265735</v>
      </c>
      <c r="X11" s="141">
        <f>'I-O condensed 2022'!AE9/'I-O condensed 2022'!AE$24</f>
        <v>3.5047073318564888E-2</v>
      </c>
      <c r="Y11" s="46">
        <v>6</v>
      </c>
      <c r="Z11" s="46" t="s">
        <v>6</v>
      </c>
      <c r="AA11" s="74">
        <f t="shared" si="1"/>
        <v>5.2023462299873202E-2</v>
      </c>
      <c r="AB11" s="74">
        <f t="shared" si="1"/>
        <v>6.316066889178884E-2</v>
      </c>
      <c r="AC11" s="44"/>
      <c r="AD11" s="74">
        <f t="shared" si="2"/>
        <v>8.9764083017390799E-3</v>
      </c>
      <c r="AE11" s="74">
        <f t="shared" si="3"/>
        <v>1.204137617377091E-2</v>
      </c>
      <c r="AF11" s="44"/>
      <c r="AG11" s="74">
        <f t="shared" si="4"/>
        <v>2.2174235854217966E-3</v>
      </c>
      <c r="AH11" s="74">
        <f t="shared" si="5"/>
        <v>2.89508349222483E-3</v>
      </c>
      <c r="AI11" s="74">
        <f t="shared" si="6"/>
        <v>6.5367408082316731E-4</v>
      </c>
      <c r="AJ11" s="74">
        <f t="shared" si="7"/>
        <v>8.7544826529755836E-4</v>
      </c>
      <c r="AK11" s="74">
        <f t="shared" si="8"/>
        <v>6.655853485359603E-4</v>
      </c>
      <c r="AL11" s="74">
        <f t="shared" si="9"/>
        <v>9.5907210596186477E-4</v>
      </c>
      <c r="AM11" s="74">
        <f t="shared" si="10"/>
        <v>7.2040984398919484E-5</v>
      </c>
      <c r="AN11" s="74">
        <f t="shared" si="11"/>
        <v>9.6571833185016281E-5</v>
      </c>
      <c r="AO11" s="74">
        <f t="shared" si="12"/>
        <v>8.2612317166374995E-4</v>
      </c>
      <c r="AP11" s="74">
        <f t="shared" si="13"/>
        <v>9.6399128778039097E-4</v>
      </c>
      <c r="AQ11" s="77"/>
      <c r="AR11" s="74">
        <f t="shared" si="14"/>
        <v>7.0791957210766601E-2</v>
      </c>
      <c r="AS11" s="74">
        <f t="shared" si="15"/>
        <v>9.4963660096342245E-2</v>
      </c>
    </row>
    <row r="12" spans="1:45" x14ac:dyDescent="0.25">
      <c r="A12" s="46">
        <v>7</v>
      </c>
      <c r="B12" s="46" t="s">
        <v>7</v>
      </c>
      <c r="C12" s="74">
        <v>1.5432310544797769</v>
      </c>
      <c r="D12" s="75">
        <v>1.8389500869934672</v>
      </c>
      <c r="E12" s="44"/>
      <c r="F12" s="74">
        <v>0.23834475517092485</v>
      </c>
      <c r="G12" s="75">
        <v>0.31972686174518206</v>
      </c>
      <c r="H12" s="44"/>
      <c r="I12" s="106">
        <v>8.2838687352292967E-2</v>
      </c>
      <c r="J12" s="107">
        <v>0.10083215190368025</v>
      </c>
      <c r="K12" s="106">
        <v>1.7853797326606607E-2</v>
      </c>
      <c r="L12" s="107">
        <v>2.3742423592809252E-2</v>
      </c>
      <c r="M12" s="106">
        <v>8.1241591164653293E-3</v>
      </c>
      <c r="N12" s="107">
        <v>1.5916922880456954E-2</v>
      </c>
      <c r="O12" s="108">
        <v>2.2493674140913744E-3</v>
      </c>
      <c r="P12" s="109">
        <v>2.9007191520603855E-3</v>
      </c>
      <c r="Q12" s="108">
        <v>5.4611363495129649E-2</v>
      </c>
      <c r="R12" s="109">
        <v>5.8272086278353619E-2</v>
      </c>
      <c r="S12" s="77"/>
      <c r="T12" s="110">
        <v>2.2927253063569615</v>
      </c>
      <c r="U12" s="111">
        <v>3.0755695317045304</v>
      </c>
      <c r="X12" s="141">
        <f>'I-O condensed 2022'!AE10/'I-O condensed 2022'!AE$24</f>
        <v>2.7451706310959976E-2</v>
      </c>
      <c r="Y12" s="46">
        <v>7</v>
      </c>
      <c r="Z12" s="46" t="s">
        <v>7</v>
      </c>
      <c r="AA12" s="74">
        <f t="shared" si="1"/>
        <v>4.2364325677531914E-2</v>
      </c>
      <c r="AB12" s="74">
        <f t="shared" si="1"/>
        <v>5.0482317708658957E-2</v>
      </c>
      <c r="AC12" s="44"/>
      <c r="AD12" s="74">
        <f t="shared" si="2"/>
        <v>6.5429702197098878E-3</v>
      </c>
      <c r="AE12" s="74">
        <f t="shared" si="3"/>
        <v>8.7770479083536419E-3</v>
      </c>
      <c r="AF12" s="44"/>
      <c r="AG12" s="74">
        <f t="shared" si="4"/>
        <v>2.2740633163805812E-3</v>
      </c>
      <c r="AH12" s="74">
        <f t="shared" si="5"/>
        <v>2.7680146207619341E-3</v>
      </c>
      <c r="AI12" s="74">
        <f t="shared" si="6"/>
        <v>4.9011720074540693E-4</v>
      </c>
      <c r="AJ12" s="74">
        <f t="shared" si="7"/>
        <v>6.5177003958020671E-4</v>
      </c>
      <c r="AK12" s="74">
        <f t="shared" si="8"/>
        <v>2.2302203008871431E-4</v>
      </c>
      <c r="AL12" s="74">
        <f t="shared" si="9"/>
        <v>4.3694669228850339E-4</v>
      </c>
      <c r="AM12" s="74">
        <f t="shared" si="10"/>
        <v>6.1748973637079901E-5</v>
      </c>
      <c r="AN12" s="74">
        <f t="shared" si="11"/>
        <v>7.9629690252938553E-5</v>
      </c>
      <c r="AO12" s="74">
        <f t="shared" si="12"/>
        <v>1.4991751119093799E-3</v>
      </c>
      <c r="AP12" s="74">
        <f t="shared" si="13"/>
        <v>1.5996681986402842E-3</v>
      </c>
      <c r="AQ12" s="77"/>
      <c r="AR12" s="74">
        <f t="shared" si="14"/>
        <v>6.2939221761817044E-2</v>
      </c>
      <c r="AS12" s="74">
        <f t="shared" si="15"/>
        <v>8.4429631523289472E-2</v>
      </c>
    </row>
    <row r="13" spans="1:45" x14ac:dyDescent="0.25">
      <c r="A13" s="46">
        <v>8</v>
      </c>
      <c r="B13" s="46" t="s">
        <v>8</v>
      </c>
      <c r="C13" s="74">
        <v>1.3074157406922762</v>
      </c>
      <c r="D13" s="75">
        <v>1.7602937324460339</v>
      </c>
      <c r="E13" s="44"/>
      <c r="F13" s="74">
        <v>0.36501233332640443</v>
      </c>
      <c r="G13" s="75">
        <v>0.48964470709265312</v>
      </c>
      <c r="H13" s="44"/>
      <c r="I13" s="106">
        <v>7.1036436953508517E-2</v>
      </c>
      <c r="J13" s="107">
        <v>9.8592472226102679E-2</v>
      </c>
      <c r="K13" s="106">
        <v>2.6450489092253976E-2</v>
      </c>
      <c r="L13" s="107">
        <v>3.5468607456018125E-2</v>
      </c>
      <c r="M13" s="106">
        <v>3.0728356096117432E-2</v>
      </c>
      <c r="N13" s="107">
        <v>4.2662559903187521E-2</v>
      </c>
      <c r="O13" s="108">
        <v>2.4955683635949771E-3</v>
      </c>
      <c r="P13" s="109">
        <v>3.4930789550144466E-3</v>
      </c>
      <c r="Q13" s="108">
        <v>1.1362023401542113E-2</v>
      </c>
      <c r="R13" s="109">
        <v>1.6968225911882608E-2</v>
      </c>
      <c r="S13" s="77"/>
      <c r="T13" s="110">
        <v>1.3331782681764714</v>
      </c>
      <c r="U13" s="111">
        <v>1.7883880160285464</v>
      </c>
      <c r="X13" s="141">
        <f>'I-O condensed 2022'!AE11/'I-O condensed 2022'!AE$24</f>
        <v>3.1060870217898589E-2</v>
      </c>
      <c r="Y13" s="46">
        <v>8</v>
      </c>
      <c r="Z13" s="46" t="s">
        <v>8</v>
      </c>
      <c r="AA13" s="74">
        <f t="shared" si="1"/>
        <v>4.0609470642480543E-2</v>
      </c>
      <c r="AB13" s="74">
        <f t="shared" si="1"/>
        <v>5.4676255168886564E-2</v>
      </c>
      <c r="AC13" s="44"/>
      <c r="AD13" s="74">
        <f t="shared" si="2"/>
        <v>1.1337600713383788E-2</v>
      </c>
      <c r="AE13" s="74">
        <f t="shared" si="3"/>
        <v>1.5208790699885868E-2</v>
      </c>
      <c r="AF13" s="44"/>
      <c r="AG13" s="74">
        <f t="shared" si="4"/>
        <v>2.2064535489548635E-3</v>
      </c>
      <c r="AH13" s="74">
        <f t="shared" si="5"/>
        <v>3.0623679842767463E-3</v>
      </c>
      <c r="AI13" s="74">
        <f t="shared" si="6"/>
        <v>8.2157520889444304E-4</v>
      </c>
      <c r="AJ13" s="74">
        <f t="shared" si="7"/>
        <v>1.1016858130009693E-3</v>
      </c>
      <c r="AK13" s="74">
        <f t="shared" si="8"/>
        <v>9.544494807108765E-4</v>
      </c>
      <c r="AL13" s="74">
        <f t="shared" si="9"/>
        <v>1.3251362363162318E-3</v>
      </c>
      <c r="AM13" s="74">
        <f t="shared" si="10"/>
        <v>7.7514525061517136E-5</v>
      </c>
      <c r="AN13" s="74">
        <f t="shared" si="11"/>
        <v>1.0849807208257655E-4</v>
      </c>
      <c r="AO13" s="74">
        <f t="shared" si="12"/>
        <v>3.529143342880262E-4</v>
      </c>
      <c r="AP13" s="74">
        <f t="shared" si="13"/>
        <v>5.2704786287696963E-4</v>
      </c>
      <c r="AQ13" s="77"/>
      <c r="AR13" s="74">
        <f t="shared" si="14"/>
        <v>4.1409677165152182E-2</v>
      </c>
      <c r="AS13" s="74">
        <f t="shared" si="15"/>
        <v>5.554888806510782E-2</v>
      </c>
    </row>
    <row r="14" spans="1:45" x14ac:dyDescent="0.25">
      <c r="A14" s="46">
        <v>9</v>
      </c>
      <c r="B14" s="46" t="s">
        <v>9</v>
      </c>
      <c r="C14" s="74">
        <v>1.2809016819421855</v>
      </c>
      <c r="D14" s="75">
        <v>1.7003640183805071</v>
      </c>
      <c r="E14" s="44"/>
      <c r="F14" s="74">
        <v>0.33807985584149836</v>
      </c>
      <c r="G14" s="75">
        <v>0.45351621540800696</v>
      </c>
      <c r="H14" s="44"/>
      <c r="I14" s="106">
        <v>0.20216946344346778</v>
      </c>
      <c r="J14" s="107">
        <v>0.22769227344723575</v>
      </c>
      <c r="K14" s="106">
        <v>2.2790877711455604E-2</v>
      </c>
      <c r="L14" s="107">
        <v>3.1143593162460868E-2</v>
      </c>
      <c r="M14" s="106">
        <v>0.16619157996995851</v>
      </c>
      <c r="N14" s="107">
        <v>0.17724521716053898</v>
      </c>
      <c r="O14" s="108">
        <v>1.7123470378507403E-3</v>
      </c>
      <c r="P14" s="109">
        <v>2.6362561942185987E-3</v>
      </c>
      <c r="Q14" s="108">
        <v>1.1474658724202867E-2</v>
      </c>
      <c r="R14" s="109">
        <v>1.6667206930017289E-2</v>
      </c>
      <c r="S14" s="77"/>
      <c r="T14" s="110">
        <v>1.2977003211853146</v>
      </c>
      <c r="U14" s="111">
        <v>1.7407962297334807</v>
      </c>
      <c r="X14" s="141">
        <f>'I-O condensed 2022'!AE12/'I-O condensed 2022'!AE$24</f>
        <v>6.8290260590189111E-2</v>
      </c>
      <c r="Y14" s="46">
        <v>9</v>
      </c>
      <c r="Z14" s="46" t="s">
        <v>9</v>
      </c>
      <c r="AA14" s="74">
        <f t="shared" si="1"/>
        <v>8.747310965024338E-2</v>
      </c>
      <c r="AB14" s="74">
        <f t="shared" si="1"/>
        <v>0.11611830191338594</v>
      </c>
      <c r="AC14" s="44"/>
      <c r="AD14" s="74">
        <f t="shared" si="2"/>
        <v>2.308756145570949E-2</v>
      </c>
      <c r="AE14" s="74">
        <f t="shared" si="3"/>
        <v>3.0970740532089133E-2</v>
      </c>
      <c r="AF14" s="44"/>
      <c r="AG14" s="74">
        <f t="shared" si="4"/>
        <v>1.3806205341933126E-2</v>
      </c>
      <c r="AH14" s="74">
        <f t="shared" si="5"/>
        <v>1.5549164688084326E-2</v>
      </c>
      <c r="AI14" s="74">
        <f t="shared" si="6"/>
        <v>1.5563949779944361E-3</v>
      </c>
      <c r="AJ14" s="74">
        <f t="shared" si="7"/>
        <v>2.1268040927792846E-3</v>
      </c>
      <c r="AK14" s="74">
        <f t="shared" si="8"/>
        <v>1.1349266304043719E-2</v>
      </c>
      <c r="AL14" s="74">
        <f t="shared" si="9"/>
        <v>1.2104122068257867E-2</v>
      </c>
      <c r="AM14" s="74">
        <f t="shared" si="10"/>
        <v>1.1693662543566546E-4</v>
      </c>
      <c r="AN14" s="74">
        <f t="shared" si="11"/>
        <v>1.8003062248568829E-4</v>
      </c>
      <c r="AO14" s="74">
        <f t="shared" si="12"/>
        <v>7.8360743445930064E-4</v>
      </c>
      <c r="AP14" s="74">
        <f t="shared" si="13"/>
        <v>1.1382079045614865E-3</v>
      </c>
      <c r="AQ14" s="77"/>
      <c r="AR14" s="74">
        <f t="shared" si="14"/>
        <v>8.8620293101717248E-2</v>
      </c>
      <c r="AS14" s="74">
        <f t="shared" si="15"/>
        <v>0.1188794281629181</v>
      </c>
    </row>
    <row r="15" spans="1:45" x14ac:dyDescent="0.25">
      <c r="A15" s="46">
        <v>10</v>
      </c>
      <c r="B15" s="46" t="s">
        <v>10</v>
      </c>
      <c r="C15" s="74">
        <v>1.6030344620645378</v>
      </c>
      <c r="D15" s="75">
        <v>2.0471234708764965</v>
      </c>
      <c r="E15" s="44"/>
      <c r="F15" s="74">
        <v>0.35792855529000994</v>
      </c>
      <c r="G15" s="75">
        <v>0.48014219414978748</v>
      </c>
      <c r="H15" s="44"/>
      <c r="I15" s="106">
        <v>9.3832813886675928E-2</v>
      </c>
      <c r="J15" s="107">
        <v>0.12085407041452133</v>
      </c>
      <c r="K15" s="106">
        <v>2.6416293905515153E-2</v>
      </c>
      <c r="L15" s="107">
        <v>3.525939804931396E-2</v>
      </c>
      <c r="M15" s="106">
        <v>9.3029157221146581E-3</v>
      </c>
      <c r="N15" s="107">
        <v>2.1005512969373554E-2</v>
      </c>
      <c r="O15" s="108">
        <v>4.6641631301717777E-3</v>
      </c>
      <c r="P15" s="109">
        <v>5.64231507813344E-3</v>
      </c>
      <c r="Q15" s="108">
        <v>5.3449441128874363E-2</v>
      </c>
      <c r="R15" s="109">
        <v>5.8946844317700364E-2</v>
      </c>
      <c r="S15" s="77"/>
      <c r="T15" s="110">
        <v>1.8707919878548691</v>
      </c>
      <c r="U15" s="111">
        <v>2.5095683386274663</v>
      </c>
      <c r="X15" s="141">
        <f>'I-O condensed 2022'!AE13/'I-O condensed 2022'!AE$24</f>
        <v>5.3476297078793998E-2</v>
      </c>
      <c r="Y15" s="46">
        <v>10</v>
      </c>
      <c r="Z15" s="46" t="s">
        <v>10</v>
      </c>
      <c r="AA15" s="74">
        <f t="shared" si="1"/>
        <v>8.5724347120907957E-2</v>
      </c>
      <c r="AB15" s="74">
        <f t="shared" si="1"/>
        <v>0.10947258288556341</v>
      </c>
      <c r="AC15" s="44"/>
      <c r="AD15" s="74">
        <f t="shared" si="2"/>
        <v>1.9140693755672115E-2</v>
      </c>
      <c r="AE15" s="74">
        <f t="shared" si="3"/>
        <v>2.567622661441802E-2</v>
      </c>
      <c r="AF15" s="44"/>
      <c r="AG15" s="74">
        <f t="shared" si="4"/>
        <v>5.0178314311430687E-3</v>
      </c>
      <c r="AH15" s="74">
        <f t="shared" si="5"/>
        <v>6.4628281726684311E-3</v>
      </c>
      <c r="AI15" s="74">
        <f t="shared" si="6"/>
        <v>1.4126455806120638E-3</v>
      </c>
      <c r="AJ15" s="74">
        <f t="shared" si="7"/>
        <v>1.885542044904563E-3</v>
      </c>
      <c r="AK15" s="74">
        <f t="shared" si="8"/>
        <v>4.9748548485478684E-4</v>
      </c>
      <c r="AL15" s="74">
        <f t="shared" si="9"/>
        <v>1.1232970518426804E-3</v>
      </c>
      <c r="AM15" s="74">
        <f t="shared" si="10"/>
        <v>2.4942217317302373E-4</v>
      </c>
      <c r="AN15" s="74">
        <f t="shared" si="11"/>
        <v>3.0173011733042261E-4</v>
      </c>
      <c r="AO15" s="74">
        <f t="shared" si="12"/>
        <v>2.8582781925031958E-3</v>
      </c>
      <c r="AP15" s="74">
        <f t="shared" si="13"/>
        <v>3.1522589585907647E-3</v>
      </c>
      <c r="AQ15" s="77"/>
      <c r="AR15" s="74">
        <f t="shared" si="14"/>
        <v>0.10004302811515456</v>
      </c>
      <c r="AS15" s="74">
        <f t="shared" si="15"/>
        <v>0.13420242201597787</v>
      </c>
    </row>
    <row r="16" spans="1:45" x14ac:dyDescent="0.25">
      <c r="A16" s="46">
        <v>11</v>
      </c>
      <c r="B16" s="46" t="s">
        <v>11</v>
      </c>
      <c r="C16" s="74">
        <v>1.3239566422554971</v>
      </c>
      <c r="D16" s="75">
        <v>1.58083152794113</v>
      </c>
      <c r="E16" s="44"/>
      <c r="F16" s="74">
        <v>0.20703700136536488</v>
      </c>
      <c r="G16" s="75">
        <v>0.27772916867505759</v>
      </c>
      <c r="H16" s="44"/>
      <c r="I16" s="106">
        <v>6.3707990385140995E-2</v>
      </c>
      <c r="J16" s="107">
        <v>7.9337925024238365E-2</v>
      </c>
      <c r="K16" s="106">
        <v>1.375531955708832E-2</v>
      </c>
      <c r="L16" s="107">
        <v>1.8870445851525218E-2</v>
      </c>
      <c r="M16" s="106">
        <v>3.3628455578359903E-2</v>
      </c>
      <c r="N16" s="107">
        <v>4.0397601561406524E-2</v>
      </c>
      <c r="O16" s="108">
        <v>1.5369183910399118E-3</v>
      </c>
      <c r="P16" s="109">
        <v>2.1027118802505931E-3</v>
      </c>
      <c r="Q16" s="108">
        <v>1.4787296858652883E-2</v>
      </c>
      <c r="R16" s="109">
        <v>1.7967165731056028E-2</v>
      </c>
      <c r="S16" s="77"/>
      <c r="T16" s="110">
        <v>1.8196952978831484</v>
      </c>
      <c r="U16" s="111">
        <v>2.4410248360926237</v>
      </c>
      <c r="X16" s="141">
        <f>'I-O condensed 2022'!AE14/'I-O condensed 2022'!AE$24</f>
        <v>0.15284817665661429</v>
      </c>
      <c r="Y16" s="46">
        <v>11</v>
      </c>
      <c r="Z16" s="46" t="s">
        <v>11</v>
      </c>
      <c r="AA16" s="74">
        <f t="shared" si="1"/>
        <v>0.20236435874116612</v>
      </c>
      <c r="AB16" s="74">
        <f t="shared" si="1"/>
        <v>0.24162721664709133</v>
      </c>
      <c r="AC16" s="44"/>
      <c r="AD16" s="74">
        <f t="shared" si="2"/>
        <v>3.1645228159148983E-2</v>
      </c>
      <c r="AE16" s="74">
        <f t="shared" si="3"/>
        <v>4.2450397036339835E-2</v>
      </c>
      <c r="AF16" s="44"/>
      <c r="AG16" s="74">
        <f t="shared" si="4"/>
        <v>9.7376501688259155E-3</v>
      </c>
      <c r="AH16" s="74">
        <f t="shared" si="5"/>
        <v>1.2126657179674006E-2</v>
      </c>
      <c r="AI16" s="74">
        <f t="shared" si="6"/>
        <v>2.1024755136300169E-3</v>
      </c>
      <c r="AJ16" s="74">
        <f t="shared" si="7"/>
        <v>2.8843132411030007E-3</v>
      </c>
      <c r="AK16" s="74">
        <f t="shared" si="8"/>
        <v>5.140048118930261E-3</v>
      </c>
      <c r="AL16" s="74">
        <f t="shared" si="9"/>
        <v>6.1746997399613817E-3</v>
      </c>
      <c r="AM16" s="74">
        <f t="shared" si="10"/>
        <v>2.3491517374046785E-4</v>
      </c>
      <c r="AN16" s="74">
        <f t="shared" si="11"/>
        <v>3.2139567693050425E-4</v>
      </c>
      <c r="AO16" s="74">
        <f t="shared" si="12"/>
        <v>2.2602113625251733E-3</v>
      </c>
      <c r="AP16" s="74">
        <f t="shared" si="13"/>
        <v>2.7462485216791185E-3</v>
      </c>
      <c r="AQ16" s="77"/>
      <c r="AR16" s="74">
        <f t="shared" si="14"/>
        <v>0.27813710835205385</v>
      </c>
      <c r="AS16" s="74">
        <f t="shared" si="15"/>
        <v>0.37310619537026829</v>
      </c>
    </row>
    <row r="17" spans="1:45" x14ac:dyDescent="0.25">
      <c r="A17" s="46">
        <v>12</v>
      </c>
      <c r="B17" s="46" t="s">
        <v>12</v>
      </c>
      <c r="C17" s="74">
        <v>1.5379530105696331</v>
      </c>
      <c r="D17" s="75">
        <v>2.2240284220498174</v>
      </c>
      <c r="E17" s="44"/>
      <c r="F17" s="74">
        <v>0.55296568025416215</v>
      </c>
      <c r="G17" s="75">
        <v>0.74177416437657884</v>
      </c>
      <c r="H17" s="44"/>
      <c r="I17" s="106">
        <v>9.2821423700410841E-2</v>
      </c>
      <c r="J17" s="107">
        <v>0.13456670296469231</v>
      </c>
      <c r="K17" s="106">
        <v>3.828082208175021E-2</v>
      </c>
      <c r="L17" s="107">
        <v>5.1942579508374283E-2</v>
      </c>
      <c r="M17" s="106">
        <v>3.4087659235577349E-2</v>
      </c>
      <c r="N17" s="107">
        <v>5.2167062378832584E-2</v>
      </c>
      <c r="O17" s="108">
        <v>5.9048307101736792E-3</v>
      </c>
      <c r="P17" s="109">
        <v>7.415982724458499E-3</v>
      </c>
      <c r="Q17" s="108">
        <v>1.4548111672909614E-2</v>
      </c>
      <c r="R17" s="109">
        <v>2.3041078353026916E-2</v>
      </c>
      <c r="S17" s="77"/>
      <c r="T17" s="110">
        <v>1.3758264451492657</v>
      </c>
      <c r="U17" s="111">
        <v>1.8455982859708657</v>
      </c>
      <c r="X17" s="141">
        <f>'I-O condensed 2022'!AE15/'I-O condensed 2022'!AE$24</f>
        <v>5.3810866255107746E-2</v>
      </c>
      <c r="Y17" s="46">
        <v>12</v>
      </c>
      <c r="Z17" s="46" t="s">
        <v>12</v>
      </c>
      <c r="AA17" s="74">
        <f t="shared" si="1"/>
        <v>8.2758583758402837E-2</v>
      </c>
      <c r="AB17" s="74">
        <f t="shared" si="1"/>
        <v>0.11967689596648105</v>
      </c>
      <c r="AC17" s="44"/>
      <c r="AD17" s="74">
        <f t="shared" si="2"/>
        <v>2.9755562263821395E-2</v>
      </c>
      <c r="AE17" s="74">
        <f t="shared" si="3"/>
        <v>3.9915510350762393E-2</v>
      </c>
      <c r="AF17" s="44"/>
      <c r="AG17" s="74">
        <f t="shared" si="4"/>
        <v>4.9948012163514958E-3</v>
      </c>
      <c r="AH17" s="74">
        <f t="shared" si="5"/>
        <v>7.2411508556238686E-3</v>
      </c>
      <c r="AI17" s="74">
        <f t="shared" si="6"/>
        <v>2.059924197176636E-3</v>
      </c>
      <c r="AJ17" s="74">
        <f t="shared" si="7"/>
        <v>2.795075198870429E-3</v>
      </c>
      <c r="AK17" s="74">
        <f t="shared" si="8"/>
        <v>1.8342864720753411E-3</v>
      </c>
      <c r="AL17" s="74">
        <f t="shared" si="9"/>
        <v>2.807154816589223E-3</v>
      </c>
      <c r="AM17" s="74">
        <f t="shared" si="10"/>
        <v>3.1774405560420875E-4</v>
      </c>
      <c r="AN17" s="74">
        <f t="shared" si="11"/>
        <v>3.9906045453602586E-4</v>
      </c>
      <c r="AO17" s="74">
        <f t="shared" si="12"/>
        <v>7.8284649149531105E-4</v>
      </c>
      <c r="AP17" s="74">
        <f t="shared" si="13"/>
        <v>1.2398603856281897E-3</v>
      </c>
      <c r="AQ17" s="77"/>
      <c r="AR17" s="74">
        <f t="shared" si="14"/>
        <v>7.403441283016747E-2</v>
      </c>
      <c r="AS17" s="74">
        <f t="shared" si="15"/>
        <v>9.9313242527034357E-2</v>
      </c>
    </row>
    <row r="18" spans="1:45" x14ac:dyDescent="0.25">
      <c r="A18" s="46">
        <v>13</v>
      </c>
      <c r="B18" s="46" t="s">
        <v>13</v>
      </c>
      <c r="C18" s="74">
        <v>1.3034914858358007</v>
      </c>
      <c r="D18" s="75">
        <v>2.0909784431560658</v>
      </c>
      <c r="E18" s="44"/>
      <c r="F18" s="74">
        <v>0.63470174525917677</v>
      </c>
      <c r="G18" s="75">
        <v>0.85141876526872995</v>
      </c>
      <c r="H18" s="44"/>
      <c r="I18" s="106">
        <v>8.8085774408916573E-2</v>
      </c>
      <c r="J18" s="107">
        <v>0.13600159007616147</v>
      </c>
      <c r="K18" s="106">
        <v>4.5552419199887735E-2</v>
      </c>
      <c r="L18" s="107">
        <v>6.1233575538560063E-2</v>
      </c>
      <c r="M18" s="106">
        <v>2.8828832894234775E-2</v>
      </c>
      <c r="N18" s="107">
        <v>4.9580624801092391E-2</v>
      </c>
      <c r="O18" s="108">
        <v>1.5654475083458452E-3</v>
      </c>
      <c r="P18" s="109">
        <v>3.2999689353856681E-3</v>
      </c>
      <c r="Q18" s="108">
        <v>1.2139074806448222E-2</v>
      </c>
      <c r="R18" s="109">
        <v>2.1887420801123381E-2</v>
      </c>
      <c r="S18" s="77"/>
      <c r="T18" s="110">
        <v>1.1789516781316354</v>
      </c>
      <c r="U18" s="111">
        <v>1.5815012162861561</v>
      </c>
      <c r="X18" s="141">
        <f>'I-O condensed 2022'!AE16/'I-O condensed 2022'!AE$24</f>
        <v>3.6601246715701433E-2</v>
      </c>
      <c r="Y18" s="46">
        <v>13</v>
      </c>
      <c r="Z18" s="46" t="s">
        <v>13</v>
      </c>
      <c r="AA18" s="74">
        <f t="shared" si="1"/>
        <v>4.7709413464892381E-2</v>
      </c>
      <c r="AB18" s="74">
        <f t="shared" si="1"/>
        <v>7.6532417875168443E-2</v>
      </c>
      <c r="AC18" s="44"/>
      <c r="AD18" s="74">
        <f t="shared" si="2"/>
        <v>2.3230875169117413E-2</v>
      </c>
      <c r="AE18" s="74">
        <f t="shared" si="3"/>
        <v>3.116298828597867E-2</v>
      </c>
      <c r="AF18" s="44"/>
      <c r="AG18" s="74">
        <f t="shared" si="4"/>
        <v>3.2240491612843748E-3</v>
      </c>
      <c r="AH18" s="74">
        <f t="shared" si="5"/>
        <v>4.977827752105278E-3</v>
      </c>
      <c r="AI18" s="74">
        <f t="shared" si="6"/>
        <v>1.6672753336321457E-3</v>
      </c>
      <c r="AJ18" s="74">
        <f t="shared" si="7"/>
        <v>2.2412252055713771E-3</v>
      </c>
      <c r="AK18" s="74">
        <f t="shared" si="8"/>
        <v>1.055171225287616E-3</v>
      </c>
      <c r="AL18" s="74">
        <f t="shared" si="9"/>
        <v>1.8147126806634078E-3</v>
      </c>
      <c r="AM18" s="74">
        <f t="shared" si="10"/>
        <v>5.7297330473446355E-5</v>
      </c>
      <c r="AN18" s="74">
        <f t="shared" si="11"/>
        <v>1.2078297715820144E-4</v>
      </c>
      <c r="AO18" s="74">
        <f t="shared" si="12"/>
        <v>4.4430527189116701E-4</v>
      </c>
      <c r="AP18" s="74">
        <f t="shared" si="13"/>
        <v>8.0110688871229234E-4</v>
      </c>
      <c r="AQ18" s="77"/>
      <c r="AR18" s="74">
        <f t="shared" si="14"/>
        <v>4.3151101237186212E-2</v>
      </c>
      <c r="AS18" s="74">
        <f t="shared" si="15"/>
        <v>5.7884916198471491E-2</v>
      </c>
    </row>
    <row r="19" spans="1:45" x14ac:dyDescent="0.25">
      <c r="A19" s="46">
        <v>14</v>
      </c>
      <c r="B19" s="46" t="s">
        <v>14</v>
      </c>
      <c r="C19" s="74">
        <v>1.1204648491030598</v>
      </c>
      <c r="D19" s="75">
        <v>1.5916791584896197</v>
      </c>
      <c r="E19" s="44"/>
      <c r="F19" s="74">
        <v>0.37979110863815047</v>
      </c>
      <c r="G19" s="75">
        <v>0.50946965120553345</v>
      </c>
      <c r="H19" s="44"/>
      <c r="I19" s="106">
        <v>6.6601118734534032E-2</v>
      </c>
      <c r="J19" s="107">
        <v>9.5272854537203286E-2</v>
      </c>
      <c r="K19" s="106">
        <v>2.9977453259613197E-2</v>
      </c>
      <c r="L19" s="107">
        <v>3.9360701052890655E-2</v>
      </c>
      <c r="M19" s="106">
        <v>2.5141019319173896E-2</v>
      </c>
      <c r="N19" s="107">
        <v>3.7558420269151349E-2</v>
      </c>
      <c r="O19" s="108">
        <v>5.7871552720543755E-4</v>
      </c>
      <c r="P19" s="109">
        <v>1.6166137536599463E-3</v>
      </c>
      <c r="Q19" s="108">
        <v>1.0903930628541504E-2</v>
      </c>
      <c r="R19" s="109">
        <v>1.6737119461501349E-2</v>
      </c>
      <c r="S19" s="77"/>
      <c r="T19" s="110">
        <v>1.0980948760320415</v>
      </c>
      <c r="U19" s="111">
        <v>1.4730360999989736</v>
      </c>
      <c r="X19" s="141">
        <f>'I-O condensed 2022'!AE17/'I-O condensed 2022'!AE$24</f>
        <v>7.6847864941265208E-3</v>
      </c>
      <c r="Y19" s="46">
        <v>14</v>
      </c>
      <c r="Z19" s="46" t="s">
        <v>14</v>
      </c>
      <c r="AA19" s="74">
        <f t="shared" si="1"/>
        <v>8.610533139530703E-3</v>
      </c>
      <c r="AB19" s="74">
        <f t="shared" si="1"/>
        <v>1.2231714500143695E-2</v>
      </c>
      <c r="AC19" s="44"/>
      <c r="AD19" s="74">
        <f t="shared" si="2"/>
        <v>2.9186135822517967E-3</v>
      </c>
      <c r="AE19" s="74">
        <f t="shared" si="3"/>
        <v>3.9151654947516329E-3</v>
      </c>
      <c r="AF19" s="44"/>
      <c r="AG19" s="74">
        <f t="shared" si="4"/>
        <v>5.1181537774486392E-4</v>
      </c>
      <c r="AH19" s="74">
        <f t="shared" si="5"/>
        <v>7.3215154580438043E-4</v>
      </c>
      <c r="AI19" s="74">
        <f t="shared" si="6"/>
        <v>2.3037032793778454E-4</v>
      </c>
      <c r="AJ19" s="74">
        <f t="shared" si="7"/>
        <v>3.0247858385060563E-4</v>
      </c>
      <c r="AK19" s="74">
        <f t="shared" si="8"/>
        <v>1.932033657125615E-4</v>
      </c>
      <c r="AL19" s="74">
        <f t="shared" si="9"/>
        <v>2.8862844082510204E-4</v>
      </c>
      <c r="AM19" s="74">
        <f t="shared" si="10"/>
        <v>4.447305267409656E-6</v>
      </c>
      <c r="AN19" s="74">
        <f t="shared" si="11"/>
        <v>1.2423331540345134E-5</v>
      </c>
      <c r="AO19" s="74">
        <f t="shared" si="12"/>
        <v>8.3794378827108264E-5</v>
      </c>
      <c r="AP19" s="74">
        <f t="shared" si="13"/>
        <v>1.2862118958832772E-4</v>
      </c>
      <c r="AQ19" s="77"/>
      <c r="AR19" s="74">
        <f t="shared" si="14"/>
        <v>8.4386246726005677E-3</v>
      </c>
      <c r="AS19" s="74">
        <f t="shared" si="15"/>
        <v>1.1319967926632915E-2</v>
      </c>
    </row>
    <row r="20" spans="1:45" x14ac:dyDescent="0.25">
      <c r="A20" s="46">
        <v>15</v>
      </c>
      <c r="B20" s="46" t="s">
        <v>15</v>
      </c>
      <c r="C20" s="74">
        <v>1.401218029549967</v>
      </c>
      <c r="D20" s="75">
        <v>1.9990321603967165</v>
      </c>
      <c r="E20" s="44"/>
      <c r="F20" s="74">
        <v>0.4818285162210208</v>
      </c>
      <c r="G20" s="75">
        <v>0.6463474276168053</v>
      </c>
      <c r="H20" s="44"/>
      <c r="I20" s="106">
        <v>7.9442370259904832E-2</v>
      </c>
      <c r="J20" s="107">
        <v>0.11581726057478972</v>
      </c>
      <c r="K20" s="106">
        <v>3.4813025303306974E-2</v>
      </c>
      <c r="L20" s="107">
        <v>4.6717243855923442E-2</v>
      </c>
      <c r="M20" s="106">
        <v>2.8747925176605318E-2</v>
      </c>
      <c r="N20" s="107">
        <v>4.4501474269692559E-2</v>
      </c>
      <c r="O20" s="108">
        <v>2.8884125479421967E-3</v>
      </c>
      <c r="P20" s="109">
        <v>4.2051599679495191E-3</v>
      </c>
      <c r="Q20" s="108">
        <v>1.299300723205035E-2</v>
      </c>
      <c r="R20" s="109">
        <v>2.0393382481224211E-2</v>
      </c>
      <c r="S20" s="77"/>
      <c r="T20" s="110">
        <v>1.3548013050874403</v>
      </c>
      <c r="U20" s="111">
        <v>1.817394174473218</v>
      </c>
      <c r="X20" s="141">
        <f>'I-O condensed 2022'!AE18/'I-O condensed 2022'!AE$24</f>
        <v>7.639652771870277E-2</v>
      </c>
      <c r="Y20" s="46">
        <v>15</v>
      </c>
      <c r="Z20" s="46" t="s">
        <v>15</v>
      </c>
      <c r="AA20" s="74">
        <f t="shared" si="1"/>
        <v>0.10704819203446013</v>
      </c>
      <c r="AB20" s="74">
        <f t="shared" si="1"/>
        <v>0.15271911585232603</v>
      </c>
      <c r="AC20" s="44"/>
      <c r="AD20" s="74">
        <f t="shared" si="2"/>
        <v>3.6810025595140641E-2</v>
      </c>
      <c r="AE20" s="74">
        <f t="shared" si="3"/>
        <v>4.9378699169839502E-2</v>
      </c>
      <c r="AF20" s="44"/>
      <c r="AG20" s="74">
        <f t="shared" si="4"/>
        <v>6.0691212416002678E-3</v>
      </c>
      <c r="AH20" s="74">
        <f t="shared" si="5"/>
        <v>8.8480365578061451E-3</v>
      </c>
      <c r="AI20" s="74">
        <f t="shared" si="6"/>
        <v>2.6595942525559921E-3</v>
      </c>
      <c r="AJ20" s="74">
        <f t="shared" si="7"/>
        <v>3.5690352151804519E-3</v>
      </c>
      <c r="AK20" s="74">
        <f t="shared" si="8"/>
        <v>2.1962416626097212E-3</v>
      </c>
      <c r="AL20" s="74">
        <f t="shared" si="9"/>
        <v>3.3997581125677057E-3</v>
      </c>
      <c r="AM20" s="74">
        <f t="shared" si="10"/>
        <v>2.2066468928191494E-4</v>
      </c>
      <c r="AN20" s="74">
        <f t="shared" si="11"/>
        <v>3.212596200530347E-4</v>
      </c>
      <c r="AO20" s="74">
        <f t="shared" si="12"/>
        <v>9.9262063715264016E-4</v>
      </c>
      <c r="AP20" s="74">
        <f t="shared" si="13"/>
        <v>1.557983610004953E-3</v>
      </c>
      <c r="AQ20" s="77"/>
      <c r="AR20" s="74">
        <f t="shared" si="14"/>
        <v>0.10350211545744732</v>
      </c>
      <c r="AS20" s="74">
        <f t="shared" si="15"/>
        <v>0.13884260442595214</v>
      </c>
    </row>
    <row r="21" spans="1:45" x14ac:dyDescent="0.25">
      <c r="A21" s="46">
        <v>16</v>
      </c>
      <c r="B21" s="46" t="s">
        <v>47</v>
      </c>
      <c r="C21" s="74">
        <v>1.0698488970957025</v>
      </c>
      <c r="D21" s="75">
        <v>1.8171627482305561</v>
      </c>
      <c r="E21" s="44"/>
      <c r="F21" s="74">
        <v>0.60232287171550625</v>
      </c>
      <c r="G21" s="75">
        <v>0.80798422181700669</v>
      </c>
      <c r="H21" s="44"/>
      <c r="I21" s="106">
        <v>6.8210638680320637E-2</v>
      </c>
      <c r="J21" s="107">
        <v>0.1136820619257391</v>
      </c>
      <c r="K21" s="106">
        <v>3.672867874715019E-2</v>
      </c>
      <c r="L21" s="107">
        <v>5.1609871666939741E-2</v>
      </c>
      <c r="M21" s="106">
        <v>2.2333714412412966E-2</v>
      </c>
      <c r="N21" s="107">
        <v>4.2026867910009022E-2</v>
      </c>
      <c r="O21" s="108">
        <v>2.2846781736089882E-4</v>
      </c>
      <c r="P21" s="109">
        <v>1.8745038252815794E-3</v>
      </c>
      <c r="Q21" s="108">
        <v>8.9197777033965739E-3</v>
      </c>
      <c r="R21" s="109">
        <v>1.8170818523508769E-2</v>
      </c>
      <c r="S21" s="77"/>
      <c r="T21" s="110">
        <v>1.0411760286306018</v>
      </c>
      <c r="U21" s="111">
        <v>1.3966824817254584</v>
      </c>
      <c r="X21" s="141">
        <f>'I-O condensed 2022'!AE19/'I-O condensed 2022'!AE$24</f>
        <v>8.7361042515984033E-3</v>
      </c>
      <c r="Y21" s="46">
        <v>16</v>
      </c>
      <c r="Z21" s="46" t="s">
        <v>47</v>
      </c>
      <c r="AA21" s="74">
        <f t="shared" si="1"/>
        <v>9.346311498485629E-3</v>
      </c>
      <c r="AB21" s="74">
        <f t="shared" si="1"/>
        <v>1.5874923210663201E-2</v>
      </c>
      <c r="AC21" s="44"/>
      <c r="AD21" s="74">
        <f t="shared" si="2"/>
        <v>5.2619554004287939E-3</v>
      </c>
      <c r="AE21" s="74">
        <f t="shared" si="3"/>
        <v>7.0586343954399796E-3</v>
      </c>
      <c r="AF21" s="44"/>
      <c r="AG21" s="74">
        <f t="shared" si="4"/>
        <v>5.9589525057939159E-4</v>
      </c>
      <c r="AH21" s="74">
        <f t="shared" si="5"/>
        <v>9.9313834451992232E-4</v>
      </c>
      <c r="AI21" s="74">
        <f t="shared" si="6"/>
        <v>3.2086556655857071E-4</v>
      </c>
      <c r="AJ21" s="74">
        <f t="shared" si="7"/>
        <v>4.5086921929400023E-4</v>
      </c>
      <c r="AK21" s="74">
        <f t="shared" si="8"/>
        <v>1.9510965743226545E-4</v>
      </c>
      <c r="AL21" s="74">
        <f t="shared" si="9"/>
        <v>3.6715109942999432E-4</v>
      </c>
      <c r="AM21" s="74">
        <f t="shared" si="10"/>
        <v>1.9959186705999555E-6</v>
      </c>
      <c r="AN21" s="74">
        <f t="shared" si="11"/>
        <v>1.6375860837679878E-5</v>
      </c>
      <c r="AO21" s="74">
        <f t="shared" si="12"/>
        <v>7.792410791795545E-5</v>
      </c>
      <c r="AP21" s="74">
        <f t="shared" si="13"/>
        <v>1.5874216495824798E-4</v>
      </c>
      <c r="AQ21" s="77"/>
      <c r="AR21" s="74">
        <f t="shared" si="14"/>
        <v>9.0958223303821417E-3</v>
      </c>
      <c r="AS21" s="74">
        <f t="shared" si="15"/>
        <v>1.2201563766734787E-2</v>
      </c>
    </row>
    <row r="22" spans="1:45" x14ac:dyDescent="0.25">
      <c r="A22" s="46">
        <v>17</v>
      </c>
      <c r="B22" s="46" t="s">
        <v>39</v>
      </c>
      <c r="C22" s="74">
        <v>1.5861129160023377</v>
      </c>
      <c r="D22" s="75">
        <v>2.0940059259980028</v>
      </c>
      <c r="E22" s="44"/>
      <c r="F22" s="74">
        <v>0.40935354783035882</v>
      </c>
      <c r="G22" s="75">
        <v>0.5491260971872346</v>
      </c>
      <c r="H22" s="44"/>
      <c r="I22" s="106">
        <v>0.1424850993579562</v>
      </c>
      <c r="J22" s="107">
        <v>0.17338860527562583</v>
      </c>
      <c r="K22" s="106">
        <v>2.5465620233997927E-2</v>
      </c>
      <c r="L22" s="107">
        <v>3.5579247664936892E-2</v>
      </c>
      <c r="M22" s="106">
        <v>3.1655418478428912E-2</v>
      </c>
      <c r="N22" s="107">
        <v>4.5039373547657024E-2</v>
      </c>
      <c r="O22" s="108">
        <v>6.9518400366623712E-2</v>
      </c>
      <c r="P22" s="109">
        <v>7.063708722269435E-2</v>
      </c>
      <c r="Q22" s="108">
        <v>1.5845660278905611E-2</v>
      </c>
      <c r="R22" s="109">
        <v>2.2132896840337538E-2</v>
      </c>
      <c r="S22" s="77"/>
      <c r="T22" s="110">
        <v>1.8087881415246094</v>
      </c>
      <c r="U22" s="111">
        <v>2.4263934636901605</v>
      </c>
      <c r="X22" s="141">
        <f>'I-O condensed 2022'!AE20/'I-O condensed 2022'!AE$24</f>
        <v>7.6762196950957859E-2</v>
      </c>
      <c r="Y22" s="46">
        <v>17</v>
      </c>
      <c r="Z22" s="46" t="s">
        <v>39</v>
      </c>
      <c r="AA22" s="74">
        <f t="shared" si="1"/>
        <v>0.12175351204462953</v>
      </c>
      <c r="AB22" s="74">
        <f t="shared" si="1"/>
        <v>0.16074049530793158</v>
      </c>
      <c r="AC22" s="44"/>
      <c r="AD22" s="74">
        <f t="shared" si="2"/>
        <v>3.1422877661127349E-2</v>
      </c>
      <c r="AE22" s="74">
        <f t="shared" si="3"/>
        <v>4.2152125623197326E-2</v>
      </c>
      <c r="AF22" s="44"/>
      <c r="AG22" s="74">
        <f t="shared" si="4"/>
        <v>1.0937469259492233E-2</v>
      </c>
      <c r="AH22" s="74">
        <f t="shared" si="5"/>
        <v>1.330969026721948E-2</v>
      </c>
      <c r="AI22" s="74">
        <f t="shared" si="6"/>
        <v>1.9547969558804464E-3</v>
      </c>
      <c r="AJ22" s="74">
        <f t="shared" si="7"/>
        <v>2.7311412166227934E-3</v>
      </c>
      <c r="AK22" s="74">
        <f t="shared" si="8"/>
        <v>2.4299394678061509E-3</v>
      </c>
      <c r="AL22" s="74">
        <f t="shared" si="9"/>
        <v>3.4573212628130102E-3</v>
      </c>
      <c r="AM22" s="74">
        <f t="shared" si="10"/>
        <v>5.3363851406583104E-3</v>
      </c>
      <c r="AN22" s="74">
        <f t="shared" si="11"/>
        <v>5.4222580014304522E-3</v>
      </c>
      <c r="AO22" s="74">
        <f t="shared" si="12"/>
        <v>1.2163476951473223E-3</v>
      </c>
      <c r="AP22" s="74">
        <f t="shared" si="13"/>
        <v>1.698969786353223E-3</v>
      </c>
      <c r="AQ22" s="77"/>
      <c r="AR22" s="74">
        <f t="shared" si="14"/>
        <v>0.1388465515622691</v>
      </c>
      <c r="AS22" s="74">
        <f t="shared" si="15"/>
        <v>0.18625529294030091</v>
      </c>
    </row>
    <row r="23" spans="1:45" x14ac:dyDescent="0.25">
      <c r="A23" s="46">
        <v>18</v>
      </c>
      <c r="B23" s="46" t="s">
        <v>48</v>
      </c>
      <c r="C23" s="74">
        <v>1.5117515315661385</v>
      </c>
      <c r="D23" s="75">
        <v>2.1235542743501648</v>
      </c>
      <c r="E23" s="44"/>
      <c r="F23" s="74">
        <v>0.49310311109247884</v>
      </c>
      <c r="G23" s="75">
        <v>0.66147169931774752</v>
      </c>
      <c r="H23" s="44"/>
      <c r="I23" s="106">
        <v>7.9997496404926663E-2</v>
      </c>
      <c r="J23" s="107">
        <v>0.11722354462763021</v>
      </c>
      <c r="K23" s="106">
        <v>3.1781933180521735E-2</v>
      </c>
      <c r="L23" s="107">
        <v>4.3964705693569389E-2</v>
      </c>
      <c r="M23" s="106">
        <v>3.1252039114149879E-2</v>
      </c>
      <c r="N23" s="107">
        <v>4.7374214965165883E-2</v>
      </c>
      <c r="O23" s="108">
        <v>2.7605004975991779E-3</v>
      </c>
      <c r="P23" s="109">
        <v>4.1080592814192029E-3</v>
      </c>
      <c r="Q23" s="108">
        <v>1.420302361265588E-2</v>
      </c>
      <c r="R23" s="109">
        <v>2.1776564687475745E-2</v>
      </c>
      <c r="S23" s="77"/>
      <c r="T23" s="110">
        <v>1.4188848418241555</v>
      </c>
      <c r="U23" s="111">
        <v>1.9033588439104314</v>
      </c>
      <c r="X23" s="141">
        <f>'I-O condensed 2022'!AE21/'I-O condensed 2022'!AE$24</f>
        <v>4.7483325299249153E-2</v>
      </c>
      <c r="Y23" s="46">
        <v>18</v>
      </c>
      <c r="Z23" s="46" t="s">
        <v>48</v>
      </c>
      <c r="AA23" s="74">
        <f t="shared" si="1"/>
        <v>7.1782989744993073E-2</v>
      </c>
      <c r="AB23" s="74">
        <f t="shared" si="1"/>
        <v>0.10083341839957985</v>
      </c>
      <c r="AC23" s="44"/>
      <c r="AD23" s="74">
        <f t="shared" si="2"/>
        <v>2.3414175430075967E-2</v>
      </c>
      <c r="AE23" s="74">
        <f t="shared" si="3"/>
        <v>3.1408875874951732E-2</v>
      </c>
      <c r="AF23" s="44"/>
      <c r="AG23" s="74">
        <f t="shared" si="4"/>
        <v>3.7985471449206473E-3</v>
      </c>
      <c r="AH23" s="74">
        <f t="shared" si="5"/>
        <v>5.5661637022848161E-3</v>
      </c>
      <c r="AI23" s="74">
        <f t="shared" si="6"/>
        <v>1.5091118718497138E-3</v>
      </c>
      <c r="AJ23" s="74">
        <f t="shared" si="7"/>
        <v>2.0875904221335068E-3</v>
      </c>
      <c r="AK23" s="74">
        <f t="shared" si="8"/>
        <v>1.4839507395220371E-3</v>
      </c>
      <c r="AL23" s="74">
        <f t="shared" si="9"/>
        <v>2.2494852599875292E-3</v>
      </c>
      <c r="AM23" s="74">
        <f t="shared" si="10"/>
        <v>1.3107774311624091E-4</v>
      </c>
      <c r="AN23" s="74">
        <f t="shared" si="11"/>
        <v>1.9506431520822774E-4</v>
      </c>
      <c r="AO23" s="74">
        <f t="shared" si="12"/>
        <v>6.7440679043265608E-4</v>
      </c>
      <c r="AP23" s="74">
        <f t="shared" si="13"/>
        <v>1.0340237049555527E-3</v>
      </c>
      <c r="AQ23" s="77"/>
      <c r="AR23" s="74">
        <f t="shared" si="14"/>
        <v>6.7373370506510058E-2</v>
      </c>
      <c r="AS23" s="74">
        <f t="shared" si="15"/>
        <v>9.0377807146601805E-2</v>
      </c>
    </row>
    <row r="24" spans="1:45" x14ac:dyDescent="0.25">
      <c r="A24" s="46">
        <v>19</v>
      </c>
      <c r="B24" s="46" t="s">
        <v>17</v>
      </c>
      <c r="C24" s="74">
        <v>1.2230293710210769</v>
      </c>
      <c r="D24" s="75">
        <v>1.7389038697481489</v>
      </c>
      <c r="E24" s="44"/>
      <c r="F24" s="74">
        <v>0.41578649859925704</v>
      </c>
      <c r="G24" s="75">
        <v>0.55775555983106784</v>
      </c>
      <c r="H24" s="44"/>
      <c r="I24" s="106">
        <v>5.6111737770966646E-2</v>
      </c>
      <c r="J24" s="107">
        <v>8.7500889246634711E-2</v>
      </c>
      <c r="K24" s="106">
        <v>2.6540080596290042E-2</v>
      </c>
      <c r="L24" s="107">
        <v>3.6812642688240339E-2</v>
      </c>
      <c r="M24" s="106">
        <v>1.7630577023361519E-2</v>
      </c>
      <c r="N24" s="107">
        <v>3.1224859630997019E-2</v>
      </c>
      <c r="O24" s="108">
        <v>1.7057885715644765E-3</v>
      </c>
      <c r="P24" s="109">
        <v>2.8420554816228072E-3</v>
      </c>
      <c r="Q24" s="108">
        <v>1.0235291579750609E-2</v>
      </c>
      <c r="R24" s="109">
        <v>1.6621331445774552E-2</v>
      </c>
      <c r="S24" s="77"/>
      <c r="T24" s="110">
        <v>1.1782993035975207</v>
      </c>
      <c r="U24" s="111">
        <v>1.5806260904109282</v>
      </c>
      <c r="X24" s="141">
        <f>'I-O condensed 2022'!AE22/'I-O condensed 2022'!AE$24</f>
        <v>2.0187747714354148E-2</v>
      </c>
      <c r="Y24" s="46">
        <v>19</v>
      </c>
      <c r="Z24" s="46" t="s">
        <v>17</v>
      </c>
      <c r="AA24" s="74">
        <f t="shared" si="1"/>
        <v>2.4690208389418735E-2</v>
      </c>
      <c r="AB24" s="74">
        <f t="shared" si="1"/>
        <v>3.5104552621989776E-2</v>
      </c>
      <c r="AC24" s="44"/>
      <c r="AD24" s="74">
        <f t="shared" si="2"/>
        <v>8.3937929367564647E-3</v>
      </c>
      <c r="AE24" s="74">
        <f t="shared" si="3"/>
        <v>1.1259828528147957E-2</v>
      </c>
      <c r="AF24" s="44"/>
      <c r="AG24" s="74">
        <f t="shared" si="4"/>
        <v>1.1327696059342711E-3</v>
      </c>
      <c r="AH24" s="74">
        <f t="shared" si="5"/>
        <v>1.7664458768927053E-3</v>
      </c>
      <c r="AI24" s="74">
        <f t="shared" si="6"/>
        <v>5.3578445139652918E-4</v>
      </c>
      <c r="AJ24" s="74">
        <f t="shared" si="7"/>
        <v>7.4316434328885984E-4</v>
      </c>
      <c r="AK24" s="74">
        <f t="shared" si="8"/>
        <v>3.5592164100611124E-4</v>
      </c>
      <c r="AL24" s="74">
        <f t="shared" si="9"/>
        <v>6.3035958864668916E-4</v>
      </c>
      <c r="AM24" s="74">
        <f t="shared" si="10"/>
        <v>3.4436029336772188E-5</v>
      </c>
      <c r="AN24" s="74">
        <f t="shared" si="11"/>
        <v>5.7374699053198503E-5</v>
      </c>
      <c r="AO24" s="74">
        <f t="shared" si="12"/>
        <v>2.066274841948586E-4</v>
      </c>
      <c r="AP24" s="74">
        <f t="shared" si="13"/>
        <v>3.3554724590395795E-4</v>
      </c>
      <c r="AQ24" s="77"/>
      <c r="AR24" s="74">
        <f t="shared" si="14"/>
        <v>2.3787209073025933E-2</v>
      </c>
      <c r="AS24" s="74">
        <f t="shared" si="15"/>
        <v>3.1909280743941747E-2</v>
      </c>
    </row>
    <row r="25" spans="1:45" x14ac:dyDescent="0.25">
      <c r="A25" s="46">
        <v>20</v>
      </c>
      <c r="B25" s="46" t="s">
        <v>18</v>
      </c>
      <c r="C25" s="78">
        <v>1.0248269896307605</v>
      </c>
      <c r="D25" s="79">
        <v>1.772030177415052</v>
      </c>
      <c r="E25" s="44"/>
      <c r="F25" s="78">
        <v>0.60223367884559886</v>
      </c>
      <c r="G25" s="79">
        <v>0.80786457430739367</v>
      </c>
      <c r="H25" s="44"/>
      <c r="I25" s="112">
        <v>6.303952274021489E-2</v>
      </c>
      <c r="J25" s="113">
        <v>0.10850421250940578</v>
      </c>
      <c r="K25" s="112">
        <v>5.2591758452334519E-2</v>
      </c>
      <c r="L25" s="113">
        <v>6.7470747742863935E-2</v>
      </c>
      <c r="M25" s="112">
        <v>4.4265279770939721E-4</v>
      </c>
      <c r="N25" s="113">
        <v>2.0132890103740329E-2</v>
      </c>
      <c r="O25" s="114">
        <v>1.2541847267825336E-4</v>
      </c>
      <c r="P25" s="115">
        <v>1.771210733129908E-3</v>
      </c>
      <c r="Q25" s="108">
        <v>9.8796930174927158E-3</v>
      </c>
      <c r="R25" s="109">
        <v>1.91293639296716E-2</v>
      </c>
      <c r="S25" s="77"/>
      <c r="T25" s="116">
        <v>1.0129073472487646</v>
      </c>
      <c r="U25" s="117">
        <v>1.3587615433041049</v>
      </c>
      <c r="X25" s="141">
        <f>'I-O condensed 2022'!AE23/'I-O condensed 2022'!AE$24</f>
        <v>0.12825149488709614</v>
      </c>
      <c r="Y25" s="46">
        <v>20</v>
      </c>
      <c r="Z25" s="46" t="s">
        <v>18</v>
      </c>
      <c r="AA25" s="74">
        <f t="shared" si="1"/>
        <v>0.13143559342078762</v>
      </c>
      <c r="AB25" s="74">
        <f t="shared" si="1"/>
        <v>0.22726551923852661</v>
      </c>
      <c r="AC25" s="44"/>
      <c r="AD25" s="74">
        <f t="shared" si="2"/>
        <v>7.723736958330342E-2</v>
      </c>
      <c r="AE25" s="74">
        <f t="shared" si="3"/>
        <v>0.1036098393212508</v>
      </c>
      <c r="AF25" s="44"/>
      <c r="AG25" s="74">
        <f t="shared" si="4"/>
        <v>8.0849130284016517E-3</v>
      </c>
      <c r="AH25" s="74">
        <f t="shared" si="5"/>
        <v>1.3915827455878448E-2</v>
      </c>
      <c r="AI25" s="74">
        <f t="shared" si="6"/>
        <v>6.7449716402529754E-3</v>
      </c>
      <c r="AJ25" s="74">
        <f t="shared" si="7"/>
        <v>8.6532242591724675E-3</v>
      </c>
      <c r="AK25" s="74">
        <f t="shared" si="8"/>
        <v>5.6770883022185557E-5</v>
      </c>
      <c r="AL25" s="74">
        <f t="shared" si="9"/>
        <v>2.5820732522023214E-3</v>
      </c>
      <c r="AM25" s="74">
        <f t="shared" si="10"/>
        <v>1.6085106607442417E-5</v>
      </c>
      <c r="AN25" s="74">
        <f t="shared" si="11"/>
        <v>2.271604242839802E-4</v>
      </c>
      <c r="AO25" s="74">
        <f t="shared" si="12"/>
        <v>1.2670853985190466E-3</v>
      </c>
      <c r="AP25" s="74">
        <f t="shared" si="13"/>
        <v>2.4533695202196785E-3</v>
      </c>
      <c r="AQ25" s="77"/>
      <c r="AR25" s="74">
        <f t="shared" si="14"/>
        <v>0.12990688146677706</v>
      </c>
      <c r="AS25" s="74">
        <f t="shared" si="15"/>
        <v>0.17426319912384927</v>
      </c>
    </row>
    <row r="26" spans="1:45" ht="13" hidden="1" x14ac:dyDescent="0.3">
      <c r="A26" s="118"/>
      <c r="B26" s="55" t="s">
        <v>75</v>
      </c>
      <c r="C26" s="125">
        <f>AVERAGE(C6:C25)</f>
        <v>1.3686801340249568</v>
      </c>
      <c r="D26" s="150">
        <f>AVERAGE(D6:D25)</f>
        <v>1.8789055029343333</v>
      </c>
      <c r="E26" s="119"/>
      <c r="F26" s="125">
        <f>AVERAGE(F6:F25)</f>
        <v>0.41123339137486825</v>
      </c>
      <c r="G26" s="150">
        <f>AVERAGE(G6:G25)</f>
        <v>0.55164780770956989</v>
      </c>
      <c r="H26" s="119"/>
      <c r="I26" s="125">
        <f>AVERAGE(I6:I25)</f>
        <v>8.0666783738558165E-2</v>
      </c>
      <c r="J26" s="150">
        <f>AVERAGE(J6:J25)</f>
        <v>0.1117122055047894</v>
      </c>
      <c r="K26" s="144">
        <f t="shared" ref="K26:U26" si="16">AVERAGE(K6:K25)</f>
        <v>2.8902138355531959E-2</v>
      </c>
      <c r="L26" s="144">
        <f t="shared" si="16"/>
        <v>3.9062209837923231E-2</v>
      </c>
      <c r="M26" s="142">
        <f t="shared" si="16"/>
        <v>2.924293572790479E-2</v>
      </c>
      <c r="N26" s="142">
        <f t="shared" si="16"/>
        <v>4.2688352928511121E-2</v>
      </c>
      <c r="O26" s="142">
        <f t="shared" si="16"/>
        <v>5.4449387931521783E-3</v>
      </c>
      <c r="P26" s="144">
        <f t="shared" si="16"/>
        <v>6.5687629108292043E-3</v>
      </c>
      <c r="Q26" s="142">
        <f t="shared" si="16"/>
        <v>1.7076770861969244E-2</v>
      </c>
      <c r="R26" s="143">
        <f t="shared" si="16"/>
        <v>2.3392879827525796E-2</v>
      </c>
      <c r="S26" s="144"/>
      <c r="T26" s="125">
        <f t="shared" si="16"/>
        <v>1.4837390156426189</v>
      </c>
      <c r="U26" s="150">
        <f t="shared" si="16"/>
        <v>1.9903572821650666</v>
      </c>
      <c r="Y26" s="118"/>
      <c r="Z26" s="55" t="s">
        <v>75</v>
      </c>
      <c r="AA26" s="119">
        <v>1.3686801340249568</v>
      </c>
      <c r="AB26" s="119">
        <v>1.8789055029343333</v>
      </c>
      <c r="AC26" s="119"/>
      <c r="AD26" s="119">
        <v>0.41123339137486825</v>
      </c>
      <c r="AE26" s="119">
        <v>0.55164780770956989</v>
      </c>
      <c r="AF26" s="119"/>
      <c r="AG26" s="120">
        <v>8.0666783738558165E-2</v>
      </c>
      <c r="AH26" s="121">
        <v>0.1117122055047894</v>
      </c>
      <c r="AI26" s="122">
        <v>2.8902138355531959E-2</v>
      </c>
      <c r="AJ26" s="122">
        <v>3.9062209837923231E-2</v>
      </c>
      <c r="AK26" s="120">
        <v>2.924293572790479E-2</v>
      </c>
      <c r="AL26" s="120">
        <v>4.2688352928511121E-2</v>
      </c>
      <c r="AM26" s="120">
        <v>5.4449387931521783E-3</v>
      </c>
      <c r="AN26" s="123">
        <v>6.5687629108292043E-3</v>
      </c>
      <c r="AO26" s="123">
        <v>1.7076770861969244E-2</v>
      </c>
      <c r="AP26" s="124">
        <v>2.3392879827525796E-2</v>
      </c>
      <c r="AQ26" s="119"/>
      <c r="AR26" s="125">
        <v>1.4837390156426189</v>
      </c>
      <c r="AS26" s="126">
        <v>1.9903572821650666</v>
      </c>
    </row>
    <row r="27" spans="1:45" ht="13" x14ac:dyDescent="0.3">
      <c r="A27" s="127"/>
      <c r="B27" s="81" t="s">
        <v>76</v>
      </c>
      <c r="C27" s="129">
        <v>1.3645036027803901</v>
      </c>
      <c r="D27" s="130">
        <v>1.8720001875388055</v>
      </c>
      <c r="E27" s="128"/>
      <c r="F27" s="129">
        <v>0.40903403550370016</v>
      </c>
      <c r="G27" s="130">
        <v>0.54869748832853238</v>
      </c>
      <c r="H27" s="81"/>
      <c r="I27" s="145">
        <v>8.7263335191566399E-2</v>
      </c>
      <c r="J27" s="146">
        <v>0.11814272002581069</v>
      </c>
      <c r="K27" s="147">
        <v>2.9641760357336826E-2</v>
      </c>
      <c r="L27" s="147">
        <v>3.9747493808490957E-2</v>
      </c>
      <c r="M27" s="145">
        <v>3.3770186533523719E-2</v>
      </c>
      <c r="N27" s="146">
        <v>4.7143695037315352E-2</v>
      </c>
      <c r="O27" s="145">
        <v>7.2257008603934646E-3</v>
      </c>
      <c r="P27" s="147">
        <v>8.3435145489000623E-3</v>
      </c>
      <c r="Q27" s="145">
        <v>1.6625687440312391E-2</v>
      </c>
      <c r="R27" s="146">
        <v>2.2908016631104325E-2</v>
      </c>
      <c r="S27" s="148"/>
      <c r="T27" s="129">
        <v>1.5008792631072179</v>
      </c>
      <c r="U27" s="130">
        <v>2.0133500160620721</v>
      </c>
      <c r="Y27" s="127"/>
      <c r="Z27" s="81" t="s">
        <v>76</v>
      </c>
      <c r="AA27" s="128">
        <f>SUM(AA6:AA25)</f>
        <v>1.3645036027803901</v>
      </c>
      <c r="AB27" s="128">
        <f>SUM(AB6:AB25)</f>
        <v>1.8720001875388055</v>
      </c>
      <c r="AC27" s="128"/>
      <c r="AD27" s="128">
        <f>SUM(AD6:AD25)</f>
        <v>0.40903403550370016</v>
      </c>
      <c r="AE27" s="128">
        <f>SUM(AE6:AE25)</f>
        <v>0.54869748832853238</v>
      </c>
      <c r="AF27" s="81"/>
      <c r="AG27" s="128">
        <f>SUM(AG6:AG25)</f>
        <v>8.7263335191566399E-2</v>
      </c>
      <c r="AH27" s="128">
        <f t="shared" ref="AH27:AS27" si="17">SUM(AH6:AH25)</f>
        <v>0.11814272002581069</v>
      </c>
      <c r="AI27" s="128">
        <f t="shared" si="17"/>
        <v>2.9641760357336826E-2</v>
      </c>
      <c r="AJ27" s="128">
        <f t="shared" si="17"/>
        <v>3.9747493808490957E-2</v>
      </c>
      <c r="AK27" s="128">
        <f t="shared" si="17"/>
        <v>3.3770186533523719E-2</v>
      </c>
      <c r="AL27" s="128">
        <f t="shared" si="17"/>
        <v>4.7143695037315352E-2</v>
      </c>
      <c r="AM27" s="128">
        <f t="shared" si="17"/>
        <v>7.2257008603934646E-3</v>
      </c>
      <c r="AN27" s="128">
        <f t="shared" si="17"/>
        <v>8.3435145489000623E-3</v>
      </c>
      <c r="AO27" s="128">
        <f t="shared" si="17"/>
        <v>1.6625687440312391E-2</v>
      </c>
      <c r="AP27" s="128">
        <f t="shared" si="17"/>
        <v>2.2908016631104325E-2</v>
      </c>
      <c r="AQ27" s="81"/>
      <c r="AR27" s="128">
        <f t="shared" si="17"/>
        <v>1.5008792546281404</v>
      </c>
      <c r="AS27" s="128">
        <f t="shared" si="17"/>
        <v>2.0133500046878394</v>
      </c>
    </row>
    <row r="28" spans="1:45" x14ac:dyDescent="0.25">
      <c r="A28" s="43" t="s">
        <v>77</v>
      </c>
      <c r="I28" s="131"/>
      <c r="J28" s="131"/>
    </row>
  </sheetData>
  <mergeCells count="20">
    <mergeCell ref="AA3:AP3"/>
    <mergeCell ref="AR3:AS3"/>
    <mergeCell ref="AA4:AB4"/>
    <mergeCell ref="AD4:AE4"/>
    <mergeCell ref="AG4:AH4"/>
    <mergeCell ref="AI4:AJ4"/>
    <mergeCell ref="AK4:AL4"/>
    <mergeCell ref="AM4:AN4"/>
    <mergeCell ref="AO4:AP4"/>
    <mergeCell ref="AR4:AS4"/>
    <mergeCell ref="T3:U3"/>
    <mergeCell ref="T4:U4"/>
    <mergeCell ref="C4:D4"/>
    <mergeCell ref="F4:G4"/>
    <mergeCell ref="I4:J4"/>
    <mergeCell ref="K4:L4"/>
    <mergeCell ref="M4:N4"/>
    <mergeCell ref="O4:P4"/>
    <mergeCell ref="Q4:R4"/>
    <mergeCell ref="C3:R3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I28"/>
  <sheetViews>
    <sheetView zoomScaleNormal="100" workbookViewId="0">
      <selection activeCell="G8" sqref="G8"/>
    </sheetView>
  </sheetViews>
  <sheetFormatPr defaultRowHeight="12.5" x14ac:dyDescent="0.25"/>
  <cols>
    <col min="1" max="1" width="5.453125" style="46" customWidth="1"/>
    <col min="2" max="2" width="24" style="46" customWidth="1"/>
    <col min="3" max="4" width="8.7265625" style="46"/>
    <col min="5" max="5" width="1.453125" style="46" customWidth="1"/>
    <col min="6" max="7" width="8.7265625" style="46"/>
    <col min="8" max="8" width="1.26953125" style="46" customWidth="1"/>
    <col min="9" max="10" width="8.7265625" style="46"/>
    <col min="11" max="11" width="1.453125" style="46" customWidth="1"/>
    <col min="12" max="13" width="8.7265625" style="46"/>
    <col min="14" max="14" width="1.7265625" style="46" customWidth="1"/>
    <col min="15" max="15" width="9.81640625" style="46" customWidth="1"/>
    <col min="16" max="16" width="8.7265625" style="46"/>
    <col min="17" max="17" width="1.54296875" style="46" customWidth="1"/>
    <col min="18" max="19" width="8.7265625" style="46"/>
    <col min="20" max="20" width="1.54296875" style="46" customWidth="1"/>
    <col min="21" max="22" width="8.7265625" style="46"/>
    <col min="23" max="23" width="1.26953125" style="46" customWidth="1"/>
    <col min="24" max="25" width="8.7265625" style="46"/>
    <col min="26" max="26" width="2.1796875" style="46" customWidth="1"/>
    <col min="27" max="28" width="8.7265625" style="46"/>
    <col min="29" max="29" width="1.26953125" style="46" customWidth="1"/>
    <col min="30" max="31" width="8.7265625" style="46"/>
    <col min="32" max="32" width="1.81640625" style="46" customWidth="1"/>
    <col min="33" max="34" width="8.7265625" style="46"/>
    <col min="35" max="35" width="1.1796875" style="46" customWidth="1"/>
    <col min="36" max="37" width="8.7265625" style="46"/>
    <col min="38" max="38" width="2.1796875" style="46" customWidth="1"/>
    <col min="39" max="40" width="8.7265625" style="46"/>
    <col min="41" max="41" width="1.1796875" style="46" customWidth="1"/>
    <col min="42" max="43" width="8.7265625" style="46"/>
    <col min="44" max="44" width="2" style="46" customWidth="1"/>
    <col min="45" max="46" width="8.7265625" style="46"/>
    <col min="47" max="47" width="1.453125" style="46" customWidth="1"/>
    <col min="48" max="49" width="8.7265625" style="46"/>
    <col min="50" max="50" width="2.1796875" style="46" customWidth="1"/>
    <col min="51" max="52" width="8.7265625" style="46"/>
    <col min="53" max="53" width="1.453125" style="46" customWidth="1"/>
    <col min="54" max="55" width="8.7265625" style="46"/>
    <col min="56" max="56" width="2" style="46" customWidth="1"/>
    <col min="57" max="58" width="8.7265625" style="46"/>
    <col min="59" max="59" width="1.54296875" style="46" customWidth="1"/>
    <col min="60" max="61" width="8.7265625" style="46"/>
    <col min="62" max="62" width="2.1796875" style="46" customWidth="1"/>
    <col min="63" max="64" width="8.7265625" style="46"/>
    <col min="65" max="65" width="1.26953125" style="46" customWidth="1"/>
    <col min="66" max="67" width="8.7265625" style="46"/>
    <col min="68" max="68" width="1.81640625" style="46" customWidth="1"/>
    <col min="69" max="70" width="8.7265625" style="46"/>
    <col min="71" max="71" width="1.453125" style="46" customWidth="1"/>
    <col min="72" max="74" width="8.7265625" style="46"/>
    <col min="75" max="87" width="0" style="46" hidden="1" customWidth="1"/>
    <col min="88" max="16384" width="8.7265625" style="46"/>
  </cols>
  <sheetData>
    <row r="1" spans="1:87" ht="13" x14ac:dyDescent="0.3">
      <c r="A1" s="45" t="s">
        <v>84</v>
      </c>
    </row>
    <row r="3" spans="1:87" x14ac:dyDescent="0.25">
      <c r="A3" s="55"/>
      <c r="B3" s="55"/>
      <c r="C3" s="164" t="s">
        <v>53</v>
      </c>
      <c r="D3" s="165"/>
      <c r="E3" s="165"/>
      <c r="F3" s="165"/>
      <c r="G3" s="166"/>
      <c r="I3" s="164" t="s">
        <v>52</v>
      </c>
      <c r="J3" s="165"/>
      <c r="K3" s="165"/>
      <c r="L3" s="165"/>
      <c r="M3" s="166"/>
      <c r="O3" s="161" t="s">
        <v>52</v>
      </c>
      <c r="P3" s="162"/>
      <c r="Q3" s="162"/>
      <c r="R3" s="162"/>
      <c r="S3" s="163"/>
      <c r="U3" s="161" t="s">
        <v>52</v>
      </c>
      <c r="V3" s="162"/>
      <c r="W3" s="162"/>
      <c r="X3" s="162"/>
      <c r="Y3" s="163"/>
      <c r="AA3" s="161" t="s">
        <v>52</v>
      </c>
      <c r="AB3" s="162"/>
      <c r="AC3" s="162"/>
      <c r="AD3" s="162"/>
      <c r="AE3" s="163"/>
      <c r="AG3" s="161" t="s">
        <v>52</v>
      </c>
      <c r="AH3" s="162"/>
      <c r="AI3" s="162"/>
      <c r="AJ3" s="162"/>
      <c r="AK3" s="163"/>
      <c r="AM3" s="161" t="s">
        <v>52</v>
      </c>
      <c r="AN3" s="162"/>
      <c r="AO3" s="162"/>
      <c r="AP3" s="162"/>
      <c r="AQ3" s="163"/>
      <c r="AS3" s="161" t="s">
        <v>52</v>
      </c>
      <c r="AT3" s="162"/>
      <c r="AU3" s="162"/>
      <c r="AV3" s="162"/>
      <c r="AW3" s="163"/>
      <c r="AY3" s="161" t="s">
        <v>52</v>
      </c>
      <c r="AZ3" s="162"/>
      <c r="BA3" s="162"/>
      <c r="BB3" s="162"/>
      <c r="BC3" s="163"/>
      <c r="BE3" s="161" t="s">
        <v>52</v>
      </c>
      <c r="BF3" s="162"/>
      <c r="BG3" s="162"/>
      <c r="BH3" s="162"/>
      <c r="BI3" s="163"/>
      <c r="BK3" s="161" t="s">
        <v>52</v>
      </c>
      <c r="BL3" s="162"/>
      <c r="BM3" s="162"/>
      <c r="BN3" s="162"/>
      <c r="BO3" s="163"/>
      <c r="BQ3" s="161" t="s">
        <v>52</v>
      </c>
      <c r="BR3" s="162"/>
      <c r="BS3" s="162"/>
      <c r="BT3" s="162"/>
      <c r="BU3" s="163"/>
      <c r="BY3" s="164" t="s">
        <v>53</v>
      </c>
      <c r="BZ3" s="165"/>
      <c r="CA3" s="165"/>
      <c r="CB3" s="165"/>
      <c r="CC3" s="166"/>
      <c r="CE3" s="164" t="s">
        <v>52</v>
      </c>
      <c r="CF3" s="165"/>
      <c r="CG3" s="165"/>
      <c r="CH3" s="165"/>
      <c r="CI3" s="166"/>
    </row>
    <row r="4" spans="1:87" ht="12.75" customHeight="1" x14ac:dyDescent="0.25">
      <c r="A4" s="56"/>
      <c r="C4" s="167" t="s">
        <v>54</v>
      </c>
      <c r="D4" s="168"/>
      <c r="E4" s="57"/>
      <c r="F4" s="168" t="s">
        <v>35</v>
      </c>
      <c r="G4" s="169"/>
      <c r="I4" s="164" t="s">
        <v>55</v>
      </c>
      <c r="J4" s="165"/>
      <c r="K4" s="58"/>
      <c r="L4" s="165" t="s">
        <v>36</v>
      </c>
      <c r="M4" s="166"/>
      <c r="O4" s="161" t="s">
        <v>55</v>
      </c>
      <c r="P4" s="162"/>
      <c r="Q4" s="59"/>
      <c r="R4" s="162" t="s">
        <v>36</v>
      </c>
      <c r="S4" s="163"/>
      <c r="U4" s="161" t="s">
        <v>55</v>
      </c>
      <c r="V4" s="162"/>
      <c r="W4" s="59"/>
      <c r="X4" s="162" t="s">
        <v>36</v>
      </c>
      <c r="Y4" s="163"/>
      <c r="AA4" s="161" t="s">
        <v>55</v>
      </c>
      <c r="AB4" s="162"/>
      <c r="AC4" s="59"/>
      <c r="AD4" s="162" t="s">
        <v>36</v>
      </c>
      <c r="AE4" s="163"/>
      <c r="AG4" s="161" t="s">
        <v>55</v>
      </c>
      <c r="AH4" s="162"/>
      <c r="AI4" s="59"/>
      <c r="AJ4" s="162" t="s">
        <v>36</v>
      </c>
      <c r="AK4" s="163"/>
      <c r="AM4" s="161" t="s">
        <v>55</v>
      </c>
      <c r="AN4" s="162"/>
      <c r="AO4" s="59"/>
      <c r="AP4" s="162" t="s">
        <v>36</v>
      </c>
      <c r="AQ4" s="163"/>
      <c r="AS4" s="161" t="s">
        <v>55</v>
      </c>
      <c r="AT4" s="162"/>
      <c r="AU4" s="59"/>
      <c r="AV4" s="162" t="s">
        <v>36</v>
      </c>
      <c r="AW4" s="163"/>
      <c r="AY4" s="161" t="s">
        <v>55</v>
      </c>
      <c r="AZ4" s="162"/>
      <c r="BA4" s="59"/>
      <c r="BB4" s="162" t="s">
        <v>36</v>
      </c>
      <c r="BC4" s="163"/>
      <c r="BE4" s="161" t="s">
        <v>55</v>
      </c>
      <c r="BF4" s="162"/>
      <c r="BG4" s="59"/>
      <c r="BH4" s="162" t="s">
        <v>36</v>
      </c>
      <c r="BI4" s="163"/>
      <c r="BK4" s="161" t="s">
        <v>55</v>
      </c>
      <c r="BL4" s="162"/>
      <c r="BM4" s="59"/>
      <c r="BN4" s="162" t="s">
        <v>36</v>
      </c>
      <c r="BO4" s="163"/>
      <c r="BQ4" s="161" t="s">
        <v>55</v>
      </c>
      <c r="BR4" s="162"/>
      <c r="BS4" s="60"/>
      <c r="BT4" s="162" t="s">
        <v>36</v>
      </c>
      <c r="BU4" s="163"/>
      <c r="BW4" s="46" t="s">
        <v>95</v>
      </c>
      <c r="BY4" s="167" t="s">
        <v>54</v>
      </c>
      <c r="BZ4" s="168"/>
      <c r="CA4" s="57"/>
      <c r="CB4" s="168" t="s">
        <v>35</v>
      </c>
      <c r="CC4" s="169"/>
      <c r="CE4" s="164" t="s">
        <v>55</v>
      </c>
      <c r="CF4" s="165"/>
      <c r="CG4" s="58"/>
      <c r="CH4" s="165" t="s">
        <v>36</v>
      </c>
      <c r="CI4" s="166"/>
    </row>
    <row r="5" spans="1:87" ht="12.75" customHeight="1" x14ac:dyDescent="0.25">
      <c r="C5" s="61">
        <v>2022</v>
      </c>
      <c r="D5" s="62">
        <v>2022</v>
      </c>
      <c r="E5" s="40"/>
      <c r="F5" s="61">
        <v>2022</v>
      </c>
      <c r="G5" s="62">
        <v>2022</v>
      </c>
      <c r="I5" s="61">
        <v>2022</v>
      </c>
      <c r="J5" s="62">
        <v>2022</v>
      </c>
      <c r="K5" s="40"/>
      <c r="L5" s="61">
        <v>2022</v>
      </c>
      <c r="M5" s="62">
        <v>2022</v>
      </c>
      <c r="O5" s="63">
        <v>2023</v>
      </c>
      <c r="P5" s="64">
        <v>2023</v>
      </c>
      <c r="R5" s="63">
        <v>2023</v>
      </c>
      <c r="S5" s="65">
        <v>2023</v>
      </c>
      <c r="U5" s="63">
        <v>2024</v>
      </c>
      <c r="V5" s="64">
        <v>2024</v>
      </c>
      <c r="X5" s="63">
        <v>2024</v>
      </c>
      <c r="Y5" s="65">
        <v>2024</v>
      </c>
      <c r="AA5" s="63">
        <v>2025</v>
      </c>
      <c r="AB5" s="64">
        <v>2025</v>
      </c>
      <c r="AD5" s="63">
        <v>2025</v>
      </c>
      <c r="AE5" s="65">
        <v>2025</v>
      </c>
      <c r="AG5" s="63">
        <v>2026</v>
      </c>
      <c r="AH5" s="64">
        <v>2026</v>
      </c>
      <c r="AJ5" s="63">
        <v>2026</v>
      </c>
      <c r="AK5" s="65">
        <v>2026</v>
      </c>
      <c r="AM5" s="63">
        <v>2027</v>
      </c>
      <c r="AN5" s="64">
        <v>2027</v>
      </c>
      <c r="AP5" s="63">
        <v>2027</v>
      </c>
      <c r="AQ5" s="65">
        <v>2027</v>
      </c>
      <c r="AS5" s="63">
        <v>2028</v>
      </c>
      <c r="AT5" s="64">
        <v>2028</v>
      </c>
      <c r="AV5" s="63">
        <v>2028</v>
      </c>
      <c r="AW5" s="65">
        <v>2028</v>
      </c>
      <c r="AY5" s="63">
        <v>2029</v>
      </c>
      <c r="AZ5" s="64">
        <v>2029</v>
      </c>
      <c r="BB5" s="63">
        <v>2029</v>
      </c>
      <c r="BC5" s="65">
        <v>2029</v>
      </c>
      <c r="BE5" s="63">
        <v>2030</v>
      </c>
      <c r="BF5" s="64">
        <v>2030</v>
      </c>
      <c r="BH5" s="63">
        <v>2030</v>
      </c>
      <c r="BI5" s="65">
        <v>2030</v>
      </c>
      <c r="BK5" s="63">
        <v>2031</v>
      </c>
      <c r="BL5" s="64">
        <v>2031</v>
      </c>
      <c r="BN5" s="63">
        <v>2031</v>
      </c>
      <c r="BO5" s="65">
        <v>2031</v>
      </c>
      <c r="BQ5" s="63">
        <v>2032</v>
      </c>
      <c r="BR5" s="64">
        <v>2032</v>
      </c>
      <c r="BS5" s="66"/>
      <c r="BT5" s="63">
        <v>2032</v>
      </c>
      <c r="BU5" s="65">
        <v>2032</v>
      </c>
      <c r="BY5" s="61">
        <v>2022</v>
      </c>
      <c r="BZ5" s="62">
        <v>2022</v>
      </c>
      <c r="CA5" s="40"/>
      <c r="CB5" s="61">
        <v>2022</v>
      </c>
      <c r="CC5" s="62">
        <v>2022</v>
      </c>
      <c r="CE5" s="61">
        <v>2022</v>
      </c>
      <c r="CF5" s="62">
        <v>2022</v>
      </c>
      <c r="CG5" s="40"/>
      <c r="CH5" s="61">
        <v>2022</v>
      </c>
      <c r="CI5" s="62">
        <v>2022</v>
      </c>
    </row>
    <row r="6" spans="1:87" x14ac:dyDescent="0.25">
      <c r="A6" s="67"/>
      <c r="B6" s="68" t="s">
        <v>0</v>
      </c>
      <c r="C6" s="69" t="s">
        <v>37</v>
      </c>
      <c r="D6" s="70" t="s">
        <v>34</v>
      </c>
      <c r="E6" s="71"/>
      <c r="F6" s="69" t="s">
        <v>37</v>
      </c>
      <c r="G6" s="70" t="s">
        <v>34</v>
      </c>
      <c r="I6" s="69" t="s">
        <v>37</v>
      </c>
      <c r="J6" s="70" t="s">
        <v>34</v>
      </c>
      <c r="K6" s="71"/>
      <c r="L6" s="69" t="s">
        <v>37</v>
      </c>
      <c r="M6" s="70" t="s">
        <v>34</v>
      </c>
      <c r="O6" s="72" t="s">
        <v>37</v>
      </c>
      <c r="P6" s="73" t="s">
        <v>34</v>
      </c>
      <c r="Q6" s="67"/>
      <c r="R6" s="72" t="s">
        <v>37</v>
      </c>
      <c r="S6" s="73" t="s">
        <v>34</v>
      </c>
      <c r="U6" s="72" t="s">
        <v>37</v>
      </c>
      <c r="V6" s="73" t="s">
        <v>34</v>
      </c>
      <c r="W6" s="67"/>
      <c r="X6" s="72" t="s">
        <v>37</v>
      </c>
      <c r="Y6" s="73" t="s">
        <v>34</v>
      </c>
      <c r="AA6" s="72" t="s">
        <v>37</v>
      </c>
      <c r="AB6" s="73" t="s">
        <v>34</v>
      </c>
      <c r="AC6" s="67"/>
      <c r="AD6" s="72" t="s">
        <v>37</v>
      </c>
      <c r="AE6" s="73" t="s">
        <v>34</v>
      </c>
      <c r="AG6" s="72" t="s">
        <v>37</v>
      </c>
      <c r="AH6" s="73" t="s">
        <v>34</v>
      </c>
      <c r="AI6" s="67"/>
      <c r="AJ6" s="72" t="s">
        <v>37</v>
      </c>
      <c r="AK6" s="73" t="s">
        <v>34</v>
      </c>
      <c r="AM6" s="72" t="s">
        <v>37</v>
      </c>
      <c r="AN6" s="73" t="s">
        <v>34</v>
      </c>
      <c r="AO6" s="67"/>
      <c r="AP6" s="72" t="s">
        <v>37</v>
      </c>
      <c r="AQ6" s="73" t="s">
        <v>34</v>
      </c>
      <c r="AS6" s="72" t="s">
        <v>37</v>
      </c>
      <c r="AT6" s="73" t="s">
        <v>34</v>
      </c>
      <c r="AU6" s="67"/>
      <c r="AV6" s="72" t="s">
        <v>37</v>
      </c>
      <c r="AW6" s="73" t="s">
        <v>34</v>
      </c>
      <c r="AY6" s="72" t="s">
        <v>37</v>
      </c>
      <c r="AZ6" s="73" t="s">
        <v>34</v>
      </c>
      <c r="BA6" s="67"/>
      <c r="BB6" s="72" t="s">
        <v>37</v>
      </c>
      <c r="BC6" s="73" t="s">
        <v>34</v>
      </c>
      <c r="BE6" s="72" t="s">
        <v>37</v>
      </c>
      <c r="BF6" s="73" t="s">
        <v>34</v>
      </c>
      <c r="BG6" s="67"/>
      <c r="BH6" s="72" t="s">
        <v>37</v>
      </c>
      <c r="BI6" s="73" t="s">
        <v>34</v>
      </c>
      <c r="BK6" s="72" t="s">
        <v>37</v>
      </c>
      <c r="BL6" s="73" t="s">
        <v>34</v>
      </c>
      <c r="BM6" s="67"/>
      <c r="BN6" s="72" t="s">
        <v>37</v>
      </c>
      <c r="BO6" s="73" t="s">
        <v>34</v>
      </c>
      <c r="BQ6" s="72" t="s">
        <v>37</v>
      </c>
      <c r="BR6" s="73" t="s">
        <v>34</v>
      </c>
      <c r="BS6" s="66"/>
      <c r="BT6" s="72" t="s">
        <v>37</v>
      </c>
      <c r="BU6" s="73" t="s">
        <v>34</v>
      </c>
      <c r="BY6" s="69" t="s">
        <v>37</v>
      </c>
      <c r="BZ6" s="70" t="s">
        <v>34</v>
      </c>
      <c r="CA6" s="71"/>
      <c r="CB6" s="69" t="s">
        <v>37</v>
      </c>
      <c r="CC6" s="70" t="s">
        <v>34</v>
      </c>
      <c r="CE6" s="69" t="s">
        <v>37</v>
      </c>
      <c r="CF6" s="70" t="s">
        <v>34</v>
      </c>
      <c r="CG6" s="71"/>
      <c r="CH6" s="69" t="s">
        <v>37</v>
      </c>
      <c r="CI6" s="70" t="s">
        <v>34</v>
      </c>
    </row>
    <row r="7" spans="1:87" x14ac:dyDescent="0.25">
      <c r="A7" s="46">
        <v>1</v>
      </c>
      <c r="B7" s="46" t="s">
        <v>1</v>
      </c>
      <c r="C7" s="74">
        <v>1.2282025885121541</v>
      </c>
      <c r="D7" s="75">
        <v>1.526607992582155</v>
      </c>
      <c r="E7" s="76"/>
      <c r="F7" s="74">
        <v>1.1762665221277682</v>
      </c>
      <c r="G7" s="75">
        <v>1.3720988256314062</v>
      </c>
      <c r="H7" s="77"/>
      <c r="I7" s="74">
        <v>8.9410090564896052</v>
      </c>
      <c r="J7" s="75">
        <v>11.113326103571707</v>
      </c>
      <c r="K7" s="76"/>
      <c r="L7" s="74">
        <v>18.317096796965643</v>
      </c>
      <c r="M7" s="75">
        <v>21.366643130019622</v>
      </c>
      <c r="N7" s="53"/>
      <c r="O7" s="74">
        <v>8.5968089522744897</v>
      </c>
      <c r="P7" s="75">
        <v>10.707444007850384</v>
      </c>
      <c r="Q7" s="53"/>
      <c r="R7" s="74">
        <v>17.602103835892155</v>
      </c>
      <c r="S7" s="75">
        <v>20.576107896036202</v>
      </c>
      <c r="T7" s="53"/>
      <c r="U7" s="74">
        <v>8.2668914905613775</v>
      </c>
      <c r="V7" s="75">
        <v>10.319166877026374</v>
      </c>
      <c r="W7" s="53"/>
      <c r="X7" s="74">
        <v>16.916556831761042</v>
      </c>
      <c r="Y7" s="75">
        <v>19.819395713413151</v>
      </c>
      <c r="Z7" s="53"/>
      <c r="AA7" s="74">
        <v>8.1121543664612172</v>
      </c>
      <c r="AB7" s="75">
        <v>10.098005145513993</v>
      </c>
      <c r="AC7" s="53"/>
      <c r="AD7" s="74">
        <v>16.611760452823372</v>
      </c>
      <c r="AE7" s="75">
        <v>19.421308850877679</v>
      </c>
      <c r="AF7" s="53"/>
      <c r="AG7" s="74">
        <v>7.96063067621398</v>
      </c>
      <c r="AH7" s="75">
        <v>9.8822913801407051</v>
      </c>
      <c r="AI7" s="53"/>
      <c r="AJ7" s="74">
        <v>16.31288812387881</v>
      </c>
      <c r="AK7" s="75">
        <v>19.032256189653811</v>
      </c>
      <c r="AL7" s="53"/>
      <c r="AM7" s="74">
        <v>7.812242374743839</v>
      </c>
      <c r="AN7" s="75">
        <v>9.671869573676581</v>
      </c>
      <c r="AO7" s="53"/>
      <c r="AP7" s="74">
        <v>16.019809049659244</v>
      </c>
      <c r="AQ7" s="75">
        <v>18.651999679232215</v>
      </c>
      <c r="AR7" s="53"/>
      <c r="AS7" s="74">
        <v>7.6669136929502875</v>
      </c>
      <c r="AT7" s="75">
        <v>9.466588814146693</v>
      </c>
      <c r="AU7" s="53"/>
      <c r="AV7" s="74">
        <v>15.732395870259992</v>
      </c>
      <c r="AW7" s="75">
        <v>18.280308527013297</v>
      </c>
      <c r="AX7" s="53"/>
      <c r="AY7" s="74">
        <v>7.5245710597444173</v>
      </c>
      <c r="AZ7" s="75">
        <v>9.2663031011920491</v>
      </c>
      <c r="BA7" s="53"/>
      <c r="BB7" s="74">
        <v>15.450524553199573</v>
      </c>
      <c r="BC7" s="75">
        <v>17.916958949545112</v>
      </c>
      <c r="BD7" s="53"/>
      <c r="BE7" s="74">
        <v>7.3851430270746752</v>
      </c>
      <c r="BF7" s="75">
        <v>9.0708711695258497</v>
      </c>
      <c r="BG7" s="53"/>
      <c r="BH7" s="74">
        <v>15.174074289385111</v>
      </c>
      <c r="BI7" s="75">
        <v>17.561733933032546</v>
      </c>
      <c r="BJ7" s="53"/>
      <c r="BK7" s="74">
        <v>7.2485601978191205</v>
      </c>
      <c r="BL7" s="75">
        <v>8.8801563191969457</v>
      </c>
      <c r="BM7" s="53"/>
      <c r="BN7" s="74">
        <v>14.902927392828277</v>
      </c>
      <c r="BO7" s="75">
        <v>17.21442300275088</v>
      </c>
      <c r="BP7" s="53"/>
      <c r="BQ7" s="74">
        <v>7.2485601978191205</v>
      </c>
      <c r="BR7" s="75">
        <v>8.6940262523842726</v>
      </c>
      <c r="BS7" s="53"/>
      <c r="BT7" s="74">
        <v>14.636969203963282</v>
      </c>
      <c r="BU7" s="75">
        <v>16.874822001012621</v>
      </c>
      <c r="BW7" s="46">
        <v>6.3497007997540206E-3</v>
      </c>
      <c r="BY7" s="74">
        <f>C7*$BW7</f>
        <v>7.798718958535583E-3</v>
      </c>
      <c r="BZ7" s="74">
        <f>D7*$BW7</f>
        <v>9.6935039914097885E-3</v>
      </c>
      <c r="CA7" s="76"/>
      <c r="CB7" s="74">
        <f>F7*$BW7</f>
        <v>7.4689404762785698E-3</v>
      </c>
      <c r="CC7" s="74">
        <f>G7*$BW7</f>
        <v>8.7124170104532928E-3</v>
      </c>
      <c r="CD7" s="77"/>
      <c r="CE7" s="74">
        <f>I7*$BW7</f>
        <v>5.6772732356599985E-2</v>
      </c>
      <c r="CF7" s="74">
        <f>J7*$BW7</f>
        <v>7.05662956477765E-2</v>
      </c>
      <c r="CG7" s="76"/>
      <c r="CH7" s="74">
        <f>L7*$BW7</f>
        <v>0.11630808418086455</v>
      </c>
      <c r="CI7" s="74">
        <f>M7*$BW7</f>
        <v>0.13567179097074433</v>
      </c>
    </row>
    <row r="8" spans="1:87" x14ac:dyDescent="0.25">
      <c r="A8" s="46">
        <v>2</v>
      </c>
      <c r="B8" s="46" t="s">
        <v>50</v>
      </c>
      <c r="C8" s="74">
        <v>1.6154535309666886</v>
      </c>
      <c r="D8" s="75">
        <v>2.387295049700989</v>
      </c>
      <c r="E8" s="76"/>
      <c r="F8" s="74">
        <v>1.6783868109860385</v>
      </c>
      <c r="G8" s="75">
        <v>2.502021664587434</v>
      </c>
      <c r="H8" s="77"/>
      <c r="I8" s="74">
        <v>4.9851564211335448</v>
      </c>
      <c r="J8" s="75">
        <v>7.3669957185556552</v>
      </c>
      <c r="K8" s="76"/>
      <c r="L8" s="74">
        <v>6.813681421926387</v>
      </c>
      <c r="M8" s="75">
        <v>10.157359687092146</v>
      </c>
      <c r="N8" s="53"/>
      <c r="O8" s="74">
        <v>4.8214192936598295</v>
      </c>
      <c r="P8" s="75">
        <v>7.135627307006688</v>
      </c>
      <c r="Q8" s="53"/>
      <c r="R8" s="74">
        <v>6.5955605879516064</v>
      </c>
      <c r="S8" s="75">
        <v>9.8564104490061126</v>
      </c>
      <c r="T8" s="53"/>
      <c r="U8" s="74">
        <v>4.6643638288718856</v>
      </c>
      <c r="V8" s="75">
        <v>6.9145833220072923</v>
      </c>
      <c r="W8" s="53"/>
      <c r="X8" s="74">
        <v>6.3864688371763787</v>
      </c>
      <c r="Y8" s="75">
        <v>9.5692895638705018</v>
      </c>
      <c r="Z8" s="53"/>
      <c r="AA8" s="74">
        <v>4.5050943547873219</v>
      </c>
      <c r="AB8" s="75">
        <v>6.682482517678932</v>
      </c>
      <c r="AC8" s="53"/>
      <c r="AD8" s="74">
        <v>6.1698986822440673</v>
      </c>
      <c r="AE8" s="75">
        <v>9.2504309606625306</v>
      </c>
      <c r="AF8" s="53"/>
      <c r="AG8" s="74">
        <v>4.3513518020990292</v>
      </c>
      <c r="AH8" s="75">
        <v>6.4583586900082066</v>
      </c>
      <c r="AI8" s="53"/>
      <c r="AJ8" s="74">
        <v>5.9607883254749492</v>
      </c>
      <c r="AK8" s="75">
        <v>8.9424422842825777</v>
      </c>
      <c r="AL8" s="53"/>
      <c r="AM8" s="74">
        <v>4.2029410205762661</v>
      </c>
      <c r="AN8" s="75">
        <v>6.2419312070790056</v>
      </c>
      <c r="AO8" s="53"/>
      <c r="AP8" s="74">
        <v>5.7588766166726568</v>
      </c>
      <c r="AQ8" s="75">
        <v>8.6449447844129121</v>
      </c>
      <c r="AR8" s="53"/>
      <c r="AS8" s="74">
        <v>4.0596738890819752</v>
      </c>
      <c r="AT8" s="75">
        <v>6.0329295572710544</v>
      </c>
      <c r="AU8" s="53"/>
      <c r="AV8" s="74">
        <v>5.5639117159839611</v>
      </c>
      <c r="AW8" s="75">
        <v>8.3575732123137954</v>
      </c>
      <c r="AX8" s="53"/>
      <c r="AY8" s="74">
        <v>3.921369056411224</v>
      </c>
      <c r="AZ8" s="75">
        <v>5.8310929742304944</v>
      </c>
      <c r="BA8" s="53"/>
      <c r="BB8" s="74">
        <v>5.3756507548371566</v>
      </c>
      <c r="BC8" s="75">
        <v>8.0799753273576975</v>
      </c>
      <c r="BD8" s="53"/>
      <c r="BE8" s="74">
        <v>3.787851691947774</v>
      </c>
      <c r="BF8" s="75">
        <v>5.6361700761605187</v>
      </c>
      <c r="BG8" s="53"/>
      <c r="BH8" s="74">
        <v>5.1938595095394922</v>
      </c>
      <c r="BI8" s="75">
        <v>7.8118114221055022</v>
      </c>
      <c r="BJ8" s="53"/>
      <c r="BK8" s="74">
        <v>3.6589532457552423</v>
      </c>
      <c r="BL8" s="75">
        <v>5.4479185188672972</v>
      </c>
      <c r="BM8" s="53"/>
      <c r="BN8" s="74">
        <v>5.0183120870474145</v>
      </c>
      <c r="BO8" s="75">
        <v>7.5527538652066397</v>
      </c>
      <c r="BP8" s="53"/>
      <c r="BQ8" s="74">
        <v>3.6589532457552423</v>
      </c>
      <c r="BR8" s="75">
        <v>5.2661046620195471</v>
      </c>
      <c r="BS8" s="53"/>
      <c r="BT8" s="74">
        <v>4.8487906224425297</v>
      </c>
      <c r="BU8" s="75">
        <v>7.3024866614335959</v>
      </c>
      <c r="BW8" s="46">
        <v>7.7596269241497484E-2</v>
      </c>
      <c r="BY8" s="74">
        <f t="shared" ref="BY8:BZ26" si="0">C8*$BW8</f>
        <v>0.12535316713601896</v>
      </c>
      <c r="BZ8" s="74">
        <f t="shared" si="0"/>
        <v>0.18524518943549206</v>
      </c>
      <c r="CA8" s="76"/>
      <c r="CB8" s="74">
        <f t="shared" ref="CB8:CB26" si="1">F8*$BW8</f>
        <v>0.13023655487665098</v>
      </c>
      <c r="CC8" s="74">
        <f t="shared" ref="CC8:CC26" si="2">G8*$BW8</f>
        <v>0.19414754673338624</v>
      </c>
      <c r="CD8" s="77"/>
      <c r="CE8" s="74">
        <f t="shared" ref="CE8:CE26" si="3">I8*$BW8</f>
        <v>0.38682953986525859</v>
      </c>
      <c r="CF8" s="74">
        <f t="shared" ref="CF8:CF26" si="4">J8*$BW8</f>
        <v>0.5716513832780038</v>
      </c>
      <c r="CG8" s="76"/>
      <c r="CH8" s="74">
        <f t="shared" ref="CH8:CH26" si="5">L8*$BW8</f>
        <v>0.5287162581415894</v>
      </c>
      <c r="CI8" s="74">
        <f t="shared" ref="CI8:CI26" si="6">M8*$BW8</f>
        <v>0.78817321706233479</v>
      </c>
    </row>
    <row r="9" spans="1:87" x14ac:dyDescent="0.25">
      <c r="A9" s="46">
        <v>3</v>
      </c>
      <c r="B9" s="46" t="s">
        <v>3</v>
      </c>
      <c r="C9" s="74">
        <v>1.5286256883962026</v>
      </c>
      <c r="D9" s="75">
        <v>1.8981839631489785</v>
      </c>
      <c r="E9" s="76"/>
      <c r="F9" s="74">
        <v>1.7060511303458095</v>
      </c>
      <c r="G9" s="75">
        <v>2.1755124630098805</v>
      </c>
      <c r="H9" s="77"/>
      <c r="I9" s="74">
        <v>8.7005444007198083</v>
      </c>
      <c r="J9" s="75">
        <v>10.803975085254105</v>
      </c>
      <c r="K9" s="76"/>
      <c r="L9" s="74">
        <v>10.730808546333675</v>
      </c>
      <c r="M9" s="75">
        <v>13.683650692221583</v>
      </c>
      <c r="N9" s="53"/>
      <c r="O9" s="74">
        <v>8.9714640393229921</v>
      </c>
      <c r="P9" s="75">
        <v>11.01516873045702</v>
      </c>
      <c r="Q9" s="53"/>
      <c r="R9" s="74">
        <v>11.001014854737388</v>
      </c>
      <c r="S9" s="75">
        <v>13.88071024931123</v>
      </c>
      <c r="T9" s="53"/>
      <c r="U9" s="74">
        <v>9.2663472441508272</v>
      </c>
      <c r="V9" s="75">
        <v>11.253542910088912</v>
      </c>
      <c r="W9" s="53"/>
      <c r="X9" s="74">
        <v>11.299065793838318</v>
      </c>
      <c r="Y9" s="75">
        <v>14.109852729441437</v>
      </c>
      <c r="Z9" s="53"/>
      <c r="AA9" s="74">
        <v>9.0677154875686092</v>
      </c>
      <c r="AB9" s="75">
        <v>10.990592937329785</v>
      </c>
      <c r="AC9" s="53"/>
      <c r="AD9" s="74">
        <v>11.053806101754336</v>
      </c>
      <c r="AE9" s="75">
        <v>13.774260889000809</v>
      </c>
      <c r="AF9" s="53"/>
      <c r="AG9" s="74">
        <v>8.8740499407826849</v>
      </c>
      <c r="AH9" s="75">
        <v>10.734772847382651</v>
      </c>
      <c r="AI9" s="53"/>
      <c r="AJ9" s="74">
        <v>10.814750784317846</v>
      </c>
      <c r="AK9" s="75">
        <v>13.447884948493849</v>
      </c>
      <c r="AL9" s="53"/>
      <c r="AM9" s="74">
        <v>8.685203092796657</v>
      </c>
      <c r="AN9" s="75">
        <v>10.485859639355473</v>
      </c>
      <c r="AO9" s="53"/>
      <c r="AP9" s="74">
        <v>10.581714643420094</v>
      </c>
      <c r="AQ9" s="75">
        <v>13.130435855742377</v>
      </c>
      <c r="AR9" s="53"/>
      <c r="AS9" s="74">
        <v>8.5010325133228335</v>
      </c>
      <c r="AT9" s="75">
        <v>10.243638122942418</v>
      </c>
      <c r="AU9" s="53"/>
      <c r="AV9" s="74">
        <v>10.354518833180782</v>
      </c>
      <c r="AW9" s="75">
        <v>12.821634612126125</v>
      </c>
      <c r="AX9" s="53"/>
      <c r="AY9" s="74">
        <v>8.321400658537403</v>
      </c>
      <c r="AZ9" s="75">
        <v>10.007900621854709</v>
      </c>
      <c r="BA9" s="53"/>
      <c r="BB9" s="74">
        <v>10.132990619763499</v>
      </c>
      <c r="BC9" s="75">
        <v>12.521211896042036</v>
      </c>
      <c r="BD9" s="53"/>
      <c r="BE9" s="74">
        <v>8.1461746847832188</v>
      </c>
      <c r="BF9" s="75">
        <v>9.7784466891748494</v>
      </c>
      <c r="BG9" s="53"/>
      <c r="BH9" s="74">
        <v>9.9169631508746416</v>
      </c>
      <c r="BI9" s="75">
        <v>12.22890770124231</v>
      </c>
      <c r="BJ9" s="53"/>
      <c r="BK9" s="74">
        <v>7.9752262698800083</v>
      </c>
      <c r="BL9" s="75">
        <v>9.5550828341338896</v>
      </c>
      <c r="BM9" s="53"/>
      <c r="BN9" s="74">
        <v>9.7062752345379817</v>
      </c>
      <c r="BO9" s="75">
        <v>11.94447098943866</v>
      </c>
      <c r="BP9" s="53"/>
      <c r="BQ9" s="74">
        <v>7.9752262698800083</v>
      </c>
      <c r="BR9" s="75">
        <v>9.3376222598331964</v>
      </c>
      <c r="BS9" s="53"/>
      <c r="BT9" s="74">
        <v>9.5007711267545059</v>
      </c>
      <c r="BU9" s="75">
        <v>11.667659356585991</v>
      </c>
      <c r="BW9" s="46">
        <v>6.4930369127405132E-3</v>
      </c>
      <c r="BY9" s="74">
        <f t="shared" si="0"/>
        <v>9.9254230205199218E-3</v>
      </c>
      <c r="BZ9" s="74">
        <f t="shared" si="0"/>
        <v>1.2324978539898395E-2</v>
      </c>
      <c r="CA9" s="76"/>
      <c r="CB9" s="74">
        <f t="shared" si="1"/>
        <v>1.1077452964358017E-2</v>
      </c>
      <c r="CC9" s="74">
        <f t="shared" si="2"/>
        <v>1.4125682726450185E-2</v>
      </c>
      <c r="CD9" s="77"/>
      <c r="CE9" s="74">
        <f t="shared" si="3"/>
        <v>5.6492955954811505E-2</v>
      </c>
      <c r="CF9" s="74">
        <f t="shared" si="4"/>
        <v>7.015060903288374E-2</v>
      </c>
      <c r="CG9" s="76"/>
      <c r="CH9" s="74">
        <f t="shared" si="5"/>
        <v>6.9675535994895912E-2</v>
      </c>
      <c r="CI9" s="74">
        <f t="shared" si="6"/>
        <v>8.8848449045642014E-2</v>
      </c>
    </row>
    <row r="10" spans="1:87" x14ac:dyDescent="0.25">
      <c r="A10" s="46">
        <v>4</v>
      </c>
      <c r="B10" s="46" t="s">
        <v>46</v>
      </c>
      <c r="C10" s="74">
        <v>1.4966720314346804</v>
      </c>
      <c r="D10" s="75">
        <v>2.0792277664159022</v>
      </c>
      <c r="E10" s="76"/>
      <c r="F10" s="74">
        <v>1.4593612529894531</v>
      </c>
      <c r="G10" s="75">
        <v>2.016628500691791</v>
      </c>
      <c r="H10" s="77"/>
      <c r="I10" s="74">
        <v>2.2113786321754976</v>
      </c>
      <c r="J10" s="75">
        <v>3.0721225208375134</v>
      </c>
      <c r="K10" s="76"/>
      <c r="L10" s="74">
        <v>3.1643554821608082</v>
      </c>
      <c r="M10" s="75">
        <v>4.3726866384686165</v>
      </c>
      <c r="N10" s="53"/>
      <c r="O10" s="74">
        <v>2.1711994756852495</v>
      </c>
      <c r="P10" s="75">
        <v>3.0075029184644766</v>
      </c>
      <c r="Q10" s="53"/>
      <c r="R10" s="74">
        <v>3.1082419218957926</v>
      </c>
      <c r="S10" s="75">
        <v>4.2866407302389185</v>
      </c>
      <c r="T10" s="53"/>
      <c r="U10" s="74">
        <v>2.1325421371551148</v>
      </c>
      <c r="V10" s="75">
        <v>2.945721548108962</v>
      </c>
      <c r="W10" s="53"/>
      <c r="X10" s="74">
        <v>3.0541491645366889</v>
      </c>
      <c r="Y10" s="75">
        <v>4.2043499745467736</v>
      </c>
      <c r="Z10" s="53"/>
      <c r="AA10" s="74">
        <v>2.0593010885978305</v>
      </c>
      <c r="AB10" s="75">
        <v>2.8461608723298393</v>
      </c>
      <c r="AC10" s="53"/>
      <c r="AD10" s="74">
        <v>2.9497324683298709</v>
      </c>
      <c r="AE10" s="75">
        <v>4.0629685020726036</v>
      </c>
      <c r="AF10" s="53"/>
      <c r="AG10" s="74">
        <v>1.9886278533895942</v>
      </c>
      <c r="AH10" s="75">
        <v>2.7500534055246462</v>
      </c>
      <c r="AI10" s="53"/>
      <c r="AJ10" s="74">
        <v>2.8489530804970982</v>
      </c>
      <c r="AK10" s="75">
        <v>3.9264566828292367</v>
      </c>
      <c r="AL10" s="53"/>
      <c r="AM10" s="74">
        <v>1.9204307530040101</v>
      </c>
      <c r="AN10" s="75">
        <v>2.6572765779820267</v>
      </c>
      <c r="AO10" s="53"/>
      <c r="AP10" s="74">
        <v>2.7516822489995856</v>
      </c>
      <c r="AQ10" s="75">
        <v>3.7946432667026024</v>
      </c>
      <c r="AR10" s="53"/>
      <c r="AS10" s="74">
        <v>1.854621443029856</v>
      </c>
      <c r="AT10" s="75">
        <v>2.5677122711976916</v>
      </c>
      <c r="AU10" s="53"/>
      <c r="AV10" s="74">
        <v>2.6577958525193637</v>
      </c>
      <c r="AW10" s="75">
        <v>3.6673631489187635</v>
      </c>
      <c r="AX10" s="53"/>
      <c r="AY10" s="74">
        <v>1.7911147894156942</v>
      </c>
      <c r="AZ10" s="75">
        <v>2.4812466522469525</v>
      </c>
      <c r="BA10" s="53"/>
      <c r="BB10" s="74">
        <v>2.5671742309602998</v>
      </c>
      <c r="BC10" s="75">
        <v>3.5444571447466737</v>
      </c>
      <c r="BD10" s="53"/>
      <c r="BE10" s="74">
        <v>1.7298287494167137</v>
      </c>
      <c r="BF10" s="75">
        <v>2.3977700144863805</v>
      </c>
      <c r="BG10" s="53"/>
      <c r="BH10" s="74">
        <v>2.4797020222804456</v>
      </c>
      <c r="BI10" s="75">
        <v>3.425771772658269</v>
      </c>
      <c r="BJ10" s="53"/>
      <c r="BK10" s="74">
        <v>1.6706842570603151</v>
      </c>
      <c r="BL10" s="75">
        <v>2.3171766243356222</v>
      </c>
      <c r="BM10" s="53"/>
      <c r="BN10" s="74">
        <v>2.3952680054136102</v>
      </c>
      <c r="BO10" s="75">
        <v>3.3111590456199362</v>
      </c>
      <c r="BP10" s="53"/>
      <c r="BQ10" s="74">
        <v>1.6706842570603151</v>
      </c>
      <c r="BR10" s="75">
        <v>2.2393645739004873</v>
      </c>
      <c r="BS10" s="53"/>
      <c r="BT10" s="74">
        <v>2.3137649490474863</v>
      </c>
      <c r="BU10" s="75">
        <v>3.2004762702023579</v>
      </c>
      <c r="BW10" s="46">
        <v>2.8447318949698534E-2</v>
      </c>
      <c r="BY10" s="74">
        <f t="shared" si="0"/>
        <v>4.2576306641315585E-2</v>
      </c>
      <c r="BZ10" s="74">
        <f t="shared" si="0"/>
        <v>5.9148455440302457E-2</v>
      </c>
      <c r="CA10" s="76"/>
      <c r="CB10" s="74">
        <f t="shared" si="1"/>
        <v>4.1514915026622662E-2</v>
      </c>
      <c r="CC10" s="74">
        <f t="shared" si="2"/>
        <v>5.7367674162231728E-2</v>
      </c>
      <c r="CD10" s="77"/>
      <c r="CE10" s="74">
        <f t="shared" si="3"/>
        <v>6.2907793268044451E-2</v>
      </c>
      <c r="CF10" s="74">
        <f t="shared" si="4"/>
        <v>8.7393649202816628E-2</v>
      </c>
      <c r="CG10" s="76"/>
      <c r="CH10" s="74">
        <f t="shared" si="5"/>
        <v>9.0017429671255603E-2</v>
      </c>
      <c r="CI10" s="74">
        <f t="shared" si="6"/>
        <v>0.12439121147160186</v>
      </c>
    </row>
    <row r="11" spans="1:87" x14ac:dyDescent="0.25">
      <c r="A11" s="46">
        <v>5</v>
      </c>
      <c r="B11" s="46" t="s">
        <v>5</v>
      </c>
      <c r="C11" s="74">
        <v>1.6214405593561938</v>
      </c>
      <c r="D11" s="75">
        <v>2.2481877231894472</v>
      </c>
      <c r="E11" s="76"/>
      <c r="F11" s="74">
        <v>1.5278354786128512</v>
      </c>
      <c r="G11" s="75">
        <v>2.1145021952600649</v>
      </c>
      <c r="H11" s="77"/>
      <c r="I11" s="74">
        <v>5.3028666506216311</v>
      </c>
      <c r="J11" s="75">
        <v>7.3526221068331727</v>
      </c>
      <c r="K11" s="76"/>
      <c r="L11" s="74">
        <v>7.4937502971945067</v>
      </c>
      <c r="M11" s="75">
        <v>10.371241979885822</v>
      </c>
      <c r="N11" s="53"/>
      <c r="O11" s="74">
        <v>5.1475615867447582</v>
      </c>
      <c r="P11" s="75">
        <v>7.1391151341651016</v>
      </c>
      <c r="Q11" s="53"/>
      <c r="R11" s="74">
        <v>7.271905203446444</v>
      </c>
      <c r="S11" s="75">
        <v>10.078116689593816</v>
      </c>
      <c r="T11" s="53"/>
      <c r="U11" s="74">
        <v>4.9980871807147222</v>
      </c>
      <c r="V11" s="75">
        <v>6.9345736971307987</v>
      </c>
      <c r="W11" s="53"/>
      <c r="X11" s="74">
        <v>7.0584008583825488</v>
      </c>
      <c r="Y11" s="75">
        <v>9.7974622878188047</v>
      </c>
      <c r="Z11" s="53"/>
      <c r="AA11" s="74">
        <v>4.8607274443704593</v>
      </c>
      <c r="AB11" s="75">
        <v>6.7345370133065181</v>
      </c>
      <c r="AC11" s="53"/>
      <c r="AD11" s="74">
        <v>6.868362042963664</v>
      </c>
      <c r="AE11" s="75">
        <v>9.5193964148283321</v>
      </c>
      <c r="AF11" s="53"/>
      <c r="AG11" s="74">
        <v>4.7273473241449802</v>
      </c>
      <c r="AH11" s="75">
        <v>6.5405884061279087</v>
      </c>
      <c r="AI11" s="53"/>
      <c r="AJ11" s="74">
        <v>6.6837024458300949</v>
      </c>
      <c r="AK11" s="75">
        <v>9.2496444374730178</v>
      </c>
      <c r="AL11" s="53"/>
      <c r="AM11" s="74">
        <v>4.5978247393855289</v>
      </c>
      <c r="AN11" s="75">
        <v>6.3525322313935799</v>
      </c>
      <c r="AO11" s="53"/>
      <c r="AP11" s="74">
        <v>6.5042609989085145</v>
      </c>
      <c r="AQ11" s="75">
        <v>8.9879440837525202</v>
      </c>
      <c r="AR11" s="53"/>
      <c r="AS11" s="74">
        <v>4.4720415760963741</v>
      </c>
      <c r="AT11" s="75">
        <v>6.1701794717757856</v>
      </c>
      <c r="AU11" s="53"/>
      <c r="AV11" s="74">
        <v>6.329881747503161</v>
      </c>
      <c r="AW11" s="75">
        <v>8.7340418019232189</v>
      </c>
      <c r="AX11" s="53"/>
      <c r="AY11" s="74">
        <v>4.3498835508551252</v>
      </c>
      <c r="AZ11" s="75">
        <v>5.9933475010235506</v>
      </c>
      <c r="BA11" s="53"/>
      <c r="BB11" s="74">
        <v>6.1604136784837724</v>
      </c>
      <c r="BC11" s="75">
        <v>8.4876924558095066</v>
      </c>
      <c r="BD11" s="53"/>
      <c r="BE11" s="74">
        <v>4.2312400796334551</v>
      </c>
      <c r="BF11" s="75">
        <v>5.8218598569444646</v>
      </c>
      <c r="BG11" s="53"/>
      <c r="BH11" s="74">
        <v>5.9957105545556066</v>
      </c>
      <c r="BI11" s="75">
        <v>8.2486590312599155</v>
      </c>
      <c r="BJ11" s="53"/>
      <c r="BK11" s="74">
        <v>4.1160041513375383</v>
      </c>
      <c r="BL11" s="75">
        <v>5.6555460228244883</v>
      </c>
      <c r="BM11" s="53"/>
      <c r="BN11" s="74">
        <v>5.8356307543860035</v>
      </c>
      <c r="BO11" s="75">
        <v>8.0167123533229798</v>
      </c>
      <c r="BP11" s="53"/>
      <c r="BQ11" s="74">
        <v>4.1160041513375383</v>
      </c>
      <c r="BR11" s="75">
        <v>5.494241216958887</v>
      </c>
      <c r="BS11" s="53"/>
      <c r="BT11" s="74">
        <v>5.6800371183706666</v>
      </c>
      <c r="BU11" s="75">
        <v>7.7916308137345922</v>
      </c>
      <c r="BW11" s="46">
        <v>5.7024987986987692E-2</v>
      </c>
      <c r="BY11" s="74">
        <f t="shared" si="0"/>
        <v>9.2462628418901557E-2</v>
      </c>
      <c r="BZ11" s="74">
        <f t="shared" si="0"/>
        <v>0.12820287790737145</v>
      </c>
      <c r="CA11" s="76"/>
      <c r="CB11" s="74">
        <f t="shared" si="1"/>
        <v>8.7124799813991433E-2</v>
      </c>
      <c r="CC11" s="74">
        <f t="shared" si="2"/>
        <v>0.12057946228316431</v>
      </c>
      <c r="CD11" s="77"/>
      <c r="CE11" s="74">
        <f t="shared" si="3"/>
        <v>0.30239590704829616</v>
      </c>
      <c r="CF11" s="74">
        <f t="shared" si="4"/>
        <v>0.41928318731502179</v>
      </c>
      <c r="CG11" s="76"/>
      <c r="CH11" s="74">
        <f t="shared" si="5"/>
        <v>0.42733102067500217</v>
      </c>
      <c r="CI11" s="74">
        <f t="shared" si="6"/>
        <v>0.59141994931313147</v>
      </c>
    </row>
    <row r="12" spans="1:87" x14ac:dyDescent="0.25">
      <c r="A12" s="46">
        <v>6</v>
      </c>
      <c r="B12" s="46" t="s">
        <v>6</v>
      </c>
      <c r="C12" s="74">
        <v>2.1725566996443466</v>
      </c>
      <c r="D12" s="75">
        <v>3.0195432538684126</v>
      </c>
      <c r="E12" s="76"/>
      <c r="F12" s="74">
        <v>2.288804574428239</v>
      </c>
      <c r="G12" s="75">
        <v>3.2070862519205785</v>
      </c>
      <c r="H12" s="77"/>
      <c r="I12" s="74">
        <v>3.325801049437469</v>
      </c>
      <c r="J12" s="75">
        <v>4.6223880482297028</v>
      </c>
      <c r="K12" s="76"/>
      <c r="L12" s="74">
        <v>4.5367670727836593</v>
      </c>
      <c r="M12" s="75">
        <v>6.3569443498360245</v>
      </c>
      <c r="N12" s="53"/>
      <c r="O12" s="74">
        <v>3.138624058168737</v>
      </c>
      <c r="P12" s="75">
        <v>4.3983950367792115</v>
      </c>
      <c r="Q12" s="53"/>
      <c r="R12" s="74">
        <v>4.2945290759187511</v>
      </c>
      <c r="S12" s="75">
        <v>6.0696175713654084</v>
      </c>
      <c r="T12" s="53"/>
      <c r="U12" s="74">
        <v>2.9656344347164567</v>
      </c>
      <c r="V12" s="75">
        <v>4.1905723817836531</v>
      </c>
      <c r="W12" s="53"/>
      <c r="X12" s="74">
        <v>4.0707676928401888</v>
      </c>
      <c r="Y12" s="75">
        <v>5.8033799552142842</v>
      </c>
      <c r="Z12" s="53"/>
      <c r="AA12" s="74">
        <v>2.8524533165305144</v>
      </c>
      <c r="AB12" s="75">
        <v>4.0377445267246337</v>
      </c>
      <c r="AC12" s="53"/>
      <c r="AD12" s="74">
        <v>3.9175923597608495</v>
      </c>
      <c r="AE12" s="75">
        <v>5.5945224976925472</v>
      </c>
      <c r="AF12" s="53"/>
      <c r="AG12" s="74">
        <v>2.7437295579727921</v>
      </c>
      <c r="AH12" s="75">
        <v>3.8907077525913416</v>
      </c>
      <c r="AI12" s="53"/>
      <c r="AJ12" s="74">
        <v>3.7703750737049946</v>
      </c>
      <c r="AK12" s="75">
        <v>5.3934794376608464</v>
      </c>
      <c r="AL12" s="53"/>
      <c r="AM12" s="74">
        <v>2.6392834173008892</v>
      </c>
      <c r="AN12" s="75">
        <v>3.7492357845095996</v>
      </c>
      <c r="AO12" s="53"/>
      <c r="AP12" s="74">
        <v>3.6288782050519415</v>
      </c>
      <c r="AQ12" s="75">
        <v>5.1999491282541017</v>
      </c>
      <c r="AR12" s="53"/>
      <c r="AS12" s="74">
        <v>2.5389425363116831</v>
      </c>
      <c r="AT12" s="75">
        <v>3.6131114138829474</v>
      </c>
      <c r="AU12" s="53"/>
      <c r="AV12" s="74">
        <v>3.4928737896697277</v>
      </c>
      <c r="AW12" s="75">
        <v>5.0136418696523259</v>
      </c>
      <c r="AX12" s="53"/>
      <c r="AY12" s="74">
        <v>2.4425416324140863</v>
      </c>
      <c r="AZ12" s="75">
        <v>3.4821261273911266</v>
      </c>
      <c r="BA12" s="53"/>
      <c r="BB12" s="74">
        <v>3.362143129453032</v>
      </c>
      <c r="BC12" s="75">
        <v>4.8342794255665025</v>
      </c>
      <c r="BD12" s="53"/>
      <c r="BE12" s="74">
        <v>2.3499222037095193</v>
      </c>
      <c r="BF12" s="75">
        <v>3.3560797514469667</v>
      </c>
      <c r="BG12" s="53"/>
      <c r="BH12" s="74">
        <v>3.2364764095930498</v>
      </c>
      <c r="BI12" s="75">
        <v>4.6615945596589032</v>
      </c>
      <c r="BJ12" s="53"/>
      <c r="BK12" s="74">
        <v>2.2609322465244248</v>
      </c>
      <c r="BL12" s="75">
        <v>3.2347801114573613</v>
      </c>
      <c r="BM12" s="53"/>
      <c r="BN12" s="74">
        <v>3.1156723318703623</v>
      </c>
      <c r="BO12" s="75">
        <v>4.49533059106263</v>
      </c>
      <c r="BP12" s="53"/>
      <c r="BQ12" s="74">
        <v>2.2609322465244248</v>
      </c>
      <c r="BR12" s="75">
        <v>3.1180427052620514</v>
      </c>
      <c r="BS12" s="53"/>
      <c r="BT12" s="74">
        <v>2.9995377632920897</v>
      </c>
      <c r="BU12" s="75">
        <v>4.3352409682006297</v>
      </c>
      <c r="BW12" s="46">
        <v>3.5047073318564888E-2</v>
      </c>
      <c r="BY12" s="74">
        <f t="shared" si="0"/>
        <v>7.614175394117477E-2</v>
      </c>
      <c r="BZ12" s="74">
        <f t="shared" si="0"/>
        <v>0.10582615380690424</v>
      </c>
      <c r="CA12" s="76"/>
      <c r="CB12" s="74">
        <f t="shared" si="1"/>
        <v>8.0215901731853195E-2</v>
      </c>
      <c r="CC12" s="74">
        <f t="shared" si="2"/>
        <v>0.11239898701002198</v>
      </c>
      <c r="CD12" s="77"/>
      <c r="CE12" s="74">
        <f t="shared" si="3"/>
        <v>0.11655959322259503</v>
      </c>
      <c r="CF12" s="74">
        <f t="shared" si="4"/>
        <v>0.16200117283316445</v>
      </c>
      <c r="CG12" s="76"/>
      <c r="CH12" s="74">
        <f t="shared" si="5"/>
        <v>0.15900040822909992</v>
      </c>
      <c r="CI12" s="74">
        <f t="shared" si="6"/>
        <v>0.22279229471073994</v>
      </c>
    </row>
    <row r="13" spans="1:87" x14ac:dyDescent="0.25">
      <c r="A13" s="46">
        <v>7</v>
      </c>
      <c r="B13" s="46" t="s">
        <v>7</v>
      </c>
      <c r="C13" s="74">
        <v>3.1903393619134031</v>
      </c>
      <c r="D13" s="75">
        <v>4.6432870765156267</v>
      </c>
      <c r="E13" s="76"/>
      <c r="F13" s="74">
        <v>3.6433214338543176</v>
      </c>
      <c r="G13" s="75">
        <v>5.4630802416988864</v>
      </c>
      <c r="H13" s="77"/>
      <c r="I13" s="74">
        <v>2.6493742838998768</v>
      </c>
      <c r="J13" s="75">
        <v>3.8559551125329641</v>
      </c>
      <c r="K13" s="76"/>
      <c r="L13" s="74">
        <v>3.3911898607657434</v>
      </c>
      <c r="M13" s="75">
        <v>5.0850145013418899</v>
      </c>
      <c r="N13" s="53"/>
      <c r="O13" s="74">
        <v>2.5247362587460098</v>
      </c>
      <c r="P13" s="75">
        <v>3.6970567529940874</v>
      </c>
      <c r="Q13" s="53"/>
      <c r="R13" s="74">
        <v>3.2396994658991716</v>
      </c>
      <c r="S13" s="75">
        <v>4.8915652872656938</v>
      </c>
      <c r="T13" s="53"/>
      <c r="U13" s="74">
        <v>2.4084606377165767</v>
      </c>
      <c r="V13" s="75">
        <v>3.548366131581</v>
      </c>
      <c r="W13" s="53"/>
      <c r="X13" s="74">
        <v>3.0982876290596377</v>
      </c>
      <c r="Y13" s="75">
        <v>4.71062582247243</v>
      </c>
      <c r="Z13" s="53"/>
      <c r="AA13" s="74">
        <v>2.3357788611328596</v>
      </c>
      <c r="AB13" s="75">
        <v>3.4387898059439017</v>
      </c>
      <c r="AC13" s="53"/>
      <c r="AD13" s="74">
        <v>3.0040871771404554</v>
      </c>
      <c r="AE13" s="75">
        <v>4.5646085746788936</v>
      </c>
      <c r="AF13" s="53"/>
      <c r="AG13" s="74">
        <v>2.2654369213964416</v>
      </c>
      <c r="AH13" s="75">
        <v>3.33279445450147</v>
      </c>
      <c r="AI13" s="53"/>
      <c r="AJ13" s="74">
        <v>2.9129241678474549</v>
      </c>
      <c r="AK13" s="75">
        <v>4.4233562562796847</v>
      </c>
      <c r="AL13" s="53"/>
      <c r="AM13" s="74">
        <v>2.1973546716808205</v>
      </c>
      <c r="AN13" s="75">
        <v>3.2302566275213831</v>
      </c>
      <c r="AO13" s="53"/>
      <c r="AP13" s="74">
        <v>2.8246950900328311</v>
      </c>
      <c r="AQ13" s="75">
        <v>4.2867057828165613</v>
      </c>
      <c r="AR13" s="53"/>
      <c r="AS13" s="74">
        <v>2.1314548729880669</v>
      </c>
      <c r="AT13" s="75">
        <v>3.1310573490263858</v>
      </c>
      <c r="AU13" s="53"/>
      <c r="AV13" s="74">
        <v>2.7393001451527259</v>
      </c>
      <c r="AW13" s="75">
        <v>4.1544999056110532</v>
      </c>
      <c r="AX13" s="53"/>
      <c r="AY13" s="74">
        <v>2.0676630829694189</v>
      </c>
      <c r="AZ13" s="75">
        <v>3.0350819469190977</v>
      </c>
      <c r="BA13" s="53"/>
      <c r="BB13" s="74">
        <v>2.6566431076616612</v>
      </c>
      <c r="BC13" s="75">
        <v>4.0265869939415699</v>
      </c>
      <c r="BD13" s="53"/>
      <c r="BE13" s="74">
        <v>2.0059075492031204</v>
      </c>
      <c r="BF13" s="75">
        <v>2.9422198898446119</v>
      </c>
      <c r="BG13" s="53"/>
      <c r="BH13" s="74">
        <v>2.5766311908924657</v>
      </c>
      <c r="BI13" s="75">
        <v>3.902820825686149</v>
      </c>
      <c r="BJ13" s="53"/>
      <c r="BK13" s="74">
        <v>1.9461191067430486</v>
      </c>
      <c r="BL13" s="75">
        <v>2.8523646305126666</v>
      </c>
      <c r="BM13" s="53"/>
      <c r="BN13" s="74">
        <v>2.4991749181971512</v>
      </c>
      <c r="BO13" s="75">
        <v>3.7830603860888719</v>
      </c>
      <c r="BP13" s="53"/>
      <c r="BQ13" s="74">
        <v>1.9461191067430486</v>
      </c>
      <c r="BR13" s="75">
        <v>2.7654134552130651</v>
      </c>
      <c r="BS13" s="53"/>
      <c r="BT13" s="74">
        <v>2.4241879991337663</v>
      </c>
      <c r="BU13" s="75">
        <v>3.667169674322277</v>
      </c>
      <c r="BW13" s="46">
        <v>2.7451706310959976E-2</v>
      </c>
      <c r="BY13" s="74">
        <f t="shared" si="0"/>
        <v>8.7580259195542187E-2</v>
      </c>
      <c r="BZ13" s="74">
        <f t="shared" si="0"/>
        <v>0.12746615314198292</v>
      </c>
      <c r="CA13" s="76"/>
      <c r="CB13" s="74">
        <f t="shared" si="1"/>
        <v>0.10001538999859431</v>
      </c>
      <c r="CC13" s="74">
        <f t="shared" si="2"/>
        <v>0.14997087434832607</v>
      </c>
      <c r="CD13" s="77"/>
      <c r="CE13" s="74">
        <f t="shared" si="3"/>
        <v>7.2729844749429312E-2</v>
      </c>
      <c r="CF13" s="74">
        <f t="shared" si="4"/>
        <v>0.10585254729749956</v>
      </c>
      <c r="CG13" s="76"/>
      <c r="CH13" s="74">
        <f t="shared" si="5"/>
        <v>9.3093948102446436E-2</v>
      </c>
      <c r="CI13" s="74">
        <f t="shared" si="6"/>
        <v>0.13959232467781016</v>
      </c>
    </row>
    <row r="14" spans="1:87" x14ac:dyDescent="0.25">
      <c r="A14" s="46">
        <v>8</v>
      </c>
      <c r="B14" s="46" t="s">
        <v>8</v>
      </c>
      <c r="C14" s="74">
        <v>1.3579547910236835</v>
      </c>
      <c r="D14" s="75">
        <v>1.8831864457959158</v>
      </c>
      <c r="E14" s="76"/>
      <c r="F14" s="74">
        <v>1.3948465726605026</v>
      </c>
      <c r="G14" s="75">
        <v>1.984093228548246</v>
      </c>
      <c r="H14" s="77"/>
      <c r="I14" s="74">
        <v>4.7774129143615696</v>
      </c>
      <c r="J14" s="75">
        <v>6.6252273682203633</v>
      </c>
      <c r="K14" s="76"/>
      <c r="L14" s="74">
        <v>6.1404429241372904</v>
      </c>
      <c r="M14" s="75">
        <v>8.734445396979952</v>
      </c>
      <c r="N14" s="53"/>
      <c r="O14" s="74">
        <v>4.7146626394147093</v>
      </c>
      <c r="P14" s="75">
        <v>6.5100092108338519</v>
      </c>
      <c r="Q14" s="53"/>
      <c r="R14" s="74">
        <v>6.0623223448476624</v>
      </c>
      <c r="S14" s="75">
        <v>8.592067114631817</v>
      </c>
      <c r="T14" s="53"/>
      <c r="U14" s="74">
        <v>4.6539921138369911</v>
      </c>
      <c r="V14" s="75">
        <v>6.3996968338282381</v>
      </c>
      <c r="W14" s="53"/>
      <c r="X14" s="74">
        <v>5.9868775999885138</v>
      </c>
      <c r="Y14" s="75">
        <v>8.456087906994572</v>
      </c>
      <c r="Z14" s="53"/>
      <c r="AA14" s="74">
        <v>4.44996192300228</v>
      </c>
      <c r="AB14" s="75">
        <v>6.1391646007004494</v>
      </c>
      <c r="AC14" s="53"/>
      <c r="AD14" s="74">
        <v>5.7267581038969562</v>
      </c>
      <c r="AE14" s="75">
        <v>8.1166137401697238</v>
      </c>
      <c r="AF14" s="53"/>
      <c r="AG14" s="74">
        <v>4.2550295941325365</v>
      </c>
      <c r="AH14" s="75">
        <v>5.8896309654645291</v>
      </c>
      <c r="AI14" s="53"/>
      <c r="AJ14" s="74">
        <v>5.4781596673421911</v>
      </c>
      <c r="AK14" s="75">
        <v>7.7913061871149836</v>
      </c>
      <c r="AL14" s="53"/>
      <c r="AM14" s="74">
        <v>4.0687845353047303</v>
      </c>
      <c r="AN14" s="75">
        <v>5.65061902009713</v>
      </c>
      <c r="AO14" s="53"/>
      <c r="AP14" s="74">
        <v>5.2405649789924045</v>
      </c>
      <c r="AQ14" s="75">
        <v>7.479556703137721</v>
      </c>
      <c r="AR14" s="53"/>
      <c r="AS14" s="74">
        <v>3.890834847379173</v>
      </c>
      <c r="AT14" s="75">
        <v>5.4216729474915111</v>
      </c>
      <c r="AU14" s="53"/>
      <c r="AV14" s="74">
        <v>5.0134801869972696</v>
      </c>
      <c r="AW14" s="75">
        <v>7.1807834545578126</v>
      </c>
      <c r="AX14" s="53"/>
      <c r="AY14" s="74">
        <v>3.7208064674552026</v>
      </c>
      <c r="AZ14" s="75">
        <v>5.2023570750237162</v>
      </c>
      <c r="BA14" s="53"/>
      <c r="BB14" s="74">
        <v>4.7964338273146678</v>
      </c>
      <c r="BC14" s="75">
        <v>6.894430127248655</v>
      </c>
      <c r="BD14" s="53"/>
      <c r="BE14" s="74">
        <v>3.5583423517682715</v>
      </c>
      <c r="BF14" s="75">
        <v>4.9922549710527484</v>
      </c>
      <c r="BG14" s="53"/>
      <c r="BH14" s="74">
        <v>4.5889758012627988</v>
      </c>
      <c r="BI14" s="75">
        <v>6.619964788967553</v>
      </c>
      <c r="BJ14" s="53"/>
      <c r="BK14" s="74">
        <v>3.4031016962054768</v>
      </c>
      <c r="BL14" s="75">
        <v>4.790968582391149</v>
      </c>
      <c r="BM14" s="53"/>
      <c r="BN14" s="74">
        <v>4.3906764000271901</v>
      </c>
      <c r="BO14" s="75">
        <v>6.3568788030250944</v>
      </c>
      <c r="BP14" s="53"/>
      <c r="BQ14" s="74">
        <v>3.4031016962054768</v>
      </c>
      <c r="BR14" s="75">
        <v>4.5981174108726908</v>
      </c>
      <c r="BS14" s="53"/>
      <c r="BT14" s="74">
        <v>4.2011253739571073</v>
      </c>
      <c r="BU14" s="75">
        <v>6.1046857909554006</v>
      </c>
      <c r="BW14" s="46">
        <v>3.1060870217898589E-2</v>
      </c>
      <c r="BY14" s="74">
        <f t="shared" si="0"/>
        <v>4.2179257525760232E-2</v>
      </c>
      <c r="BZ14" s="74">
        <f t="shared" si="0"/>
        <v>5.8493409788972654E-2</v>
      </c>
      <c r="CA14" s="76"/>
      <c r="CB14" s="74">
        <f t="shared" si="1"/>
        <v>4.3325148367288527E-2</v>
      </c>
      <c r="CC14" s="74">
        <f t="shared" si="2"/>
        <v>6.162766227214847E-2</v>
      </c>
      <c r="CD14" s="77"/>
      <c r="CE14" s="74">
        <f t="shared" si="3"/>
        <v>0.14839060251029737</v>
      </c>
      <c r="CF14" s="74">
        <f t="shared" si="4"/>
        <v>0.20578532744836253</v>
      </c>
      <c r="CG14" s="76"/>
      <c r="CH14" s="74">
        <f t="shared" si="5"/>
        <v>0.19072750074704209</v>
      </c>
      <c r="CI14" s="74">
        <f t="shared" si="6"/>
        <v>0.27129947490091599</v>
      </c>
    </row>
    <row r="15" spans="1:87" x14ac:dyDescent="0.25">
      <c r="A15" s="46">
        <v>9</v>
      </c>
      <c r="B15" s="46" t="s">
        <v>9</v>
      </c>
      <c r="C15" s="74">
        <v>1.1718854048824858</v>
      </c>
      <c r="D15" s="75">
        <v>1.4600816005040924</v>
      </c>
      <c r="E15" s="76"/>
      <c r="F15" s="74">
        <v>1.186266365326587</v>
      </c>
      <c r="G15" s="75">
        <v>1.4949579429862669</v>
      </c>
      <c r="H15" s="77"/>
      <c r="I15" s="74">
        <v>6.9593233785438056</v>
      </c>
      <c r="J15" s="75">
        <v>8.670796627925176</v>
      </c>
      <c r="K15" s="76"/>
      <c r="L15" s="74">
        <v>9.2329307408468395</v>
      </c>
      <c r="M15" s="75">
        <v>11.635534439409858</v>
      </c>
      <c r="N15" s="53"/>
      <c r="O15" s="74">
        <v>6.5867826294439391</v>
      </c>
      <c r="P15" s="75">
        <v>8.2496593451962816</v>
      </c>
      <c r="Q15" s="53"/>
      <c r="R15" s="74">
        <v>8.7473501188672476</v>
      </c>
      <c r="S15" s="75">
        <v>11.090437376468531</v>
      </c>
      <c r="T15" s="53"/>
      <c r="U15" s="74">
        <v>6.2359791334116528</v>
      </c>
      <c r="V15" s="75">
        <v>7.8528768275197027</v>
      </c>
      <c r="W15" s="53"/>
      <c r="X15" s="74">
        <v>8.2902693407822987</v>
      </c>
      <c r="Y15" s="75">
        <v>10.577288677984953</v>
      </c>
      <c r="Z15" s="53"/>
      <c r="AA15" s="74">
        <v>6.0354372374574794</v>
      </c>
      <c r="AB15" s="75">
        <v>7.6000018990372524</v>
      </c>
      <c r="AC15" s="53"/>
      <c r="AD15" s="74">
        <v>8.024327910775515</v>
      </c>
      <c r="AE15" s="75">
        <v>10.237847770858117</v>
      </c>
      <c r="AF15" s="53"/>
      <c r="AG15" s="74">
        <v>5.8413937999423915</v>
      </c>
      <c r="AH15" s="75">
        <v>7.355385918899259</v>
      </c>
      <c r="AI15" s="53"/>
      <c r="AJ15" s="74">
        <v>7.7669764197323623</v>
      </c>
      <c r="AK15" s="75">
        <v>9.9094471544013061</v>
      </c>
      <c r="AL15" s="53"/>
      <c r="AM15" s="74">
        <v>5.6536361743983603</v>
      </c>
      <c r="AN15" s="75">
        <v>7.1187548176785667</v>
      </c>
      <c r="AO15" s="53"/>
      <c r="AP15" s="74">
        <v>7.5179350132108027</v>
      </c>
      <c r="AQ15" s="75">
        <v>9.5917224724758068</v>
      </c>
      <c r="AR15" s="53"/>
      <c r="AS15" s="74">
        <v>5.4719587641395488</v>
      </c>
      <c r="AT15" s="75">
        <v>6.889843796916912</v>
      </c>
      <c r="AU15" s="53"/>
      <c r="AV15" s="74">
        <v>7.2769330581320482</v>
      </c>
      <c r="AW15" s="75">
        <v>9.2843216019225832</v>
      </c>
      <c r="AX15" s="53"/>
      <c r="AY15" s="74">
        <v>5.296162784380078</v>
      </c>
      <c r="AZ15" s="75">
        <v>6.6683970079857309</v>
      </c>
      <c r="BA15" s="53"/>
      <c r="BB15" s="74">
        <v>7.0437088342652547</v>
      </c>
      <c r="BC15" s="75">
        <v>8.986904233099656</v>
      </c>
      <c r="BD15" s="53"/>
      <c r="BE15" s="74">
        <v>5.1260560325707765</v>
      </c>
      <c r="BF15" s="75">
        <v>6.4541672424007697</v>
      </c>
      <c r="BG15" s="53"/>
      <c r="BH15" s="74">
        <v>6.8180092362476357</v>
      </c>
      <c r="BI15" s="75">
        <v>8.6991414651821675</v>
      </c>
      <c r="BJ15" s="53"/>
      <c r="BK15" s="74">
        <v>4.961452666662006</v>
      </c>
      <c r="BL15" s="75">
        <v>6.2469156331674709</v>
      </c>
      <c r="BM15" s="53"/>
      <c r="BN15" s="74">
        <v>6.5995894857703634</v>
      </c>
      <c r="BO15" s="75">
        <v>8.4207154156887771</v>
      </c>
      <c r="BP15" s="53"/>
      <c r="BQ15" s="74">
        <v>4.961452666662006</v>
      </c>
      <c r="BR15" s="75">
        <v>6.0464113667503376</v>
      </c>
      <c r="BS15" s="53"/>
      <c r="BT15" s="74">
        <v>6.3882128535741227</v>
      </c>
      <c r="BU15" s="75">
        <v>8.1513188437185118</v>
      </c>
      <c r="BW15" s="46">
        <v>6.8290260590189111E-2</v>
      </c>
      <c r="BY15" s="74">
        <f t="shared" si="0"/>
        <v>8.0028359681264233E-2</v>
      </c>
      <c r="BZ15" s="74">
        <f t="shared" si="0"/>
        <v>9.9709352981364865E-2</v>
      </c>
      <c r="CA15" s="76"/>
      <c r="CB15" s="74">
        <f t="shared" si="1"/>
        <v>8.1010439217529109E-2</v>
      </c>
      <c r="CC15" s="74">
        <f t="shared" si="2"/>
        <v>0.10209106749790525</v>
      </c>
      <c r="CD15" s="77"/>
      <c r="CE15" s="74">
        <f t="shared" si="3"/>
        <v>0.47525400705215176</v>
      </c>
      <c r="CF15" s="74">
        <f t="shared" si="4"/>
        <v>0.59213096124554332</v>
      </c>
      <c r="CG15" s="76"/>
      <c r="CH15" s="74">
        <f t="shared" si="5"/>
        <v>0.63051924630359846</v>
      </c>
      <c r="CI15" s="74">
        <f t="shared" si="6"/>
        <v>0.79459367897341915</v>
      </c>
    </row>
    <row r="16" spans="1:87" x14ac:dyDescent="0.25">
      <c r="A16" s="46">
        <v>10</v>
      </c>
      <c r="B16" s="46" t="s">
        <v>10</v>
      </c>
      <c r="C16" s="74">
        <v>2.1573165866996087</v>
      </c>
      <c r="D16" s="75">
        <v>3.0976952484949694</v>
      </c>
      <c r="E16" s="76"/>
      <c r="F16" s="74">
        <v>1.7740039614758421</v>
      </c>
      <c r="G16" s="75">
        <v>2.3769917736009547</v>
      </c>
      <c r="H16" s="77"/>
      <c r="I16" s="74">
        <v>4.1567919182585999</v>
      </c>
      <c r="J16" s="75">
        <v>5.968745919610785</v>
      </c>
      <c r="K16" s="76"/>
      <c r="L16" s="74">
        <v>7.4835083141187004</v>
      </c>
      <c r="M16" s="75">
        <v>10.027169096925794</v>
      </c>
      <c r="N16" s="53"/>
      <c r="O16" s="74">
        <v>4.0081486492012797</v>
      </c>
      <c r="P16" s="75">
        <v>5.7686530099629447</v>
      </c>
      <c r="Q16" s="53"/>
      <c r="R16" s="74">
        <v>7.2184864862345872</v>
      </c>
      <c r="S16" s="75">
        <v>9.6991366123540406</v>
      </c>
      <c r="T16" s="53"/>
      <c r="U16" s="74">
        <v>3.8666812351336168</v>
      </c>
      <c r="V16" s="75">
        <v>5.5785071416589975</v>
      </c>
      <c r="W16" s="53"/>
      <c r="X16" s="74">
        <v>6.9655810330006878</v>
      </c>
      <c r="Y16" s="75">
        <v>9.3868714859552185</v>
      </c>
      <c r="Z16" s="53"/>
      <c r="AA16" s="74">
        <v>3.7412829124087432</v>
      </c>
      <c r="AB16" s="75">
        <v>5.397703309250125</v>
      </c>
      <c r="AC16" s="53"/>
      <c r="AD16" s="74">
        <v>6.7451285002949017</v>
      </c>
      <c r="AE16" s="75">
        <v>9.0886043150638134</v>
      </c>
      <c r="AF16" s="53"/>
      <c r="AG16" s="74">
        <v>3.6200771972513004</v>
      </c>
      <c r="AH16" s="75">
        <v>5.2229559328384116</v>
      </c>
      <c r="AI16" s="53"/>
      <c r="AJ16" s="74">
        <v>6.5318086137152376</v>
      </c>
      <c r="AK16" s="75">
        <v>8.8000640023791057</v>
      </c>
      <c r="AL16" s="53"/>
      <c r="AM16" s="74">
        <v>3.5029188796004678</v>
      </c>
      <c r="AN16" s="75">
        <v>5.0540547732563201</v>
      </c>
      <c r="AO16" s="53"/>
      <c r="AP16" s="74">
        <v>6.325384388154216</v>
      </c>
      <c r="AQ16" s="75">
        <v>8.5209240999945486</v>
      </c>
      <c r="AR16" s="53"/>
      <c r="AS16" s="74">
        <v>3.3896679878335458</v>
      </c>
      <c r="AT16" s="75">
        <v>4.8907971813672253</v>
      </c>
      <c r="AU16" s="53"/>
      <c r="AV16" s="74">
        <v>6.1256269726610801</v>
      </c>
      <c r="AW16" s="75">
        <v>8.250869482589021</v>
      </c>
      <c r="AX16" s="53"/>
      <c r="AY16" s="74">
        <v>3.2801895909787402</v>
      </c>
      <c r="AZ16" s="75">
        <v>4.7329878121331834</v>
      </c>
      <c r="BA16" s="53"/>
      <c r="BB16" s="74">
        <v>5.9323153600903415</v>
      </c>
      <c r="BC16" s="75">
        <v>7.9895959396143539</v>
      </c>
      <c r="BD16" s="53"/>
      <c r="BE16" s="74">
        <v>3.1743536087652302</v>
      </c>
      <c r="BF16" s="75">
        <v>4.5804383499447949</v>
      </c>
      <c r="BG16" s="53"/>
      <c r="BH16" s="74">
        <v>5.7452361075947245</v>
      </c>
      <c r="BI16" s="75">
        <v>7.7368097828026361</v>
      </c>
      <c r="BJ16" s="53"/>
      <c r="BK16" s="74">
        <v>3.0720346291847878</v>
      </c>
      <c r="BL16" s="75">
        <v>4.4329672447495003</v>
      </c>
      <c r="BM16" s="53"/>
      <c r="BN16" s="74">
        <v>5.5641830675369954</v>
      </c>
      <c r="BO16" s="75">
        <v>7.4922274683914258</v>
      </c>
      <c r="BP16" s="53"/>
      <c r="BQ16" s="74">
        <v>3.0720346291847878</v>
      </c>
      <c r="BR16" s="75">
        <v>4.2903994585346261</v>
      </c>
      <c r="BS16" s="53"/>
      <c r="BT16" s="74">
        <v>5.3889571284128301</v>
      </c>
      <c r="BU16" s="75">
        <v>7.2555752334897763</v>
      </c>
      <c r="BW16" s="46">
        <v>5.3476297078793998E-2</v>
      </c>
      <c r="BY16" s="74">
        <f t="shared" si="0"/>
        <v>0.11536530268335812</v>
      </c>
      <c r="BZ16" s="74">
        <f t="shared" si="0"/>
        <v>0.16565327136808558</v>
      </c>
      <c r="CA16" s="76"/>
      <c r="CB16" s="74">
        <f t="shared" si="1"/>
        <v>9.4867162862839555E-2</v>
      </c>
      <c r="CC16" s="74">
        <f t="shared" si="2"/>
        <v>0.12711271823893411</v>
      </c>
      <c r="CD16" s="77"/>
      <c r="CE16" s="74">
        <f t="shared" si="3"/>
        <v>0.22228983951552686</v>
      </c>
      <c r="CF16" s="74">
        <f t="shared" si="4"/>
        <v>0.31918642998494584</v>
      </c>
      <c r="CG16" s="76"/>
      <c r="CH16" s="74">
        <f t="shared" si="5"/>
        <v>0.40019031379743647</v>
      </c>
      <c r="CI16" s="74">
        <f t="shared" si="6"/>
        <v>0.53621587348650634</v>
      </c>
    </row>
    <row r="17" spans="1:87" x14ac:dyDescent="0.25">
      <c r="A17" s="46">
        <v>11</v>
      </c>
      <c r="B17" s="46" t="s">
        <v>11</v>
      </c>
      <c r="C17" s="74">
        <v>3.4192725209840713</v>
      </c>
      <c r="D17" s="75">
        <v>5.4542218543041745</v>
      </c>
      <c r="E17" s="76"/>
      <c r="F17" s="74">
        <v>1.9002329337442803</v>
      </c>
      <c r="G17" s="75">
        <v>2.5721301356558115</v>
      </c>
      <c r="H17" s="77"/>
      <c r="I17" s="74">
        <v>1.7610792716889181</v>
      </c>
      <c r="J17" s="75">
        <v>2.8091697844672971</v>
      </c>
      <c r="K17" s="76"/>
      <c r="L17" s="74">
        <v>4.1611639173353403</v>
      </c>
      <c r="M17" s="75">
        <v>5.6324963751113248</v>
      </c>
      <c r="N17" s="53"/>
      <c r="O17" s="74">
        <v>1.7418041083577684</v>
      </c>
      <c r="P17" s="75">
        <v>2.7601345498823848</v>
      </c>
      <c r="Q17" s="53"/>
      <c r="R17" s="74">
        <v>4.1622957241539957</v>
      </c>
      <c r="S17" s="75">
        <v>5.5971808596309751</v>
      </c>
      <c r="T17" s="53"/>
      <c r="U17" s="74">
        <v>1.7242030136297992</v>
      </c>
      <c r="V17" s="75">
        <v>2.7143763242207974</v>
      </c>
      <c r="W17" s="53"/>
      <c r="X17" s="74">
        <v>4.1662506894110507</v>
      </c>
      <c r="Y17" s="75">
        <v>5.5668003449369117</v>
      </c>
      <c r="Z17" s="53"/>
      <c r="AA17" s="74">
        <v>1.6662820167878609</v>
      </c>
      <c r="AB17" s="75">
        <v>2.6244070584867596</v>
      </c>
      <c r="AC17" s="53"/>
      <c r="AD17" s="74">
        <v>4.0314897830817769</v>
      </c>
      <c r="AE17" s="75">
        <v>5.3870290332790445</v>
      </c>
      <c r="AF17" s="53"/>
      <c r="AG17" s="74">
        <v>1.6103533630442748</v>
      </c>
      <c r="AH17" s="75">
        <v>2.5375082437141865</v>
      </c>
      <c r="AI17" s="53"/>
      <c r="AJ17" s="74">
        <v>3.9011573919559859</v>
      </c>
      <c r="AK17" s="75">
        <v>5.2131868097242764</v>
      </c>
      <c r="AL17" s="53"/>
      <c r="AM17" s="74">
        <v>1.5563467607853974</v>
      </c>
      <c r="AN17" s="75">
        <v>2.453571973432902</v>
      </c>
      <c r="AO17" s="53"/>
      <c r="AP17" s="74">
        <v>3.775105395666579</v>
      </c>
      <c r="AQ17" s="75">
        <v>5.0450738058418896</v>
      </c>
      <c r="AR17" s="53"/>
      <c r="AS17" s="74">
        <v>1.5041944694965315</v>
      </c>
      <c r="AT17" s="75">
        <v>2.3724942525060371</v>
      </c>
      <c r="AU17" s="53"/>
      <c r="AV17" s="74">
        <v>3.6531907318739503</v>
      </c>
      <c r="AW17" s="75">
        <v>4.8824970555149125</v>
      </c>
      <c r="AX17" s="53"/>
      <c r="AY17" s="74">
        <v>1.4538312041858086</v>
      </c>
      <c r="AZ17" s="75">
        <v>2.2941748505680999</v>
      </c>
      <c r="BA17" s="53"/>
      <c r="BB17" s="74">
        <v>3.5352752191885077</v>
      </c>
      <c r="BC17" s="75">
        <v>4.7252702499195465</v>
      </c>
      <c r="BD17" s="53"/>
      <c r="BE17" s="74">
        <v>1.4051940435163628</v>
      </c>
      <c r="BF17" s="75">
        <v>2.2185171611523411</v>
      </c>
      <c r="BG17" s="53"/>
      <c r="BH17" s="74">
        <v>3.421225386479688</v>
      </c>
      <c r="BI17" s="75">
        <v>4.5732135014797803</v>
      </c>
      <c r="BJ17" s="53"/>
      <c r="BK17" s="74">
        <v>1.3582223414974841</v>
      </c>
      <c r="BL17" s="75">
        <v>2.145428066278352</v>
      </c>
      <c r="BM17" s="53"/>
      <c r="BN17" s="74">
        <v>3.3109123083330232</v>
      </c>
      <c r="BO17" s="75">
        <v>4.4261531164567343</v>
      </c>
      <c r="BP17" s="53"/>
      <c r="BQ17" s="74">
        <v>1.3582223414974841</v>
      </c>
      <c r="BR17" s="75">
        <v>2.0748178062804015</v>
      </c>
      <c r="BS17" s="53"/>
      <c r="BT17" s="74">
        <v>3.2042114464260507</v>
      </c>
      <c r="BU17" s="75">
        <v>4.2839213758456367</v>
      </c>
      <c r="BW17" s="46">
        <v>0.15284817665661429</v>
      </c>
      <c r="BY17" s="74">
        <f t="shared" si="0"/>
        <v>0.52262957032448021</v>
      </c>
      <c r="BZ17" s="74">
        <f t="shared" si="0"/>
        <v>0.83366786551105088</v>
      </c>
      <c r="CA17" s="76"/>
      <c r="CB17" s="74">
        <f t="shared" si="1"/>
        <v>0.29044713914566217</v>
      </c>
      <c r="CC17" s="74">
        <f t="shared" si="2"/>
        <v>0.39314540135852077</v>
      </c>
      <c r="CD17" s="77"/>
      <c r="CE17" s="74">
        <f t="shared" si="3"/>
        <v>0.26917775562540941</v>
      </c>
      <c r="CF17" s="74">
        <f t="shared" si="4"/>
        <v>0.42937647947468055</v>
      </c>
      <c r="CG17" s="76"/>
      <c r="CH17" s="74">
        <f t="shared" si="5"/>
        <v>0.6360263175340013</v>
      </c>
      <c r="CI17" s="74">
        <f t="shared" si="6"/>
        <v>0.8609168009607554</v>
      </c>
    </row>
    <row r="18" spans="1:87" x14ac:dyDescent="0.25">
      <c r="A18" s="46">
        <v>12</v>
      </c>
      <c r="B18" s="46" t="s">
        <v>12</v>
      </c>
      <c r="C18" s="74">
        <v>1.6226865975353879</v>
      </c>
      <c r="D18" s="75">
        <v>2.5344959468420596</v>
      </c>
      <c r="E18" s="76"/>
      <c r="F18" s="74">
        <v>1.469659738168914</v>
      </c>
      <c r="G18" s="75">
        <v>2.1419706400685397</v>
      </c>
      <c r="H18" s="77"/>
      <c r="I18" s="74">
        <v>4.9817233569792423</v>
      </c>
      <c r="J18" s="75">
        <v>7.7810204852431184</v>
      </c>
      <c r="K18" s="76"/>
      <c r="L18" s="74">
        <v>8.5902868763773945</v>
      </c>
      <c r="M18" s="75">
        <v>12.520001603834956</v>
      </c>
      <c r="N18" s="53"/>
      <c r="O18" s="74">
        <v>4.7699376518194274</v>
      </c>
      <c r="P18" s="75">
        <v>7.4897499636653517</v>
      </c>
      <c r="Q18" s="53"/>
      <c r="R18" s="74">
        <v>8.2247508166348293</v>
      </c>
      <c r="S18" s="75">
        <v>12.057120053983866</v>
      </c>
      <c r="T18" s="53"/>
      <c r="U18" s="74">
        <v>4.5687233835952981</v>
      </c>
      <c r="V18" s="75">
        <v>7.2133320991853207</v>
      </c>
      <c r="W18" s="53"/>
      <c r="X18" s="74">
        <v>7.8774243027964772</v>
      </c>
      <c r="Y18" s="75">
        <v>11.618088473404718</v>
      </c>
      <c r="Z18" s="53"/>
      <c r="AA18" s="74">
        <v>4.4114684167508464</v>
      </c>
      <c r="AB18" s="75">
        <v>6.9704808732566566</v>
      </c>
      <c r="AC18" s="53"/>
      <c r="AD18" s="74">
        <v>7.6092815771512514</v>
      </c>
      <c r="AE18" s="75">
        <v>11.229729509903933</v>
      </c>
      <c r="AF18" s="53"/>
      <c r="AG18" s="74">
        <v>4.2597454021643264</v>
      </c>
      <c r="AH18" s="75">
        <v>6.7360410686855658</v>
      </c>
      <c r="AI18" s="53"/>
      <c r="AJ18" s="74">
        <v>7.3504120135355571</v>
      </c>
      <c r="AK18" s="75">
        <v>10.854651520122063</v>
      </c>
      <c r="AL18" s="53"/>
      <c r="AM18" s="74">
        <v>4.1133550122411018</v>
      </c>
      <c r="AN18" s="75">
        <v>6.5097128940733846</v>
      </c>
      <c r="AO18" s="53"/>
      <c r="AP18" s="74">
        <v>7.1004893334168244</v>
      </c>
      <c r="AQ18" s="75">
        <v>10.492390013984577</v>
      </c>
      <c r="AR18" s="53"/>
      <c r="AS18" s="74">
        <v>3.9721053022845578</v>
      </c>
      <c r="AT18" s="75">
        <v>6.291207573907367</v>
      </c>
      <c r="AU18" s="53"/>
      <c r="AV18" s="74">
        <v>6.8591989729100478</v>
      </c>
      <c r="AW18" s="75">
        <v>10.142497141884522</v>
      </c>
      <c r="AX18" s="53"/>
      <c r="AY18" s="74">
        <v>3.835811428211386</v>
      </c>
      <c r="AZ18" s="75">
        <v>6.0802469301002926</v>
      </c>
      <c r="BA18" s="53"/>
      <c r="BB18" s="74">
        <v>6.6262376518064325</v>
      </c>
      <c r="BC18" s="75">
        <v>9.8045410822450414</v>
      </c>
      <c r="BD18" s="53"/>
      <c r="BE18" s="74">
        <v>3.7042953754514563</v>
      </c>
      <c r="BF18" s="75">
        <v>5.8765629800056027</v>
      </c>
      <c r="BG18" s="53"/>
      <c r="BH18" s="74">
        <v>6.4013129589258932</v>
      </c>
      <c r="BI18" s="75">
        <v>9.4781054523197881</v>
      </c>
      <c r="BJ18" s="53"/>
      <c r="BK18" s="74">
        <v>3.5773856985719146</v>
      </c>
      <c r="BL18" s="75">
        <v>5.6798975502347924</v>
      </c>
      <c r="BM18" s="53"/>
      <c r="BN18" s="74">
        <v>6.184142953153895</v>
      </c>
      <c r="BO18" s="75">
        <v>9.1627887413192539</v>
      </c>
      <c r="BP18" s="53"/>
      <c r="BQ18" s="74">
        <v>3.5773856985719146</v>
      </c>
      <c r="BR18" s="75">
        <v>5.4900019056322886</v>
      </c>
      <c r="BS18" s="53"/>
      <c r="BT18" s="74">
        <v>5.9744557795491673</v>
      </c>
      <c r="BU18" s="75">
        <v>8.8582037649880316</v>
      </c>
      <c r="BW18" s="46">
        <v>5.3810866255107746E-2</v>
      </c>
      <c r="BY18" s="74">
        <f t="shared" si="0"/>
        <v>8.7318171473932615E-2</v>
      </c>
      <c r="BZ18" s="74">
        <f t="shared" si="0"/>
        <v>0.13638342241963075</v>
      </c>
      <c r="CA18" s="76"/>
      <c r="CB18" s="74">
        <f t="shared" si="1"/>
        <v>7.9083663611124108E-2</v>
      </c>
      <c r="CC18" s="74">
        <f t="shared" si="2"/>
        <v>0.11526129563509573</v>
      </c>
      <c r="CD18" s="77"/>
      <c r="CE18" s="74">
        <f t="shared" si="3"/>
        <v>0.26807084928235642</v>
      </c>
      <c r="CF18" s="74">
        <f t="shared" si="4"/>
        <v>0.41870345265967102</v>
      </c>
      <c r="CG18" s="76"/>
      <c r="CH18" s="74">
        <f t="shared" si="5"/>
        <v>0.46225077819775129</v>
      </c>
      <c r="CI18" s="74">
        <f t="shared" si="6"/>
        <v>0.67371213181769729</v>
      </c>
    </row>
    <row r="19" spans="1:87" x14ac:dyDescent="0.25">
      <c r="A19" s="46">
        <v>13</v>
      </c>
      <c r="B19" s="46" t="s">
        <v>13</v>
      </c>
      <c r="C19" s="74">
        <v>1.1568241508938391</v>
      </c>
      <c r="D19" s="75">
        <v>1.5645501943944595</v>
      </c>
      <c r="E19" s="76"/>
      <c r="F19" s="74">
        <v>1.1678747784405654</v>
      </c>
      <c r="G19" s="75">
        <v>1.5953432391898748</v>
      </c>
      <c r="H19" s="77"/>
      <c r="I19" s="74">
        <v>9.1163167663622389</v>
      </c>
      <c r="J19" s="75">
        <v>12.329389179810105</v>
      </c>
      <c r="K19" s="76"/>
      <c r="L19" s="74">
        <v>12.323235311197603</v>
      </c>
      <c r="M19" s="75">
        <v>16.83381686255462</v>
      </c>
      <c r="N19" s="53"/>
      <c r="O19" s="74">
        <v>9.1322410117999553</v>
      </c>
      <c r="P19" s="75">
        <v>12.254079640758903</v>
      </c>
      <c r="Q19" s="53"/>
      <c r="R19" s="74">
        <v>12.344185210032636</v>
      </c>
      <c r="S19" s="75">
        <v>16.743032245720261</v>
      </c>
      <c r="T19" s="53"/>
      <c r="U19" s="74">
        <v>9.1501449860199138</v>
      </c>
      <c r="V19" s="75">
        <v>12.185663874897617</v>
      </c>
      <c r="W19" s="53"/>
      <c r="X19" s="74">
        <v>12.367893901956464</v>
      </c>
      <c r="Y19" s="75">
        <v>16.661480578840745</v>
      </c>
      <c r="Z19" s="53"/>
      <c r="AA19" s="74">
        <v>8.808007299508489</v>
      </c>
      <c r="AB19" s="75">
        <v>11.745277604489567</v>
      </c>
      <c r="AC19" s="53"/>
      <c r="AD19" s="74">
        <v>11.906581885700497</v>
      </c>
      <c r="AE19" s="75">
        <v>16.062182682628634</v>
      </c>
      <c r="AF19" s="53"/>
      <c r="AG19" s="74">
        <v>8.4787117619947612</v>
      </c>
      <c r="AH19" s="75">
        <v>11.321038578003225</v>
      </c>
      <c r="AI19" s="53"/>
      <c r="AJ19" s="74">
        <v>11.462545216698555</v>
      </c>
      <c r="AK19" s="75">
        <v>15.484760356007593</v>
      </c>
      <c r="AL19" s="53"/>
      <c r="AM19" s="74">
        <v>8.1617747475776525</v>
      </c>
      <c r="AN19" s="75">
        <v>10.912347855777496</v>
      </c>
      <c r="AO19" s="53"/>
      <c r="AP19" s="74">
        <v>11.035134822320929</v>
      </c>
      <c r="AQ19" s="75">
        <v>14.928405885206098</v>
      </c>
      <c r="AR19" s="53"/>
      <c r="AS19" s="74">
        <v>7.8567309018784446</v>
      </c>
      <c r="AT19" s="75">
        <v>10.518628939667996</v>
      </c>
      <c r="AU19" s="53"/>
      <c r="AV19" s="74">
        <v>10.623726091633253</v>
      </c>
      <c r="AW19" s="75">
        <v>14.39234167207311</v>
      </c>
      <c r="AX19" s="53"/>
      <c r="AY19" s="74">
        <v>7.5631324493571084</v>
      </c>
      <c r="AZ19" s="75">
        <v>10.139326924058999</v>
      </c>
      <c r="BA19" s="53"/>
      <c r="BB19" s="74">
        <v>10.22771795061518</v>
      </c>
      <c r="BC19" s="75">
        <v>13.875819101007384</v>
      </c>
      <c r="BD19" s="53"/>
      <c r="BE19" s="74">
        <v>7.2805485269930017</v>
      </c>
      <c r="BF19" s="75">
        <v>9.7739076793128508</v>
      </c>
      <c r="BG19" s="53"/>
      <c r="BH19" s="74">
        <v>9.8465319724624525</v>
      </c>
      <c r="BI19" s="75">
        <v>13.378117448906211</v>
      </c>
      <c r="BJ19" s="53"/>
      <c r="BK19" s="74">
        <v>7.0085645433217314</v>
      </c>
      <c r="BL19" s="75">
        <v>9.4218570664041117</v>
      </c>
      <c r="BM19" s="53"/>
      <c r="BN19" s="74">
        <v>9.4796115216359045</v>
      </c>
      <c r="BO19" s="75">
        <v>12.898542836484392</v>
      </c>
      <c r="BP19" s="53"/>
      <c r="BQ19" s="74">
        <v>7.0085645433217314</v>
      </c>
      <c r="BR19" s="75">
        <v>9.0826801815346485</v>
      </c>
      <c r="BS19" s="53"/>
      <c r="BT19" s="74">
        <v>9.1264209303722339</v>
      </c>
      <c r="BU19" s="75">
        <v>12.436427219378096</v>
      </c>
      <c r="BW19" s="46">
        <v>3.6601246715701433E-2</v>
      </c>
      <c r="BY19" s="74">
        <f t="shared" si="0"/>
        <v>4.2341206153547223E-2</v>
      </c>
      <c r="BZ19" s="74">
        <f t="shared" si="0"/>
        <v>5.7264487664130247E-2</v>
      </c>
      <c r="CA19" s="76"/>
      <c r="CB19" s="74">
        <f t="shared" si="1"/>
        <v>4.2745672898748283E-2</v>
      </c>
      <c r="CC19" s="74">
        <f t="shared" si="2"/>
        <v>5.8391551493814892E-2</v>
      </c>
      <c r="CD19" s="77"/>
      <c r="CE19" s="74">
        <f t="shared" si="3"/>
        <v>0.33366855910410981</v>
      </c>
      <c r="CF19" s="74">
        <f t="shared" si="4"/>
        <v>0.45127101522412938</v>
      </c>
      <c r="CG19" s="76"/>
      <c r="CH19" s="74">
        <f t="shared" si="5"/>
        <v>0.45104577596078721</v>
      </c>
      <c r="CI19" s="74">
        <f t="shared" si="6"/>
        <v>0.61613868415329665</v>
      </c>
    </row>
    <row r="20" spans="1:87" x14ac:dyDescent="0.25">
      <c r="A20" s="46">
        <v>14</v>
      </c>
      <c r="B20" s="46" t="s">
        <v>14</v>
      </c>
      <c r="C20" s="74">
        <v>1.0362700780850149</v>
      </c>
      <c r="D20" s="75">
        <v>1.181518397032093</v>
      </c>
      <c r="E20" s="76"/>
      <c r="F20" s="74">
        <v>1.0392549117649812</v>
      </c>
      <c r="G20" s="75">
        <v>1.1999451191947008</v>
      </c>
      <c r="H20" s="77"/>
      <c r="I20" s="74">
        <v>13.716946905267296</v>
      </c>
      <c r="J20" s="75">
        <v>15.639576460255711</v>
      </c>
      <c r="K20" s="76"/>
      <c r="L20" s="74">
        <v>17.455822387336372</v>
      </c>
      <c r="M20" s="75">
        <v>20.154851940647497</v>
      </c>
      <c r="N20" s="53"/>
      <c r="O20" s="74">
        <v>12.444446800485037</v>
      </c>
      <c r="P20" s="75">
        <v>14.312484130991463</v>
      </c>
      <c r="Q20" s="53"/>
      <c r="R20" s="74">
        <v>15.842070538183933</v>
      </c>
      <c r="S20" s="75">
        <v>18.474240695099514</v>
      </c>
      <c r="T20" s="53"/>
      <c r="U20" s="74">
        <v>11.292258238861553</v>
      </c>
      <c r="V20" s="75">
        <v>13.108643797448826</v>
      </c>
      <c r="W20" s="53"/>
      <c r="X20" s="74">
        <v>14.380982987165353</v>
      </c>
      <c r="Y20" s="75">
        <v>16.950167736109126</v>
      </c>
      <c r="Z20" s="53"/>
      <c r="AA20" s="74">
        <v>11.034421746148256</v>
      </c>
      <c r="AB20" s="75">
        <v>12.79201758361228</v>
      </c>
      <c r="AC20" s="53"/>
      <c r="AD20" s="74">
        <v>14.052306690763677</v>
      </c>
      <c r="AE20" s="75">
        <v>16.538923823159372</v>
      </c>
      <c r="AF20" s="53"/>
      <c r="AG20" s="74">
        <v>10.782546786635177</v>
      </c>
      <c r="AH20" s="75">
        <v>12.483330596711189</v>
      </c>
      <c r="AI20" s="53"/>
      <c r="AJ20" s="74">
        <v>13.731237453065548</v>
      </c>
      <c r="AK20" s="75">
        <v>16.138039637476663</v>
      </c>
      <c r="AL20" s="53"/>
      <c r="AM20" s="74">
        <v>10.536492580900319</v>
      </c>
      <c r="AN20" s="75">
        <v>12.182373056188643</v>
      </c>
      <c r="AO20" s="53"/>
      <c r="AP20" s="74">
        <v>13.417595530506413</v>
      </c>
      <c r="AQ20" s="75">
        <v>15.747240508240322</v>
      </c>
      <c r="AR20" s="53"/>
      <c r="AS20" s="74">
        <v>10.296121792992167</v>
      </c>
      <c r="AT20" s="75">
        <v>11.888941120188109</v>
      </c>
      <c r="AU20" s="53"/>
      <c r="AV20" s="74">
        <v>13.111205572201399</v>
      </c>
      <c r="AW20" s="75">
        <v>15.366259540489764</v>
      </c>
      <c r="AX20" s="53"/>
      <c r="AY20" s="74">
        <v>10.061300441314463</v>
      </c>
      <c r="AZ20" s="75">
        <v>11.602836702909237</v>
      </c>
      <c r="BA20" s="53"/>
      <c r="BB20" s="74">
        <v>12.811896506747892</v>
      </c>
      <c r="BC20" s="75">
        <v>14.99483737729142</v>
      </c>
      <c r="BD20" s="53"/>
      <c r="BE20" s="74">
        <v>9.8318978120180436</v>
      </c>
      <c r="BF20" s="75">
        <v>11.323867298104693</v>
      </c>
      <c r="BG20" s="53"/>
      <c r="BH20" s="74">
        <v>12.519501432180638</v>
      </c>
      <c r="BI20" s="75">
        <v>14.63272196980696</v>
      </c>
      <c r="BJ20" s="53"/>
      <c r="BK20" s="74">
        <v>9.607786374821103</v>
      </c>
      <c r="BL20" s="75">
        <v>11.051845808493134</v>
      </c>
      <c r="BM20" s="53"/>
      <c r="BN20" s="74">
        <v>12.233857508982203</v>
      </c>
      <c r="BO20" s="75">
        <v>14.279668354978483</v>
      </c>
      <c r="BP20" s="53"/>
      <c r="BQ20" s="74">
        <v>9.607786374821103</v>
      </c>
      <c r="BR20" s="75">
        <v>10.78659038087233</v>
      </c>
      <c r="BS20" s="53"/>
      <c r="BT20" s="74">
        <v>11.954805856055099</v>
      </c>
      <c r="BU20" s="75">
        <v>13.935438440557375</v>
      </c>
      <c r="BW20" s="46">
        <v>7.6847864941265208E-3</v>
      </c>
      <c r="BY20" s="74">
        <f t="shared" si="0"/>
        <v>7.9635143003351574E-3</v>
      </c>
      <c r="BZ20" s="74">
        <f t="shared" si="0"/>
        <v>9.0797166200742453E-3</v>
      </c>
      <c r="CA20" s="76"/>
      <c r="CB20" s="74">
        <f t="shared" si="1"/>
        <v>7.9864521098861763E-3</v>
      </c>
      <c r="CC20" s="74">
        <f t="shared" si="2"/>
        <v>9.2213220456804756E-3</v>
      </c>
      <c r="CD20" s="77"/>
      <c r="CE20" s="74">
        <f t="shared" si="3"/>
        <v>0.10541180831824869</v>
      </c>
      <c r="CF20" s="74">
        <f t="shared" si="4"/>
        <v>0.12018680595563215</v>
      </c>
      <c r="CG20" s="76"/>
      <c r="CH20" s="74">
        <f t="shared" si="5"/>
        <v>0.13414426812607391</v>
      </c>
      <c r="CI20" s="74">
        <f t="shared" si="6"/>
        <v>0.15488573398460759</v>
      </c>
    </row>
    <row r="21" spans="1:87" x14ac:dyDescent="0.25">
      <c r="A21" s="46">
        <v>15</v>
      </c>
      <c r="B21" s="46" t="s">
        <v>15</v>
      </c>
      <c r="C21" s="74">
        <v>1.3020907385302392</v>
      </c>
      <c r="D21" s="75">
        <v>1.7051183536785084</v>
      </c>
      <c r="E21" s="76"/>
      <c r="F21" s="74">
        <v>1.3411448371282819</v>
      </c>
      <c r="G21" s="75">
        <v>1.8238875452401673</v>
      </c>
      <c r="H21" s="77"/>
      <c r="I21" s="74">
        <v>7.8804272756625391</v>
      </c>
      <c r="J21" s="75">
        <v>10.319604298643789</v>
      </c>
      <c r="K21" s="76"/>
      <c r="L21" s="74">
        <v>9.5129520093683357</v>
      </c>
      <c r="M21" s="75">
        <v>12.937122231709216</v>
      </c>
      <c r="N21" s="53"/>
      <c r="O21" s="74">
        <v>7.6848481322660103</v>
      </c>
      <c r="P21" s="75">
        <v>10.054765791557347</v>
      </c>
      <c r="Q21" s="53"/>
      <c r="R21" s="74">
        <v>9.2809304781578277</v>
      </c>
      <c r="S21" s="75">
        <v>12.620278378364286</v>
      </c>
      <c r="T21" s="53"/>
      <c r="U21" s="74">
        <v>7.4955768677527583</v>
      </c>
      <c r="V21" s="75">
        <v>9.7999656190261337</v>
      </c>
      <c r="W21" s="53"/>
      <c r="X21" s="74">
        <v>9.0565880194555213</v>
      </c>
      <c r="Y21" s="75">
        <v>12.316028399511078</v>
      </c>
      <c r="Z21" s="53"/>
      <c r="AA21" s="74">
        <v>7.2807729407330619</v>
      </c>
      <c r="AB21" s="75">
        <v>9.5105771020737322</v>
      </c>
      <c r="AC21" s="53"/>
      <c r="AD21" s="74">
        <v>8.7962827494878475</v>
      </c>
      <c r="AE21" s="75">
        <v>11.95097230398585</v>
      </c>
      <c r="AF21" s="53"/>
      <c r="AG21" s="74">
        <v>7.0722715873850293</v>
      </c>
      <c r="AH21" s="75">
        <v>9.2300001939344618</v>
      </c>
      <c r="AI21" s="53"/>
      <c r="AJ21" s="74">
        <v>8.5436351655191753</v>
      </c>
      <c r="AK21" s="75">
        <v>11.597066114733947</v>
      </c>
      <c r="AL21" s="53"/>
      <c r="AM21" s="74">
        <v>6.8698819102842696</v>
      </c>
      <c r="AN21" s="75">
        <v>8.9579564577084199</v>
      </c>
      <c r="AO21" s="53"/>
      <c r="AP21" s="74">
        <v>8.2984130189493026</v>
      </c>
      <c r="AQ21" s="75">
        <v>11.253957152060501</v>
      </c>
      <c r="AR21" s="53"/>
      <c r="AS21" s="74">
        <v>6.6734190424764961</v>
      </c>
      <c r="AT21" s="75">
        <v>8.6941766525820992</v>
      </c>
      <c r="AU21" s="53"/>
      <c r="AV21" s="74">
        <v>8.0603913887284797</v>
      </c>
      <c r="AW21" s="75">
        <v>10.921304355951019</v>
      </c>
      <c r="AX21" s="53"/>
      <c r="AY21" s="74">
        <v>6.4827039465777538</v>
      </c>
      <c r="AZ21" s="75">
        <v>8.4384004142714648</v>
      </c>
      <c r="BA21" s="53"/>
      <c r="BB21" s="74">
        <v>7.829352438495734</v>
      </c>
      <c r="BC21" s="75">
        <v>10.598777885088607</v>
      </c>
      <c r="BD21" s="53"/>
      <c r="BE21" s="74">
        <v>6.2975632209988444</v>
      </c>
      <c r="BF21" s="75">
        <v>8.1903759471995627</v>
      </c>
      <c r="BG21" s="53"/>
      <c r="BH21" s="74">
        <v>7.6050851822457854</v>
      </c>
      <c r="BI21" s="75">
        <v>10.286058730424319</v>
      </c>
      <c r="BJ21" s="53"/>
      <c r="BK21" s="74">
        <v>6.1178289130238053</v>
      </c>
      <c r="BL21" s="75">
        <v>7.9498597279528678</v>
      </c>
      <c r="BM21" s="53"/>
      <c r="BN21" s="74">
        <v>7.3873852582056507</v>
      </c>
      <c r="BO21" s="75">
        <v>9.982838342744353</v>
      </c>
      <c r="BP21" s="53"/>
      <c r="BQ21" s="74">
        <v>6.1178289130238053</v>
      </c>
      <c r="BR21" s="75">
        <v>7.7166162195793904</v>
      </c>
      <c r="BS21" s="53"/>
      <c r="BT21" s="74">
        <v>7.1760547106147587</v>
      </c>
      <c r="BU21" s="75">
        <v>9.6888182737001127</v>
      </c>
      <c r="BW21" s="46">
        <v>7.639652771870277E-2</v>
      </c>
      <c r="BY21" s="74">
        <f t="shared" si="0"/>
        <v>9.9475211198391575E-2</v>
      </c>
      <c r="BZ21" s="74">
        <f t="shared" si="0"/>
        <v>0.13026512157046899</v>
      </c>
      <c r="CA21" s="76"/>
      <c r="CB21" s="74">
        <f t="shared" si="1"/>
        <v>0.1024588087244659</v>
      </c>
      <c r="CC21" s="74">
        <f t="shared" si="2"/>
        <v>0.13933867540573719</v>
      </c>
      <c r="CD21" s="77"/>
      <c r="CE21" s="74">
        <f t="shared" si="3"/>
        <v>0.60203728080037455</v>
      </c>
      <c r="CF21" s="74">
        <f t="shared" si="4"/>
        <v>0.78838193584738447</v>
      </c>
      <c r="CG21" s="76"/>
      <c r="CH21" s="74">
        <f t="shared" si="5"/>
        <v>0.72675650187039731</v>
      </c>
      <c r="CI21" s="74">
        <f t="shared" si="6"/>
        <v>0.98835121717501895</v>
      </c>
    </row>
    <row r="22" spans="1:87" x14ac:dyDescent="0.25">
      <c r="A22" s="46">
        <v>16</v>
      </c>
      <c r="B22" s="46" t="s">
        <v>47</v>
      </c>
      <c r="C22" s="74">
        <v>1.0389845345718769</v>
      </c>
      <c r="D22" s="75">
        <v>1.3897718186274264</v>
      </c>
      <c r="E22" s="76"/>
      <c r="F22" s="74">
        <v>1.0309552571860099</v>
      </c>
      <c r="G22" s="75">
        <v>1.302443473991628</v>
      </c>
      <c r="H22" s="77"/>
      <c r="I22" s="74">
        <v>9.0311991009034109</v>
      </c>
      <c r="J22" s="75">
        <v>12.080358832310042</v>
      </c>
      <c r="K22" s="76"/>
      <c r="L22" s="74">
        <v>16.254777686287941</v>
      </c>
      <c r="M22" s="75">
        <v>20.535255018221125</v>
      </c>
      <c r="N22" s="53"/>
      <c r="O22" s="74">
        <v>8.7030835308492058</v>
      </c>
      <c r="P22" s="75">
        <v>11.665663706612106</v>
      </c>
      <c r="Q22" s="53"/>
      <c r="R22" s="74">
        <v>15.663970321141248</v>
      </c>
      <c r="S22" s="75">
        <v>19.838413196969004</v>
      </c>
      <c r="T22" s="53"/>
      <c r="U22" s="74">
        <v>8.3871086523649829</v>
      </c>
      <c r="V22" s="75">
        <v>11.267772630291939</v>
      </c>
      <c r="W22" s="53"/>
      <c r="X22" s="74">
        <v>15.094970697636171</v>
      </c>
      <c r="Y22" s="75">
        <v>19.169522999559252</v>
      </c>
      <c r="Z22" s="53"/>
      <c r="AA22" s="74">
        <v>8.2424793780290742</v>
      </c>
      <c r="AB22" s="75">
        <v>11.029906856077755</v>
      </c>
      <c r="AC22" s="53"/>
      <c r="AD22" s="74">
        <v>14.836755431176401</v>
      </c>
      <c r="AE22" s="75">
        <v>18.780361108023733</v>
      </c>
      <c r="AF22" s="53"/>
      <c r="AG22" s="74">
        <v>8.1004274899480198</v>
      </c>
      <c r="AH22" s="75">
        <v>10.797754955895229</v>
      </c>
      <c r="AI22" s="53"/>
      <c r="AJ22" s="74">
        <v>14.583066590687046</v>
      </c>
      <c r="AK22" s="75">
        <v>18.400091187613153</v>
      </c>
      <c r="AL22" s="53"/>
      <c r="AM22" s="74">
        <v>7.9609039998376723</v>
      </c>
      <c r="AN22" s="75">
        <v>10.571158510352465</v>
      </c>
      <c r="AO22" s="53"/>
      <c r="AP22" s="74">
        <v>14.333820842899627</v>
      </c>
      <c r="AQ22" s="75">
        <v>18.028479356886081</v>
      </c>
      <c r="AR22" s="53"/>
      <c r="AS22" s="74">
        <v>7.8238609623550888</v>
      </c>
      <c r="AT22" s="75">
        <v>10.349964100263696</v>
      </c>
      <c r="AU22" s="53"/>
      <c r="AV22" s="74">
        <v>14.088936534401507</v>
      </c>
      <c r="AW22" s="75">
        <v>17.66529877975097</v>
      </c>
      <c r="AX22" s="53"/>
      <c r="AY22" s="74">
        <v>7.6892514489187089</v>
      </c>
      <c r="AZ22" s="75">
        <v>10.134023132138889</v>
      </c>
      <c r="BA22" s="53"/>
      <c r="BB22" s="74">
        <v>13.848333652540029</v>
      </c>
      <c r="BC22" s="75">
        <v>17.310329428706677</v>
      </c>
      <c r="BD22" s="53"/>
      <c r="BE22" s="74">
        <v>7.5570295223179977</v>
      </c>
      <c r="BF22" s="75">
        <v>9.9231916702260321</v>
      </c>
      <c r="BG22" s="53"/>
      <c r="BH22" s="74">
        <v>13.611933787415422</v>
      </c>
      <c r="BI22" s="75">
        <v>16.963357856702906</v>
      </c>
      <c r="BJ22" s="53"/>
      <c r="BK22" s="74">
        <v>7.4271502120847339</v>
      </c>
      <c r="BL22" s="75">
        <v>9.7173302748463044</v>
      </c>
      <c r="BM22" s="53"/>
      <c r="BN22" s="74">
        <v>13.379660094926411</v>
      </c>
      <c r="BO22" s="75">
        <v>16.624176977287764</v>
      </c>
      <c r="BP22" s="53"/>
      <c r="BQ22" s="74">
        <v>7.4271502120847339</v>
      </c>
      <c r="BR22" s="75">
        <v>9.5163038467731393</v>
      </c>
      <c r="BS22" s="53"/>
      <c r="BT22" s="74">
        <v>13.151437260834106</v>
      </c>
      <c r="BU22" s="75">
        <v>16.292585852723175</v>
      </c>
      <c r="BW22" s="46">
        <v>8.7361042515984033E-3</v>
      </c>
      <c r="BY22" s="74">
        <f t="shared" si="0"/>
        <v>9.0766772098183623E-3</v>
      </c>
      <c r="BZ22" s="74">
        <f t="shared" si="0"/>
        <v>1.2141191493462704E-2</v>
      </c>
      <c r="CA22" s="76"/>
      <c r="CB22" s="74">
        <f t="shared" si="1"/>
        <v>9.0065326055104259E-3</v>
      </c>
      <c r="CC22" s="74">
        <f t="shared" si="2"/>
        <v>1.1378281970604856E-2</v>
      </c>
      <c r="CD22" s="77"/>
      <c r="CE22" s="74">
        <f t="shared" si="3"/>
        <v>7.8897496862433969E-2</v>
      </c>
      <c r="CF22" s="74">
        <f t="shared" si="4"/>
        <v>0.10553527415577808</v>
      </c>
      <c r="CG22" s="76"/>
      <c r="CH22" s="74">
        <f t="shared" si="5"/>
        <v>0.14200343245396693</v>
      </c>
      <c r="CI22" s="74">
        <f t="shared" si="6"/>
        <v>0.17939812867233901</v>
      </c>
    </row>
    <row r="23" spans="1:87" x14ac:dyDescent="0.25">
      <c r="A23" s="46">
        <v>17</v>
      </c>
      <c r="B23" s="46" t="s">
        <v>39</v>
      </c>
      <c r="C23" s="74">
        <v>1.7931918307624752</v>
      </c>
      <c r="D23" s="75">
        <v>2.4728015501299039</v>
      </c>
      <c r="E23" s="76"/>
      <c r="F23" s="74">
        <v>2.0484188222020627</v>
      </c>
      <c r="G23" s="75">
        <v>2.96799235175332</v>
      </c>
      <c r="H23" s="77"/>
      <c r="I23" s="74">
        <v>5.4678494717701467</v>
      </c>
      <c r="J23" s="75">
        <v>7.540133976586894</v>
      </c>
      <c r="K23" s="76"/>
      <c r="L23" s="74">
        <v>6.4802789647752679</v>
      </c>
      <c r="M23" s="75">
        <v>9.3893974202037818</v>
      </c>
      <c r="N23" s="53"/>
      <c r="O23" s="74">
        <v>5.2475318780010101</v>
      </c>
      <c r="P23" s="75">
        <v>7.2609747715546913</v>
      </c>
      <c r="Q23" s="53"/>
      <c r="R23" s="74">
        <v>6.2380069903378192</v>
      </c>
      <c r="S23" s="75">
        <v>9.075061802100608</v>
      </c>
      <c r="T23" s="53"/>
      <c r="U23" s="74">
        <v>5.0392480972470146</v>
      </c>
      <c r="V23" s="75">
        <v>6.9970187130513688</v>
      </c>
      <c r="W23" s="53"/>
      <c r="X23" s="74">
        <v>6.0090700833769164</v>
      </c>
      <c r="Y23" s="75">
        <v>8.778236786049268</v>
      </c>
      <c r="Z23" s="53"/>
      <c r="AA23" s="74">
        <v>4.8187035439079748</v>
      </c>
      <c r="AB23" s="75">
        <v>6.7131083242032901</v>
      </c>
      <c r="AC23" s="53"/>
      <c r="AD23" s="74">
        <v>5.7542113603500171</v>
      </c>
      <c r="AE23" s="75">
        <v>8.4343834920566358</v>
      </c>
      <c r="AF23" s="53"/>
      <c r="AG23" s="74">
        <v>4.6082059334263379</v>
      </c>
      <c r="AH23" s="75">
        <v>6.44137651302088</v>
      </c>
      <c r="AI23" s="53"/>
      <c r="AJ23" s="74">
        <v>5.5106655641599209</v>
      </c>
      <c r="AK23" s="75">
        <v>8.1048100575562554</v>
      </c>
      <c r="AL23" s="53"/>
      <c r="AM23" s="74">
        <v>4.4072836047454329</v>
      </c>
      <c r="AN23" s="75">
        <v>6.1812772463551724</v>
      </c>
      <c r="AO23" s="53"/>
      <c r="AP23" s="74">
        <v>5.2779124156542263</v>
      </c>
      <c r="AQ23" s="75">
        <v>7.788893887127144</v>
      </c>
      <c r="AR23" s="53"/>
      <c r="AS23" s="74">
        <v>4.2154875390279436</v>
      </c>
      <c r="AT23" s="75">
        <v>5.9322898227318737</v>
      </c>
      <c r="AU23" s="53"/>
      <c r="AV23" s="74">
        <v>5.0554562197993578</v>
      </c>
      <c r="AW23" s="75">
        <v>7.4860406159898396</v>
      </c>
      <c r="AX23" s="53"/>
      <c r="AY23" s="74">
        <v>4.0323902547364963</v>
      </c>
      <c r="AZ23" s="75">
        <v>5.6939176666227782</v>
      </c>
      <c r="BA23" s="53"/>
      <c r="BB23" s="74">
        <v>4.84282468017871</v>
      </c>
      <c r="BC23" s="75">
        <v>7.1956827901674467</v>
      </c>
      <c r="BD23" s="53"/>
      <c r="BE23" s="74">
        <v>3.8575847572814799</v>
      </c>
      <c r="BF23" s="75">
        <v>5.465687181201309</v>
      </c>
      <c r="BG23" s="53"/>
      <c r="BH23" s="74">
        <v>4.6395677715248045</v>
      </c>
      <c r="BI23" s="75">
        <v>6.9172786097990722</v>
      </c>
      <c r="BJ23" s="53"/>
      <c r="BK23" s="74">
        <v>3.6906835405178331</v>
      </c>
      <c r="BL23" s="75">
        <v>5.2471466567061338</v>
      </c>
      <c r="BM23" s="53"/>
      <c r="BN23" s="74">
        <v>4.4452566674131253</v>
      </c>
      <c r="BO23" s="75">
        <v>6.6503107325316035</v>
      </c>
      <c r="BP23" s="53"/>
      <c r="BQ23" s="74">
        <v>3.6906835405178331</v>
      </c>
      <c r="BR23" s="75">
        <v>5.037865231679894</v>
      </c>
      <c r="BS23" s="53"/>
      <c r="BT23" s="74">
        <v>4.2594827203885313</v>
      </c>
      <c r="BU23" s="75">
        <v>6.3942851340671938</v>
      </c>
      <c r="BW23" s="46">
        <v>7.6762196950957859E-2</v>
      </c>
      <c r="BY23" s="74">
        <f t="shared" si="0"/>
        <v>0.13764934448383781</v>
      </c>
      <c r="BZ23" s="74">
        <f t="shared" si="0"/>
        <v>0.18981767961170556</v>
      </c>
      <c r="CA23" s="76"/>
      <c r="CB23" s="74">
        <f t="shared" si="1"/>
        <v>0.15724112906792387</v>
      </c>
      <c r="CC23" s="74">
        <f t="shared" si="2"/>
        <v>0.22782961345422495</v>
      </c>
      <c r="CD23" s="77"/>
      <c r="CE23" s="74">
        <f t="shared" si="3"/>
        <v>0.41972413805021092</v>
      </c>
      <c r="CF23" s="74">
        <f t="shared" si="4"/>
        <v>0.5787972493473722</v>
      </c>
      <c r="CG23" s="76"/>
      <c r="CH23" s="74">
        <f t="shared" si="5"/>
        <v>0.4974404501912284</v>
      </c>
      <c r="CI23" s="74">
        <f t="shared" si="6"/>
        <v>0.72075077402049836</v>
      </c>
    </row>
    <row r="24" spans="1:87" x14ac:dyDescent="0.25">
      <c r="A24" s="46">
        <v>18</v>
      </c>
      <c r="B24" s="46" t="s">
        <v>48</v>
      </c>
      <c r="C24" s="74">
        <v>1.2452391290049334</v>
      </c>
      <c r="D24" s="75">
        <v>1.5400051413837352</v>
      </c>
      <c r="E24" s="76"/>
      <c r="F24" s="74">
        <v>1.3199866632697386</v>
      </c>
      <c r="G24" s="75">
        <v>1.7089534503145769</v>
      </c>
      <c r="H24" s="77"/>
      <c r="I24" s="74">
        <v>10.545420845877617</v>
      </c>
      <c r="J24" s="75">
        <v>13.041673637162432</v>
      </c>
      <c r="K24" s="76"/>
      <c r="L24" s="74">
        <v>11.892074276320075</v>
      </c>
      <c r="M24" s="75">
        <v>15.396368714493159</v>
      </c>
      <c r="N24" s="53"/>
      <c r="O24" s="74">
        <v>10.097029094753935</v>
      </c>
      <c r="P24" s="75">
        <v>12.522401880895773</v>
      </c>
      <c r="Q24" s="53"/>
      <c r="R24" s="74">
        <v>11.401459973875019</v>
      </c>
      <c r="S24" s="75">
        <v>14.81894728144775</v>
      </c>
      <c r="T24" s="53"/>
      <c r="U24" s="74">
        <v>9.6716365131971127</v>
      </c>
      <c r="V24" s="75">
        <v>12.029947041040959</v>
      </c>
      <c r="W24" s="53"/>
      <c r="X24" s="74">
        <v>10.936126661395262</v>
      </c>
      <c r="Y24" s="75">
        <v>14.271836644754956</v>
      </c>
      <c r="Z24" s="53"/>
      <c r="AA24" s="74">
        <v>9.3598267631309309</v>
      </c>
      <c r="AB24" s="75">
        <v>11.641807451421442</v>
      </c>
      <c r="AC24" s="53"/>
      <c r="AD24" s="74">
        <v>10.585083050750631</v>
      </c>
      <c r="AE24" s="75">
        <v>13.813591081064766</v>
      </c>
      <c r="AF24" s="53"/>
      <c r="AG24" s="74">
        <v>9.0582467490208529</v>
      </c>
      <c r="AH24" s="75">
        <v>11.266465343319872</v>
      </c>
      <c r="AI24" s="53"/>
      <c r="AJ24" s="74">
        <v>10.245540940522041</v>
      </c>
      <c r="AK24" s="75">
        <v>13.370420954624821</v>
      </c>
      <c r="AL24" s="53"/>
      <c r="AM24" s="74">
        <v>8.7665555039599106</v>
      </c>
      <c r="AN24" s="75">
        <v>10.903490161965001</v>
      </c>
      <c r="AO24" s="53"/>
      <c r="AP24" s="74">
        <v>9.9171168215752346</v>
      </c>
      <c r="AQ24" s="75">
        <v>12.941819507166665</v>
      </c>
      <c r="AR24" s="53"/>
      <c r="AS24" s="74">
        <v>8.4844236219086877</v>
      </c>
      <c r="AT24" s="75">
        <v>10.552466153143582</v>
      </c>
      <c r="AU24" s="53"/>
      <c r="AV24" s="74">
        <v>9.5994402050321384</v>
      </c>
      <c r="AW24" s="75">
        <v>12.527297393242083</v>
      </c>
      <c r="AX24" s="53"/>
      <c r="AY24" s="74">
        <v>8.2115328575714805</v>
      </c>
      <c r="AZ24" s="75">
        <v>10.212991841642852</v>
      </c>
      <c r="BA24" s="53"/>
      <c r="BB24" s="74">
        <v>9.2921531709204164</v>
      </c>
      <c r="BC24" s="75">
        <v>12.126382067051587</v>
      </c>
      <c r="BD24" s="53"/>
      <c r="BE24" s="74">
        <v>7.9475757404791478</v>
      </c>
      <c r="BF24" s="75">
        <v>9.8846795286178946</v>
      </c>
      <c r="BG24" s="53"/>
      <c r="BH24" s="74">
        <v>8.9949099328700406</v>
      </c>
      <c r="BI24" s="75">
        <v>11.738617191485385</v>
      </c>
      <c r="BJ24" s="53"/>
      <c r="BK24" s="74">
        <v>7.6922552027581927</v>
      </c>
      <c r="BL24" s="75">
        <v>9.5671548071735089</v>
      </c>
      <c r="BM24" s="53"/>
      <c r="BN24" s="74">
        <v>8.707376418268602</v>
      </c>
      <c r="BO24" s="75">
        <v>11.36356206854575</v>
      </c>
      <c r="BP24" s="53"/>
      <c r="BQ24" s="74">
        <v>7.6922552027581927</v>
      </c>
      <c r="BR24" s="75">
        <v>9.2600560954778359</v>
      </c>
      <c r="BS24" s="53"/>
      <c r="BT24" s="74">
        <v>8.4292298633094926</v>
      </c>
      <c r="BU24" s="75">
        <v>11.000791090351608</v>
      </c>
      <c r="BW24" s="46">
        <v>4.7483325299249153E-2</v>
      </c>
      <c r="BY24" s="74">
        <f t="shared" si="0"/>
        <v>5.912809463789493E-2</v>
      </c>
      <c r="BZ24" s="74">
        <f t="shared" si="0"/>
        <v>7.3124565090840088E-2</v>
      </c>
      <c r="CA24" s="76"/>
      <c r="CB24" s="74">
        <f t="shared" si="1"/>
        <v>6.2677356122707445E-2</v>
      </c>
      <c r="CC24" s="74">
        <f t="shared" si="2"/>
        <v>8.1146792602561274E-2</v>
      </c>
      <c r="CD24" s="77"/>
      <c r="CE24" s="74">
        <f t="shared" si="3"/>
        <v>0.50073164844229001</v>
      </c>
      <c r="CF24" s="74">
        <f t="shared" si="4"/>
        <v>0.6192620317600257</v>
      </c>
      <c r="CG24" s="76"/>
      <c r="CH24" s="74">
        <f t="shared" si="5"/>
        <v>0.56467523134533915</v>
      </c>
      <c r="CI24" s="74">
        <f t="shared" si="6"/>
        <v>0.73107078409746118</v>
      </c>
    </row>
    <row r="25" spans="1:87" x14ac:dyDescent="0.25">
      <c r="A25" s="46">
        <v>19</v>
      </c>
      <c r="B25" s="46" t="s">
        <v>17</v>
      </c>
      <c r="C25" s="74">
        <v>1.0981161675839235</v>
      </c>
      <c r="D25" s="75">
        <v>1.347257778038297</v>
      </c>
      <c r="E25" s="76"/>
      <c r="F25" s="74">
        <v>1.0623735528954705</v>
      </c>
      <c r="G25" s="75">
        <v>1.2168454484716054</v>
      </c>
      <c r="H25" s="77"/>
      <c r="I25" s="74">
        <v>9.2773346370639267</v>
      </c>
      <c r="J25" s="75">
        <v>11.382184889189553</v>
      </c>
      <c r="K25" s="76"/>
      <c r="L25" s="74">
        <v>20.321745320476385</v>
      </c>
      <c r="M25" s="75">
        <v>23.276580286495445</v>
      </c>
      <c r="N25" s="53"/>
      <c r="O25" s="74">
        <v>9.3258917697625225</v>
      </c>
      <c r="P25" s="75">
        <v>11.370975720487609</v>
      </c>
      <c r="Q25" s="53"/>
      <c r="R25" s="74">
        <v>20.452400705293169</v>
      </c>
      <c r="S25" s="75">
        <v>23.334039554569415</v>
      </c>
      <c r="T25" s="53"/>
      <c r="U25" s="74">
        <v>9.3761985958826752</v>
      </c>
      <c r="V25" s="75">
        <v>11.364735384485618</v>
      </c>
      <c r="W25" s="53"/>
      <c r="X25" s="74">
        <v>20.585913773960268</v>
      </c>
      <c r="Y25" s="75">
        <v>23.398597659184418</v>
      </c>
      <c r="Z25" s="53"/>
      <c r="AA25" s="74">
        <v>9.0379982505910039</v>
      </c>
      <c r="AB25" s="75">
        <v>10.962173415808097</v>
      </c>
      <c r="AC25" s="53"/>
      <c r="AD25" s="74">
        <v>19.843672124437283</v>
      </c>
      <c r="AE25" s="75">
        <v>22.565962897760233</v>
      </c>
      <c r="AF25" s="53"/>
      <c r="AG25" s="74">
        <v>8.7120390440315205</v>
      </c>
      <c r="AH25" s="75">
        <v>10.574017719102518</v>
      </c>
      <c r="AI25" s="53"/>
      <c r="AJ25" s="74">
        <v>19.128249059123277</v>
      </c>
      <c r="AK25" s="75">
        <v>21.763160278255533</v>
      </c>
      <c r="AL25" s="53"/>
      <c r="AM25" s="74">
        <v>8.3978764318719623</v>
      </c>
      <c r="AN25" s="75">
        <v>10.199748209194217</v>
      </c>
      <c r="AO25" s="53"/>
      <c r="AP25" s="74">
        <v>18.438673722160406</v>
      </c>
      <c r="AQ25" s="75">
        <v>20.989115020653788</v>
      </c>
      <c r="AR25" s="53"/>
      <c r="AS25" s="74">
        <v>8.095082072965857</v>
      </c>
      <c r="AT25" s="75">
        <v>9.8388637358141331</v>
      </c>
      <c r="AU25" s="53"/>
      <c r="AV25" s="74">
        <v>17.774010473816965</v>
      </c>
      <c r="AW25" s="75">
        <v>20.242791264892059</v>
      </c>
      <c r="AX25" s="53"/>
      <c r="AY25" s="74">
        <v>7.8032432361479902</v>
      </c>
      <c r="AZ25" s="75">
        <v>9.4908813880009593</v>
      </c>
      <c r="BA25" s="53"/>
      <c r="BB25" s="74">
        <v>17.133357610095054</v>
      </c>
      <c r="BC25" s="75">
        <v>19.523190654020436</v>
      </c>
      <c r="BD25" s="53"/>
      <c r="BE25" s="74">
        <v>7.5219622288691985</v>
      </c>
      <c r="BF25" s="75">
        <v>9.1553358243209484</v>
      </c>
      <c r="BG25" s="53"/>
      <c r="BH25" s="74">
        <v>16.515846129027157</v>
      </c>
      <c r="BI25" s="75">
        <v>18.829350969249283</v>
      </c>
      <c r="BJ25" s="53"/>
      <c r="BK25" s="74">
        <v>7.2508558468605235</v>
      </c>
      <c r="BL25" s="75">
        <v>8.8317786279353605</v>
      </c>
      <c r="BM25" s="53"/>
      <c r="BN25" s="74">
        <v>15.920638541952806</v>
      </c>
      <c r="BO25" s="75">
        <v>18.160344814970419</v>
      </c>
      <c r="BP25" s="53"/>
      <c r="BQ25" s="74">
        <v>7.2508558468605235</v>
      </c>
      <c r="BR25" s="75">
        <v>8.5197776855825289</v>
      </c>
      <c r="BS25" s="53"/>
      <c r="BT25" s="74">
        <v>15.346927728129101</v>
      </c>
      <c r="BU25" s="75">
        <v>17.515278351909537</v>
      </c>
      <c r="BW25" s="46">
        <v>2.0187747714354148E-2</v>
      </c>
      <c r="BY25" s="74">
        <f t="shared" si="0"/>
        <v>2.2168492152237689E-2</v>
      </c>
      <c r="BZ25" s="74">
        <f t="shared" si="0"/>
        <v>2.719810012923848E-2</v>
      </c>
      <c r="CA25" s="76"/>
      <c r="CB25" s="74">
        <f t="shared" si="1"/>
        <v>2.1446929264255829E-2</v>
      </c>
      <c r="CC25" s="74">
        <f t="shared" si="2"/>
        <v>2.4565368921104898E-2</v>
      </c>
      <c r="CD25" s="77"/>
      <c r="CE25" s="74">
        <f t="shared" si="3"/>
        <v>0.18728849111468585</v>
      </c>
      <c r="CF25" s="74">
        <f t="shared" si="4"/>
        <v>0.22978067698109272</v>
      </c>
      <c r="CG25" s="76"/>
      <c r="CH25" s="74">
        <f t="shared" si="5"/>
        <v>0.41025026764513423</v>
      </c>
      <c r="CI25" s="74">
        <f t="shared" si="6"/>
        <v>0.46990173047667921</v>
      </c>
    </row>
    <row r="26" spans="1:87" x14ac:dyDescent="0.25">
      <c r="A26" s="46">
        <v>20</v>
      </c>
      <c r="B26" s="46" t="s">
        <v>18</v>
      </c>
      <c r="C26" s="78">
        <v>1.0121058022872369</v>
      </c>
      <c r="D26" s="79">
        <v>1.3716788896516501</v>
      </c>
      <c r="E26" s="76"/>
      <c r="F26" s="78">
        <v>1.0162617566451471</v>
      </c>
      <c r="G26" s="80">
        <v>1.5210383460062322</v>
      </c>
      <c r="H26" s="77"/>
      <c r="I26" s="78">
        <v>8.5813298450335065</v>
      </c>
      <c r="J26" s="79">
        <v>11.630038052315751</v>
      </c>
      <c r="K26" s="76"/>
      <c r="L26" s="78">
        <v>8.6165668875299879</v>
      </c>
      <c r="M26" s="79">
        <v>12.896410359990563</v>
      </c>
      <c r="N26" s="53"/>
      <c r="O26" s="78">
        <v>8.4595675684151406</v>
      </c>
      <c r="P26" s="79">
        <v>11.421709040883485</v>
      </c>
      <c r="Q26" s="53"/>
      <c r="R26" s="78">
        <v>8.4940217098331487</v>
      </c>
      <c r="S26" s="79">
        <v>12.667846427928822</v>
      </c>
      <c r="T26" s="53"/>
      <c r="U26" s="78">
        <v>8.3396100726041329</v>
      </c>
      <c r="V26" s="79">
        <v>11.219847477509381</v>
      </c>
      <c r="W26" s="53"/>
      <c r="X26" s="78">
        <v>8.3733224174266123</v>
      </c>
      <c r="Y26" s="79">
        <v>12.4472713535629</v>
      </c>
      <c r="Z26" s="53"/>
      <c r="AA26" s="78">
        <v>8.0422553088257924</v>
      </c>
      <c r="AB26" s="79">
        <v>10.829270020452837</v>
      </c>
      <c r="AC26" s="53"/>
      <c r="AD26" s="78">
        <v>8.0748946678773592</v>
      </c>
      <c r="AE26" s="79">
        <v>12.017916369709599</v>
      </c>
      <c r="AF26" s="53"/>
      <c r="AG26" s="78">
        <v>7.7555085513232136</v>
      </c>
      <c r="AH26" s="79">
        <v>10.452436592993072</v>
      </c>
      <c r="AI26" s="53"/>
      <c r="AJ26" s="78">
        <v>7.7871104580393142</v>
      </c>
      <c r="AK26" s="79">
        <v>11.603569824265584</v>
      </c>
      <c r="AL26" s="53"/>
      <c r="AM26" s="78">
        <v>7.4789911874480142</v>
      </c>
      <c r="AN26" s="79">
        <v>10.088859167578665</v>
      </c>
      <c r="AO26" s="53"/>
      <c r="AP26" s="78">
        <v>7.5095899572642768</v>
      </c>
      <c r="AQ26" s="79">
        <v>11.203701360703102</v>
      </c>
      <c r="AR26" s="53"/>
      <c r="AS26" s="78">
        <v>7.212338124110639</v>
      </c>
      <c r="AT26" s="79">
        <v>9.7380671928959668</v>
      </c>
      <c r="AU26" s="53"/>
      <c r="AV26" s="78">
        <v>7.2419668974981066</v>
      </c>
      <c r="AW26" s="79">
        <v>10.817799549787981</v>
      </c>
      <c r="AX26" s="53"/>
      <c r="AY26" s="78">
        <v>6.955197304758614</v>
      </c>
      <c r="AZ26" s="79">
        <v>9.3996069625387264</v>
      </c>
      <c r="BA26" s="53"/>
      <c r="BB26" s="78">
        <v>6.9838880886961672</v>
      </c>
      <c r="BC26" s="79">
        <v>10.445371207360695</v>
      </c>
      <c r="BD26" s="53"/>
      <c r="BE26" s="78">
        <v>6.7072292436237824</v>
      </c>
      <c r="BF26" s="79">
        <v>9.0730410067090776</v>
      </c>
      <c r="BG26" s="53"/>
      <c r="BH26" s="78">
        <v>6.7350129515659631</v>
      </c>
      <c r="BI26" s="79">
        <v>10.085940736974726</v>
      </c>
      <c r="BJ26" s="53"/>
      <c r="BK26" s="78">
        <v>6.4681065766205643</v>
      </c>
      <c r="BL26" s="79">
        <v>8.7579475060999776</v>
      </c>
      <c r="BM26" s="53"/>
      <c r="BN26" s="78">
        <v>6.4950130670168198</v>
      </c>
      <c r="BO26" s="79">
        <v>9.7390494964752641</v>
      </c>
      <c r="BP26" s="53"/>
      <c r="BQ26" s="78">
        <v>6.4681065766205643</v>
      </c>
      <c r="BR26" s="79">
        <v>8.4539197271410185</v>
      </c>
      <c r="BS26" s="53"/>
      <c r="BT26" s="78">
        <v>6.2635717417186392</v>
      </c>
      <c r="BU26" s="79">
        <v>9.4042551876355489</v>
      </c>
      <c r="BW26" s="46">
        <v>0.12825149488709614</v>
      </c>
      <c r="BY26" s="74">
        <f t="shared" si="0"/>
        <v>0.1298040821272419</v>
      </c>
      <c r="BZ26" s="74">
        <f t="shared" si="0"/>
        <v>0.17591986810289631</v>
      </c>
      <c r="CA26" s="76"/>
      <c r="CB26" s="74">
        <f t="shared" si="1"/>
        <v>0.13033708948632641</v>
      </c>
      <c r="CC26" s="74">
        <f t="shared" si="2"/>
        <v>0.19507544165589547</v>
      </c>
      <c r="CD26" s="77"/>
      <c r="CE26" s="74">
        <f t="shared" si="3"/>
        <v>1.1005683807448003</v>
      </c>
      <c r="CF26" s="74">
        <f t="shared" si="4"/>
        <v>1.4915697658033071</v>
      </c>
      <c r="CG26" s="76"/>
      <c r="CH26" s="74">
        <f t="shared" si="5"/>
        <v>1.1050875841203742</v>
      </c>
      <c r="CI26" s="74">
        <f t="shared" si="6"/>
        <v>1.6539839073462235</v>
      </c>
    </row>
    <row r="27" spans="1:87" x14ac:dyDescent="0.25">
      <c r="A27" s="81"/>
      <c r="B27" s="82" t="s">
        <v>78</v>
      </c>
      <c r="C27" s="83">
        <v>1.7969655412641086</v>
      </c>
      <c r="D27" s="83">
        <v>2.5966253646152828</v>
      </c>
      <c r="E27" s="84"/>
      <c r="F27" s="83">
        <v>1.5802874783726173</v>
      </c>
      <c r="G27" s="149">
        <v>2.203487836826262</v>
      </c>
      <c r="H27" s="54"/>
      <c r="I27" s="83">
        <v>5.7661992238879298</v>
      </c>
      <c r="J27" s="83">
        <v>7.8368662504950901</v>
      </c>
      <c r="K27" s="84"/>
      <c r="L27" s="83">
        <v>7.8352603532882856</v>
      </c>
      <c r="M27" s="149">
        <v>10.742108157317423</v>
      </c>
      <c r="O27" s="85"/>
      <c r="P27" s="86"/>
      <c r="Q27" s="87"/>
      <c r="R27" s="85"/>
      <c r="S27" s="86"/>
      <c r="T27" s="88"/>
      <c r="U27" s="85"/>
      <c r="V27" s="86"/>
      <c r="W27" s="87"/>
      <c r="X27" s="85"/>
      <c r="Y27" s="86"/>
      <c r="Z27" s="88"/>
      <c r="AA27" s="85"/>
      <c r="AB27" s="86"/>
      <c r="AC27" s="87"/>
      <c r="AD27" s="85"/>
      <c r="AE27" s="86"/>
      <c r="AF27" s="88"/>
      <c r="AG27" s="85"/>
      <c r="AH27" s="86"/>
      <c r="AI27" s="87"/>
      <c r="AJ27" s="85"/>
      <c r="AK27" s="86"/>
      <c r="AL27" s="88"/>
      <c r="AM27" s="85"/>
      <c r="AN27" s="86"/>
      <c r="AO27" s="87"/>
      <c r="AP27" s="85"/>
      <c r="AQ27" s="86"/>
      <c r="AR27" s="88"/>
      <c r="AS27" s="85"/>
      <c r="AT27" s="86"/>
      <c r="AU27" s="87"/>
      <c r="AV27" s="85"/>
      <c r="AW27" s="86"/>
      <c r="AX27" s="88"/>
      <c r="AY27" s="85"/>
      <c r="AZ27" s="86"/>
      <c r="BA27" s="87"/>
      <c r="BB27" s="85"/>
      <c r="BC27" s="86"/>
      <c r="BD27" s="88"/>
      <c r="BE27" s="85"/>
      <c r="BF27" s="86"/>
      <c r="BG27" s="87"/>
      <c r="BH27" s="85"/>
      <c r="BI27" s="86"/>
      <c r="BJ27" s="88"/>
      <c r="BK27" s="85"/>
      <c r="BL27" s="86"/>
      <c r="BM27" s="87"/>
      <c r="BN27" s="85"/>
      <c r="BO27" s="86"/>
      <c r="BP27" s="88"/>
      <c r="BQ27" s="85"/>
      <c r="BR27" s="86"/>
      <c r="BS27" s="89"/>
      <c r="BT27" s="85"/>
      <c r="BU27" s="86"/>
      <c r="BY27" s="83">
        <f>SUM(BY7:BY26)</f>
        <v>1.7969655412641086</v>
      </c>
      <c r="BZ27" s="83">
        <f>SUM(BZ7:BZ26)</f>
        <v>2.5966253646152828</v>
      </c>
      <c r="CA27" s="84"/>
      <c r="CB27" s="83">
        <f>SUM(CB7:CB26)</f>
        <v>1.5802874783726173</v>
      </c>
      <c r="CC27" s="83">
        <f>SUM(CC7:CC26)</f>
        <v>2.203487836826262</v>
      </c>
      <c r="CD27" s="54"/>
      <c r="CE27" s="83">
        <f>SUM(CE7:CE26)</f>
        <v>5.7661992238879298</v>
      </c>
      <c r="CF27" s="83">
        <f>SUM(CF7:CF26)</f>
        <v>7.8368662504950901</v>
      </c>
      <c r="CG27" s="84"/>
      <c r="CH27" s="83">
        <f>SUM(CH7:CH26)</f>
        <v>7.8352603532882856</v>
      </c>
      <c r="CI27" s="83">
        <f>SUM(CI7:CI26)</f>
        <v>10.742108157317423</v>
      </c>
    </row>
    <row r="28" spans="1:87" x14ac:dyDescent="0.25">
      <c r="A28" s="43" t="s">
        <v>79</v>
      </c>
    </row>
  </sheetData>
  <mergeCells count="42">
    <mergeCell ref="BY3:CC3"/>
    <mergeCell ref="CE3:CI3"/>
    <mergeCell ref="BY4:BZ4"/>
    <mergeCell ref="CB4:CC4"/>
    <mergeCell ref="CE4:CF4"/>
    <mergeCell ref="CH4:CI4"/>
    <mergeCell ref="C3:G3"/>
    <mergeCell ref="I3:M3"/>
    <mergeCell ref="C4:D4"/>
    <mergeCell ref="F4:G4"/>
    <mergeCell ref="I4:J4"/>
    <mergeCell ref="L4:M4"/>
    <mergeCell ref="AG4:AH4"/>
    <mergeCell ref="AJ4:AK4"/>
    <mergeCell ref="O4:P4"/>
    <mergeCell ref="R4:S4"/>
    <mergeCell ref="U4:V4"/>
    <mergeCell ref="X4:Y4"/>
    <mergeCell ref="AA4:AB4"/>
    <mergeCell ref="AD4:AE4"/>
    <mergeCell ref="BT4:BU4"/>
    <mergeCell ref="AY4:AZ4"/>
    <mergeCell ref="BB4:BC4"/>
    <mergeCell ref="BE4:BF4"/>
    <mergeCell ref="BH4:BI4"/>
    <mergeCell ref="BK4:BL4"/>
    <mergeCell ref="BQ4:BR4"/>
    <mergeCell ref="AM4:AN4"/>
    <mergeCell ref="AP4:AQ4"/>
    <mergeCell ref="AS4:AT4"/>
    <mergeCell ref="AV4:AW4"/>
    <mergeCell ref="BN4:BO4"/>
    <mergeCell ref="O3:S3"/>
    <mergeCell ref="U3:Y3"/>
    <mergeCell ref="AA3:AE3"/>
    <mergeCell ref="AG3:AK3"/>
    <mergeCell ref="AM3:AQ3"/>
    <mergeCell ref="AS3:AW3"/>
    <mergeCell ref="AY3:BC3"/>
    <mergeCell ref="BE3:BI3"/>
    <mergeCell ref="BK3:BO3"/>
    <mergeCell ref="BQ3:BU3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0"/>
  <sheetViews>
    <sheetView zoomScale="95" zoomScaleNormal="95" workbookViewId="0">
      <pane xSplit="2" ySplit="3" topLeftCell="C7" activePane="bottomRight" state="frozen"/>
      <selection pane="topRight" activeCell="B1" sqref="B1"/>
      <selection pane="bottomLeft" activeCell="A4" sqref="A4"/>
      <selection pane="bottomRight" activeCell="C27" sqref="C27:C28"/>
    </sheetView>
  </sheetViews>
  <sheetFormatPr defaultColWidth="9.1796875" defaultRowHeight="12.5" x14ac:dyDescent="0.25"/>
  <cols>
    <col min="1" max="1" width="4.7265625" style="40" customWidth="1"/>
    <col min="2" max="2" width="28.08984375" style="40" customWidth="1"/>
    <col min="3" max="3" width="12.81640625" style="40" customWidth="1"/>
    <col min="4" max="4" width="15.26953125" style="40" customWidth="1"/>
    <col min="5" max="5" width="12" style="40" customWidth="1"/>
    <col min="6" max="6" width="13.81640625" style="40" customWidth="1"/>
    <col min="7" max="7" width="14.54296875" style="40" customWidth="1"/>
    <col min="8" max="23" width="15.54296875" style="40" customWidth="1"/>
    <col min="24" max="24" width="10.1796875" style="40" customWidth="1"/>
    <col min="25" max="28" width="9.1796875" style="40"/>
    <col min="29" max="29" width="12.7265625" style="40" bestFit="1" customWidth="1"/>
    <col min="30" max="16384" width="9.1796875" style="40"/>
  </cols>
  <sheetData>
    <row r="1" spans="1:30" ht="18" x14ac:dyDescent="0.4">
      <c r="B1" s="39" t="s">
        <v>85</v>
      </c>
    </row>
    <row r="3" spans="1:30" s="41" customFormat="1" ht="37.5" x14ac:dyDescent="0.25">
      <c r="A3" s="132"/>
      <c r="B3" s="133" t="s">
        <v>0</v>
      </c>
      <c r="C3" s="132" t="s">
        <v>1</v>
      </c>
      <c r="D3" s="137" t="s">
        <v>45</v>
      </c>
      <c r="E3" s="132" t="s">
        <v>3</v>
      </c>
      <c r="F3" s="132" t="s">
        <v>4</v>
      </c>
      <c r="G3" s="132" t="s">
        <v>5</v>
      </c>
      <c r="H3" s="132" t="s">
        <v>6</v>
      </c>
      <c r="I3" s="132" t="s">
        <v>7</v>
      </c>
      <c r="J3" s="132" t="s">
        <v>8</v>
      </c>
      <c r="K3" s="132" t="s">
        <v>9</v>
      </c>
      <c r="L3" s="132" t="s">
        <v>10</v>
      </c>
      <c r="M3" s="132" t="s">
        <v>11</v>
      </c>
      <c r="N3" s="132" t="s">
        <v>12</v>
      </c>
      <c r="O3" s="132" t="s">
        <v>13</v>
      </c>
      <c r="P3" s="132" t="s">
        <v>14</v>
      </c>
      <c r="Q3" s="132" t="s">
        <v>15</v>
      </c>
      <c r="R3" s="132" t="s">
        <v>16</v>
      </c>
      <c r="S3" s="132" t="s">
        <v>39</v>
      </c>
      <c r="T3" s="132" t="s">
        <v>38</v>
      </c>
      <c r="U3" s="132" t="s">
        <v>17</v>
      </c>
      <c r="V3" s="132" t="s">
        <v>18</v>
      </c>
      <c r="W3" s="132" t="s">
        <v>42</v>
      </c>
      <c r="X3" s="40"/>
      <c r="Y3" s="40"/>
      <c r="Z3" s="40"/>
      <c r="AA3" s="40"/>
      <c r="AB3" s="40"/>
      <c r="AC3" s="40"/>
      <c r="AD3" s="40"/>
    </row>
    <row r="4" spans="1:30" x14ac:dyDescent="0.25">
      <c r="A4" s="46">
        <v>1</v>
      </c>
      <c r="B4" s="40" t="s">
        <v>1</v>
      </c>
      <c r="C4" s="42">
        <v>7.0901446677753999E-2</v>
      </c>
      <c r="D4" s="42">
        <v>9.7944842443821781E-4</v>
      </c>
      <c r="E4" s="42">
        <v>7.4912354135704531E-2</v>
      </c>
      <c r="F4" s="42">
        <v>8.6355659321537832E-4</v>
      </c>
      <c r="G4" s="42">
        <v>1.1313636792650384E-5</v>
      </c>
      <c r="H4" s="42">
        <v>1.2812441245299729E-6</v>
      </c>
      <c r="I4" s="42">
        <v>7.7427865527643042E-6</v>
      </c>
      <c r="J4" s="42">
        <v>3.8686015964556109E-5</v>
      </c>
      <c r="K4" s="42">
        <v>1.5931390840098245E-5</v>
      </c>
      <c r="L4" s="42">
        <v>1.3095470845306312E-7</v>
      </c>
      <c r="M4" s="42">
        <v>1.5021179227395504E-3</v>
      </c>
      <c r="N4" s="42">
        <v>4.0699133027486214E-4</v>
      </c>
      <c r="O4" s="42">
        <v>1.2616717116006323E-4</v>
      </c>
      <c r="P4" s="42">
        <v>2.6231539834696906E-5</v>
      </c>
      <c r="Q4" s="42">
        <v>4.9916563401707786E-4</v>
      </c>
      <c r="R4" s="42">
        <v>1.4351561477894906E-4</v>
      </c>
      <c r="S4" s="42">
        <v>1.5119425179874836E-5</v>
      </c>
      <c r="T4" s="42">
        <v>9.2984862881449089E-3</v>
      </c>
      <c r="U4" s="42">
        <v>4.4776440907717954E-4</v>
      </c>
      <c r="V4" s="42">
        <v>1.2705773992078799E-5</v>
      </c>
      <c r="W4" s="42">
        <v>2.9115427285614339E-3</v>
      </c>
    </row>
    <row r="5" spans="1:30" x14ac:dyDescent="0.25">
      <c r="A5" s="46">
        <v>2</v>
      </c>
      <c r="B5" s="43" t="s">
        <v>45</v>
      </c>
      <c r="C5" s="42">
        <v>2.2671215220727028E-2</v>
      </c>
      <c r="D5" s="42">
        <v>1.9352792384389503E-3</v>
      </c>
      <c r="E5" s="42">
        <v>7.6226937432563834E-3</v>
      </c>
      <c r="F5" s="42">
        <v>8.1972338160943357E-4</v>
      </c>
      <c r="G5" s="42">
        <v>1.5672643390240923E-2</v>
      </c>
      <c r="H5" s="42">
        <v>4.3694425386980353E-3</v>
      </c>
      <c r="I5" s="42">
        <v>4.469551656028839E-2</v>
      </c>
      <c r="J5" s="42">
        <v>2.7822076024655558E-3</v>
      </c>
      <c r="K5" s="42">
        <v>4.0313823007891905E-3</v>
      </c>
      <c r="L5" s="42">
        <v>5.3464813566906659E-3</v>
      </c>
      <c r="M5" s="42">
        <v>4.8196662449622521E-2</v>
      </c>
      <c r="N5" s="42">
        <v>4.8399678158680837E-3</v>
      </c>
      <c r="O5" s="42">
        <v>3.7110426116520874E-3</v>
      </c>
      <c r="P5" s="42">
        <v>9.2624160037319495E-3</v>
      </c>
      <c r="Q5" s="42">
        <v>3.2916291897618099E-3</v>
      </c>
      <c r="R5" s="42">
        <v>1.3831980477405738E-3</v>
      </c>
      <c r="S5" s="42">
        <v>4.0254518791576918E-2</v>
      </c>
      <c r="T5" s="42">
        <v>2.3885292523588019E-2</v>
      </c>
      <c r="U5" s="42">
        <v>5.5317488546339786E-3</v>
      </c>
      <c r="V5" s="42">
        <v>2.2868498279193417E-3</v>
      </c>
      <c r="W5" s="42">
        <v>4.4977292727836219E-3</v>
      </c>
    </row>
    <row r="6" spans="1:30" x14ac:dyDescent="0.25">
      <c r="A6" s="46">
        <v>3</v>
      </c>
      <c r="B6" s="40" t="s">
        <v>3</v>
      </c>
      <c r="C6" s="42">
        <v>4.339730604767833E-3</v>
      </c>
      <c r="D6" s="42">
        <v>0</v>
      </c>
      <c r="E6" s="42">
        <v>2.6641915662200161E-2</v>
      </c>
      <c r="F6" s="42">
        <v>5.5032751384720708E-3</v>
      </c>
      <c r="G6" s="42">
        <v>3.3484322075591168E-4</v>
      </c>
      <c r="H6" s="42">
        <v>1.9117048666061505E-4</v>
      </c>
      <c r="I6" s="42">
        <v>0</v>
      </c>
      <c r="J6" s="42">
        <v>1.6682176853335967E-4</v>
      </c>
      <c r="K6" s="42">
        <v>4.684059706639473E-5</v>
      </c>
      <c r="L6" s="42">
        <v>0</v>
      </c>
      <c r="M6" s="42">
        <v>0</v>
      </c>
      <c r="N6" s="42">
        <v>1.9098719793171173E-4</v>
      </c>
      <c r="O6" s="42">
        <v>5.0298611783997222E-7</v>
      </c>
      <c r="P6" s="42">
        <v>8.8747252575848453E-6</v>
      </c>
      <c r="Q6" s="42">
        <v>1.8792445639993799E-3</v>
      </c>
      <c r="R6" s="42">
        <v>5.1520666154065688E-5</v>
      </c>
      <c r="S6" s="42">
        <v>4.3573940441532283E-4</v>
      </c>
      <c r="T6" s="42">
        <v>3.4465512990234939E-2</v>
      </c>
      <c r="U6" s="42">
        <v>2.194147203729457E-4</v>
      </c>
      <c r="V6" s="42">
        <v>7.2144098323136016E-5</v>
      </c>
      <c r="W6" s="42">
        <v>3.0234700757411736E-3</v>
      </c>
    </row>
    <row r="7" spans="1:30" x14ac:dyDescent="0.25">
      <c r="A7" s="46">
        <v>4</v>
      </c>
      <c r="B7" s="40" t="s">
        <v>4</v>
      </c>
      <c r="C7" s="42">
        <v>7.4433727805111654E-3</v>
      </c>
      <c r="D7" s="42">
        <v>1.68786763886242E-3</v>
      </c>
      <c r="E7" s="42">
        <v>8.7226372198254461E-3</v>
      </c>
      <c r="F7" s="42">
        <v>4.648153063404499E-3</v>
      </c>
      <c r="G7" s="42">
        <v>1.0933300111053404E-2</v>
      </c>
      <c r="H7" s="42">
        <v>2.509053087479274E-4</v>
      </c>
      <c r="I7" s="42">
        <v>0.11798353126527623</v>
      </c>
      <c r="J7" s="42">
        <v>8.5948137813547914E-4</v>
      </c>
      <c r="K7" s="42">
        <v>7.2453350355080096E-4</v>
      </c>
      <c r="L7" s="42">
        <v>1.6673814855194531E-4</v>
      </c>
      <c r="M7" s="42">
        <v>8.5915521135054883E-4</v>
      </c>
      <c r="N7" s="42">
        <v>2.2865061899804485E-4</v>
      </c>
      <c r="O7" s="42">
        <v>8.6188322778047127E-4</v>
      </c>
      <c r="P7" s="42">
        <v>7.8405965332398658E-5</v>
      </c>
      <c r="Q7" s="42">
        <v>7.6984328027131254E-4</v>
      </c>
      <c r="R7" s="42">
        <v>9.1333151358040713E-5</v>
      </c>
      <c r="S7" s="42">
        <v>8.4951476139725861E-4</v>
      </c>
      <c r="T7" s="42">
        <v>1.163127119853059E-2</v>
      </c>
      <c r="U7" s="42">
        <v>6.4633173676089133E-4</v>
      </c>
      <c r="V7" s="42">
        <v>1.1756068737443457E-4</v>
      </c>
      <c r="W7" s="42">
        <v>1.9702072546706237E-2</v>
      </c>
    </row>
    <row r="8" spans="1:30" x14ac:dyDescent="0.25">
      <c r="A8" s="46">
        <v>5</v>
      </c>
      <c r="B8" s="40" t="s">
        <v>5</v>
      </c>
      <c r="C8" s="42">
        <v>5.3527011334688422E-2</v>
      </c>
      <c r="D8" s="42">
        <v>2.9421804824670789E-2</v>
      </c>
      <c r="E8" s="42">
        <v>1.6681126351447254E-2</v>
      </c>
      <c r="F8" s="42">
        <v>1.5654008580201079E-2</v>
      </c>
      <c r="G8" s="42">
        <v>6.4273762588565236E-2</v>
      </c>
      <c r="H8" s="42">
        <v>2.2594879571828611E-2</v>
      </c>
      <c r="I8" s="42">
        <v>1.2504630391278679E-2</v>
      </c>
      <c r="J8" s="42">
        <v>1.4555885616908022E-2</v>
      </c>
      <c r="K8" s="42">
        <v>8.3545722455061668E-3</v>
      </c>
      <c r="L8" s="42">
        <v>2.1441457797039275E-2</v>
      </c>
      <c r="M8" s="42">
        <v>6.7056820353953977E-3</v>
      </c>
      <c r="N8" s="42">
        <v>5.3272898314476375E-2</v>
      </c>
      <c r="O8" s="42">
        <v>1.6940487886677569E-2</v>
      </c>
      <c r="P8" s="42">
        <v>6.6914085982921921E-3</v>
      </c>
      <c r="Q8" s="42">
        <v>8.9856418776547362E-3</v>
      </c>
      <c r="R8" s="42">
        <v>2.7908433765557223E-3</v>
      </c>
      <c r="S8" s="42">
        <v>2.3317391458090586E-2</v>
      </c>
      <c r="T8" s="42">
        <v>1.7748556108214519E-2</v>
      </c>
      <c r="U8" s="42">
        <v>1.4837546842806387E-2</v>
      </c>
      <c r="V8" s="42">
        <v>4.2076022381812824E-3</v>
      </c>
      <c r="W8" s="42">
        <v>1.7414612288440549E-2</v>
      </c>
    </row>
    <row r="9" spans="1:30" x14ac:dyDescent="0.25">
      <c r="A9" s="46">
        <v>6</v>
      </c>
      <c r="B9" s="40" t="s">
        <v>6</v>
      </c>
      <c r="C9" s="42">
        <v>9.7638432916331765E-4</v>
      </c>
      <c r="D9" s="42">
        <v>3.5436199506862515E-3</v>
      </c>
      <c r="E9" s="42">
        <v>2.7344068548716626E-3</v>
      </c>
      <c r="F9" s="42">
        <v>1.9005287864259995E-3</v>
      </c>
      <c r="G9" s="42">
        <v>5.6309299118188069E-3</v>
      </c>
      <c r="H9" s="42">
        <v>8.078556571245081E-2</v>
      </c>
      <c r="I9" s="42">
        <v>1.8639651424078598E-3</v>
      </c>
      <c r="J9" s="42">
        <v>1.3744812211101907E-2</v>
      </c>
      <c r="K9" s="42">
        <v>6.5986511209498644E-3</v>
      </c>
      <c r="L9" s="42">
        <v>2.0740297200076412E-2</v>
      </c>
      <c r="M9" s="42">
        <v>3.0671781501895663E-3</v>
      </c>
      <c r="N9" s="42">
        <v>1.6774351612762629E-2</v>
      </c>
      <c r="O9" s="42">
        <v>8.5098909167356362E-3</v>
      </c>
      <c r="P9" s="42">
        <v>4.9790841325050893E-3</v>
      </c>
      <c r="Q9" s="42">
        <v>5.9308364755185942E-3</v>
      </c>
      <c r="R9" s="42">
        <v>1.5574851505114459E-3</v>
      </c>
      <c r="S9" s="42">
        <v>1.0217276060321474E-2</v>
      </c>
      <c r="T9" s="42">
        <v>6.9451905143371098E-3</v>
      </c>
      <c r="U9" s="42">
        <v>5.534868872452337E-3</v>
      </c>
      <c r="V9" s="42">
        <v>4.4422613951230003E-4</v>
      </c>
      <c r="W9" s="42">
        <v>3.8189332180430136E-2</v>
      </c>
    </row>
    <row r="10" spans="1:30" x14ac:dyDescent="0.25">
      <c r="A10" s="46">
        <v>7</v>
      </c>
      <c r="B10" s="40" t="s">
        <v>7</v>
      </c>
      <c r="C10" s="42">
        <v>1.2142945230601858E-2</v>
      </c>
      <c r="D10" s="42">
        <v>1.1171060695263604E-2</v>
      </c>
      <c r="E10" s="42">
        <v>1.8347164815256608E-2</v>
      </c>
      <c r="F10" s="42">
        <v>1.0002320862990766E-2</v>
      </c>
      <c r="G10" s="42">
        <v>3.3319795905972466E-3</v>
      </c>
      <c r="H10" s="42">
        <v>6.5912011491816311E-3</v>
      </c>
      <c r="I10" s="42">
        <v>6.9752272712220717E-2</v>
      </c>
      <c r="J10" s="42">
        <v>6.3429938316091668E-3</v>
      </c>
      <c r="K10" s="42">
        <v>1.2705694501699982E-2</v>
      </c>
      <c r="L10" s="42">
        <v>4.3531957698174674E-3</v>
      </c>
      <c r="M10" s="42">
        <v>4.6335448165468612E-3</v>
      </c>
      <c r="N10" s="42">
        <v>8.372357688250712E-3</v>
      </c>
      <c r="O10" s="42">
        <v>8.8929801992643845E-3</v>
      </c>
      <c r="P10" s="42">
        <v>2.2536331339706663E-3</v>
      </c>
      <c r="Q10" s="42">
        <v>1.3316867411735172E-2</v>
      </c>
      <c r="R10" s="42">
        <v>4.2429026149048725E-3</v>
      </c>
      <c r="S10" s="42">
        <v>4.8924302866432907E-2</v>
      </c>
      <c r="T10" s="42">
        <v>2.825445716689624E-2</v>
      </c>
      <c r="U10" s="42">
        <v>1.3372618686650267E-2</v>
      </c>
      <c r="V10" s="42">
        <v>1.2026589325485856E-3</v>
      </c>
      <c r="W10" s="42">
        <v>1.6909342581703939E-2</v>
      </c>
    </row>
    <row r="11" spans="1:30" x14ac:dyDescent="0.25">
      <c r="A11" s="46">
        <v>8</v>
      </c>
      <c r="B11" s="40" t="s">
        <v>8</v>
      </c>
      <c r="C11" s="42">
        <v>2.4352583699383642E-2</v>
      </c>
      <c r="D11" s="42">
        <v>4.0320043330566692E-2</v>
      </c>
      <c r="E11" s="42">
        <v>3.4062184560239121E-2</v>
      </c>
      <c r="F11" s="42">
        <v>1.2909898663838506E-2</v>
      </c>
      <c r="G11" s="42">
        <v>1.045298038415023E-2</v>
      </c>
      <c r="H11" s="42">
        <v>9.0055585493258577E-3</v>
      </c>
      <c r="I11" s="42">
        <v>6.3357090111372917E-3</v>
      </c>
      <c r="J11" s="42">
        <v>1.3888942348003482E-2</v>
      </c>
      <c r="K11" s="42">
        <v>2.0116547246186141E-3</v>
      </c>
      <c r="L11" s="42">
        <v>8.6303005961243758E-4</v>
      </c>
      <c r="M11" s="42">
        <v>2.7293732751708971E-3</v>
      </c>
      <c r="N11" s="42">
        <v>5.5099965653920401E-3</v>
      </c>
      <c r="O11" s="42">
        <v>4.1492031465976088E-3</v>
      </c>
      <c r="P11" s="42">
        <v>1.178662599486395E-3</v>
      </c>
      <c r="Q11" s="42">
        <v>6.9216455649696324E-3</v>
      </c>
      <c r="R11" s="42">
        <v>7.1319980552449528E-4</v>
      </c>
      <c r="S11" s="42">
        <v>9.9477757449914338E-3</v>
      </c>
      <c r="T11" s="42">
        <v>2.765018156455492E-2</v>
      </c>
      <c r="U11" s="42">
        <v>4.1648575858200991E-3</v>
      </c>
      <c r="V11" s="42">
        <v>7.9716121516950418E-4</v>
      </c>
      <c r="W11" s="42">
        <v>2.6941076207974025E-2</v>
      </c>
    </row>
    <row r="12" spans="1:30" x14ac:dyDescent="0.25">
      <c r="A12" s="46">
        <v>9</v>
      </c>
      <c r="B12" s="40" t="s">
        <v>9</v>
      </c>
      <c r="C12" s="42">
        <v>8.6509641883781765E-3</v>
      </c>
      <c r="D12" s="42">
        <v>5.7504571791751426E-2</v>
      </c>
      <c r="E12" s="42">
        <v>1.1689413089160744E-2</v>
      </c>
      <c r="F12" s="42">
        <v>3.9206888580064544E-3</v>
      </c>
      <c r="G12" s="42">
        <v>1.1950983308015976E-3</v>
      </c>
      <c r="H12" s="42">
        <v>1.2558540620944149E-2</v>
      </c>
      <c r="I12" s="42">
        <v>3.988665453442875E-3</v>
      </c>
      <c r="J12" s="42">
        <v>7.4967403428097459E-3</v>
      </c>
      <c r="K12" s="42">
        <v>7.9962370992398522E-3</v>
      </c>
      <c r="L12" s="42">
        <v>1.82125206804695E-3</v>
      </c>
      <c r="M12" s="42">
        <v>9.0771970483601548E-3</v>
      </c>
      <c r="N12" s="42">
        <v>1.3059995672312861E-2</v>
      </c>
      <c r="O12" s="42">
        <v>8.3832785647040345E-3</v>
      </c>
      <c r="P12" s="42">
        <v>2.0763606027993155E-4</v>
      </c>
      <c r="Q12" s="42">
        <v>3.8385157447788053E-3</v>
      </c>
      <c r="R12" s="42">
        <v>2.0143498916565808E-4</v>
      </c>
      <c r="S12" s="42">
        <v>3.2349815565855572E-3</v>
      </c>
      <c r="T12" s="42">
        <v>4.0391630275627526E-3</v>
      </c>
      <c r="U12" s="42">
        <v>6.0047637827632411E-3</v>
      </c>
      <c r="V12" s="42">
        <v>1.0463134621299644E-5</v>
      </c>
      <c r="W12" s="42">
        <v>5.6045344431945844E-2</v>
      </c>
    </row>
    <row r="13" spans="1:30" x14ac:dyDescent="0.25">
      <c r="A13" s="46">
        <v>10</v>
      </c>
      <c r="B13" s="40" t="s">
        <v>10</v>
      </c>
      <c r="C13" s="42">
        <v>1.1020112853331555E-2</v>
      </c>
      <c r="D13" s="42">
        <v>1.4810516288480083E-2</v>
      </c>
      <c r="E13" s="42">
        <v>2.963804530983515E-3</v>
      </c>
      <c r="F13" s="42">
        <v>4.2880148332493043E-3</v>
      </c>
      <c r="G13" s="42">
        <v>7.444362760243229E-3</v>
      </c>
      <c r="H13" s="42">
        <v>1.8194184621038442E-2</v>
      </c>
      <c r="I13" s="42">
        <v>1.2252333275848872E-2</v>
      </c>
      <c r="J13" s="42">
        <v>1.0752032462911593E-2</v>
      </c>
      <c r="K13" s="42">
        <v>1.1213087617582629E-2</v>
      </c>
      <c r="L13" s="42">
        <v>0.13511494707023688</v>
      </c>
      <c r="M13" s="42">
        <v>3.9648527497915774E-2</v>
      </c>
      <c r="N13" s="42">
        <v>1.010934103841428E-2</v>
      </c>
      <c r="O13" s="42">
        <v>6.1643288348519941E-3</v>
      </c>
      <c r="P13" s="42">
        <v>1.5810633613681142E-3</v>
      </c>
      <c r="Q13" s="42">
        <v>4.964195540863056E-3</v>
      </c>
      <c r="R13" s="42">
        <v>1.097827722625072E-3</v>
      </c>
      <c r="S13" s="42">
        <v>2.8305147150771807E-2</v>
      </c>
      <c r="T13" s="42">
        <v>1.0964664187938022E-2</v>
      </c>
      <c r="U13" s="42">
        <v>4.4073874799582125E-3</v>
      </c>
      <c r="V13" s="42">
        <v>3.6133024416987761E-4</v>
      </c>
      <c r="W13" s="42">
        <v>3.6579478305786249E-2</v>
      </c>
    </row>
    <row r="14" spans="1:30" x14ac:dyDescent="0.25">
      <c r="A14" s="46">
        <v>11</v>
      </c>
      <c r="B14" s="40" t="s">
        <v>11</v>
      </c>
      <c r="C14" s="42">
        <v>2.9457264640356584E-2</v>
      </c>
      <c r="D14" s="42">
        <v>5.6813579967410044E-2</v>
      </c>
      <c r="E14" s="42">
        <v>2.5375001755159894E-2</v>
      </c>
      <c r="F14" s="42">
        <v>1.024170978907077E-2</v>
      </c>
      <c r="G14" s="42">
        <v>1.9201433521972736E-2</v>
      </c>
      <c r="H14" s="42">
        <v>5.3317479694279871E-2</v>
      </c>
      <c r="I14" s="42">
        <v>8.5287635958228199E-3</v>
      </c>
      <c r="J14" s="42">
        <v>3.4479748827909898E-2</v>
      </c>
      <c r="K14" s="42">
        <v>6.3844588408014866E-2</v>
      </c>
      <c r="L14" s="42">
        <v>3.6280173419568761E-2</v>
      </c>
      <c r="M14" s="42">
        <v>3.1801656574788922E-2</v>
      </c>
      <c r="N14" s="42">
        <v>6.2997372822155978E-2</v>
      </c>
      <c r="O14" s="42">
        <v>3.2970322640227312E-2</v>
      </c>
      <c r="P14" s="42">
        <v>1.9993328107636914E-2</v>
      </c>
      <c r="Q14" s="42">
        <v>3.8572974172760538E-2</v>
      </c>
      <c r="R14" s="42">
        <v>6.3606417600919375E-3</v>
      </c>
      <c r="S14" s="42">
        <v>3.956520399430672E-2</v>
      </c>
      <c r="T14" s="42">
        <v>4.3992378966012061E-2</v>
      </c>
      <c r="U14" s="42">
        <v>3.1413210238224833E-2</v>
      </c>
      <c r="V14" s="42">
        <v>7.9409053785899574E-4</v>
      </c>
      <c r="W14" s="42">
        <v>0.17751230723391337</v>
      </c>
    </row>
    <row r="15" spans="1:30" x14ac:dyDescent="0.25">
      <c r="A15" s="46">
        <v>12</v>
      </c>
      <c r="B15" s="40" t="s">
        <v>12</v>
      </c>
      <c r="C15" s="42">
        <v>3.9594877499622982E-3</v>
      </c>
      <c r="D15" s="42">
        <v>6.8903180804017847E-2</v>
      </c>
      <c r="E15" s="42">
        <v>9.9363442657392411E-3</v>
      </c>
      <c r="F15" s="42">
        <v>6.6785793189256199E-3</v>
      </c>
      <c r="G15" s="42">
        <v>1.706097720308249E-2</v>
      </c>
      <c r="H15" s="42">
        <v>3.4438013687947369E-2</v>
      </c>
      <c r="I15" s="42">
        <v>3.1853215120735134E-2</v>
      </c>
      <c r="J15" s="42">
        <v>1.6648233635236029E-2</v>
      </c>
      <c r="K15" s="42">
        <v>1.2021600193837991E-2</v>
      </c>
      <c r="L15" s="42">
        <v>4.0929110614883094E-2</v>
      </c>
      <c r="M15" s="42">
        <v>1.0756576219155337E-2</v>
      </c>
      <c r="N15" s="42">
        <v>7.0805002780047588E-2</v>
      </c>
      <c r="O15" s="42">
        <v>4.7146916235845202E-2</v>
      </c>
      <c r="P15" s="42">
        <v>4.8859281830650548E-3</v>
      </c>
      <c r="Q15" s="42">
        <v>2.7069362847514752E-2</v>
      </c>
      <c r="R15" s="42">
        <v>5.8926040725997674E-3</v>
      </c>
      <c r="S15" s="42">
        <v>3.5858506533137574E-2</v>
      </c>
      <c r="T15" s="42">
        <v>3.2210595915832717E-2</v>
      </c>
      <c r="U15" s="42">
        <v>1.391613762525125E-2</v>
      </c>
      <c r="V15" s="42">
        <v>1.162342557601058E-3</v>
      </c>
      <c r="W15" s="42">
        <v>1.9328489408872235E-2</v>
      </c>
    </row>
    <row r="16" spans="1:30" x14ac:dyDescent="0.25">
      <c r="A16" s="46">
        <v>13</v>
      </c>
      <c r="B16" s="40" t="s">
        <v>13</v>
      </c>
      <c r="C16" s="42">
        <v>9.6599580129028747E-3</v>
      </c>
      <c r="D16" s="42">
        <v>2.2013745981483656E-2</v>
      </c>
      <c r="E16" s="42">
        <v>7.9668435827966344E-2</v>
      </c>
      <c r="F16" s="42">
        <v>1.5035919996830906E-2</v>
      </c>
      <c r="G16" s="42">
        <v>4.3666146926332132E-2</v>
      </c>
      <c r="H16" s="42">
        <v>2.9169968251440085E-2</v>
      </c>
      <c r="I16" s="42">
        <v>2.0644420541285978E-2</v>
      </c>
      <c r="J16" s="42">
        <v>3.6427903200464469E-2</v>
      </c>
      <c r="K16" s="42">
        <v>2.2570347212868967E-2</v>
      </c>
      <c r="L16" s="42">
        <v>3.0699911836583927E-2</v>
      </c>
      <c r="M16" s="42">
        <v>1.582489100414888E-2</v>
      </c>
      <c r="N16" s="42">
        <v>1.6222310650205764E-2</v>
      </c>
      <c r="O16" s="42">
        <v>3.203301599329466E-2</v>
      </c>
      <c r="P16" s="42">
        <v>6.8005220688213842E-3</v>
      </c>
      <c r="Q16" s="42">
        <v>3.8278497105988303E-2</v>
      </c>
      <c r="R16" s="42">
        <v>3.9185755607929655E-3</v>
      </c>
      <c r="S16" s="42">
        <v>8.201557341136366E-2</v>
      </c>
      <c r="T16" s="42">
        <v>2.7217648494852087E-2</v>
      </c>
      <c r="U16" s="42">
        <v>2.0345558020411124E-2</v>
      </c>
      <c r="V16" s="42">
        <v>1.5829898278308754E-3</v>
      </c>
      <c r="W16" s="42">
        <v>9.5115108898091091E-3</v>
      </c>
    </row>
    <row r="17" spans="1:23" x14ac:dyDescent="0.25">
      <c r="A17" s="46">
        <v>14</v>
      </c>
      <c r="B17" s="40" t="s">
        <v>14</v>
      </c>
      <c r="C17" s="42">
        <v>0</v>
      </c>
      <c r="D17" s="42">
        <v>4.6195228282794521E-4</v>
      </c>
      <c r="E17" s="42">
        <v>1.428775447230551E-4</v>
      </c>
      <c r="F17" s="42">
        <v>1.3613934393032091E-3</v>
      </c>
      <c r="G17" s="42">
        <v>1.5090604143077719E-3</v>
      </c>
      <c r="H17" s="42">
        <v>5.7685251090662595E-3</v>
      </c>
      <c r="I17" s="42">
        <v>1.3679810027596958E-2</v>
      </c>
      <c r="J17" s="42">
        <v>6.3885970226771737E-4</v>
      </c>
      <c r="K17" s="42">
        <v>4.8147601309224674E-4</v>
      </c>
      <c r="L17" s="42">
        <v>8.2637830685951697E-3</v>
      </c>
      <c r="M17" s="42">
        <v>1.6370224123351239E-4</v>
      </c>
      <c r="N17" s="42">
        <v>1.544572775811889E-3</v>
      </c>
      <c r="O17" s="42">
        <v>5.3456484169797213E-4</v>
      </c>
      <c r="P17" s="42">
        <v>1.2619507911895882E-3</v>
      </c>
      <c r="Q17" s="42">
        <v>4.8088358504474798E-3</v>
      </c>
      <c r="R17" s="42">
        <v>4.7536951562584352E-4</v>
      </c>
      <c r="S17" s="42">
        <v>1.9999247773909104E-4</v>
      </c>
      <c r="T17" s="42">
        <v>1.2325156294754069E-4</v>
      </c>
      <c r="U17" s="42">
        <v>4.3971115481726563E-4</v>
      </c>
      <c r="V17" s="42">
        <v>6.1144161264881829E-5</v>
      </c>
      <c r="W17" s="42">
        <v>7.9064687505082509E-3</v>
      </c>
    </row>
    <row r="18" spans="1:23" x14ac:dyDescent="0.25">
      <c r="A18" s="46">
        <v>15</v>
      </c>
      <c r="B18" s="40" t="s">
        <v>15</v>
      </c>
      <c r="C18" s="42">
        <v>0</v>
      </c>
      <c r="D18" s="42">
        <v>1.1035437427793219E-6</v>
      </c>
      <c r="E18" s="42">
        <v>0</v>
      </c>
      <c r="F18" s="42">
        <v>0</v>
      </c>
      <c r="G18" s="42">
        <v>1.4982695325309022E-3</v>
      </c>
      <c r="H18" s="42">
        <v>0</v>
      </c>
      <c r="I18" s="42">
        <v>0</v>
      </c>
      <c r="J18" s="42">
        <v>0</v>
      </c>
      <c r="K18" s="42">
        <v>6.8569443961657288E-6</v>
      </c>
      <c r="L18" s="42">
        <v>5.2648361345184697E-6</v>
      </c>
      <c r="M18" s="42">
        <v>0</v>
      </c>
      <c r="N18" s="42">
        <v>2.2887775381652837E-3</v>
      </c>
      <c r="O18" s="42">
        <v>2.9831100883474587E-4</v>
      </c>
      <c r="P18" s="42">
        <v>5.3476466920042744E-3</v>
      </c>
      <c r="Q18" s="42">
        <v>5.5847596935598015E-2</v>
      </c>
      <c r="R18" s="42">
        <v>1.4444538703333619E-3</v>
      </c>
      <c r="S18" s="42">
        <v>0</v>
      </c>
      <c r="T18" s="42">
        <v>0</v>
      </c>
      <c r="U18" s="42">
        <v>1.9692402325338014E-3</v>
      </c>
      <c r="V18" s="42">
        <v>8.0497142520145329E-4</v>
      </c>
      <c r="W18" s="42">
        <v>0.12144474378726798</v>
      </c>
    </row>
    <row r="19" spans="1:23" x14ac:dyDescent="0.25">
      <c r="A19" s="46">
        <v>16</v>
      </c>
      <c r="B19" s="43" t="s">
        <v>47</v>
      </c>
      <c r="C19" s="42">
        <v>7.8439680427698868E-4</v>
      </c>
      <c r="D19" s="42">
        <v>1.3694277711917603E-3</v>
      </c>
      <c r="E19" s="42">
        <v>2.25735275181203E-3</v>
      </c>
      <c r="F19" s="42">
        <v>6.4592121261631533E-4</v>
      </c>
      <c r="G19" s="42">
        <v>3.3231245810279666E-4</v>
      </c>
      <c r="H19" s="42">
        <v>3.0986066165465034E-3</v>
      </c>
      <c r="I19" s="42">
        <v>3.1327382818319279E-4</v>
      </c>
      <c r="J19" s="42">
        <v>0</v>
      </c>
      <c r="K19" s="42">
        <v>0</v>
      </c>
      <c r="L19" s="42">
        <v>0</v>
      </c>
      <c r="M19" s="42">
        <v>7.399400295279795E-6</v>
      </c>
      <c r="N19" s="42">
        <v>0</v>
      </c>
      <c r="O19" s="42">
        <v>0</v>
      </c>
      <c r="P19" s="42">
        <v>2.059992876629465E-4</v>
      </c>
      <c r="Q19" s="42">
        <v>4.3810034914668943E-5</v>
      </c>
      <c r="R19" s="42">
        <v>7.6374297651128275E-3</v>
      </c>
      <c r="S19" s="42">
        <v>1.4990846068972179E-3</v>
      </c>
      <c r="T19" s="42">
        <v>4.2442221789912261E-3</v>
      </c>
      <c r="U19" s="42">
        <v>3.4713865883929712E-4</v>
      </c>
      <c r="V19" s="42">
        <v>6.5217940024850246E-6</v>
      </c>
      <c r="W19" s="42">
        <v>5.5939745228144877E-3</v>
      </c>
    </row>
    <row r="20" spans="1:23" x14ac:dyDescent="0.25">
      <c r="A20" s="46">
        <v>17</v>
      </c>
      <c r="B20" s="40" t="s">
        <v>39</v>
      </c>
      <c r="C20" s="42">
        <v>4.7988548884795477E-3</v>
      </c>
      <c r="D20" s="42">
        <v>2.0497371957771817E-2</v>
      </c>
      <c r="E20" s="42">
        <v>4.4242147482406638E-2</v>
      </c>
      <c r="F20" s="42">
        <v>1.3310493402632019E-2</v>
      </c>
      <c r="G20" s="42">
        <v>5.4126454354415697E-3</v>
      </c>
      <c r="H20" s="42">
        <v>1.8618357307482465E-2</v>
      </c>
      <c r="I20" s="42">
        <v>2.1050036346686903E-2</v>
      </c>
      <c r="J20" s="42">
        <v>2.979171999082034E-2</v>
      </c>
      <c r="K20" s="42">
        <v>1.9294087261602429E-2</v>
      </c>
      <c r="L20" s="42">
        <v>5.0393022603751635E-2</v>
      </c>
      <c r="M20" s="42">
        <v>1.4396775516601332E-2</v>
      </c>
      <c r="N20" s="42">
        <v>7.3418924737871261E-2</v>
      </c>
      <c r="O20" s="42">
        <v>1.4842713418949199E-2</v>
      </c>
      <c r="P20" s="42">
        <v>5.8203632174753835E-3</v>
      </c>
      <c r="Q20" s="42">
        <v>3.2625091390037116E-2</v>
      </c>
      <c r="R20" s="42">
        <v>1.8331295285749507E-3</v>
      </c>
      <c r="S20" s="42">
        <v>3.0128564796921192E-2</v>
      </c>
      <c r="T20" s="42">
        <v>2.7888498659211197E-2</v>
      </c>
      <c r="U20" s="42">
        <v>2.0232475123313852E-2</v>
      </c>
      <c r="V20" s="42">
        <v>1.3334776998501585E-3</v>
      </c>
      <c r="W20" s="42">
        <v>9.1688568785809749E-3</v>
      </c>
    </row>
    <row r="21" spans="1:23" x14ac:dyDescent="0.25">
      <c r="A21" s="46">
        <v>18</v>
      </c>
      <c r="B21" s="40" t="s">
        <v>38</v>
      </c>
      <c r="C21" s="42">
        <v>4.2309320764678275E-3</v>
      </c>
      <c r="D21" s="42">
        <v>2.0237952085062117E-2</v>
      </c>
      <c r="E21" s="42">
        <v>4.1054714564873411E-2</v>
      </c>
      <c r="F21" s="42">
        <v>7.5486474498204104E-3</v>
      </c>
      <c r="G21" s="42">
        <v>2.6345685980395793E-2</v>
      </c>
      <c r="H21" s="42">
        <v>2.7857350003830449E-2</v>
      </c>
      <c r="I21" s="42">
        <v>1.7877412317416557E-2</v>
      </c>
      <c r="J21" s="42">
        <v>1.7804835402134053E-2</v>
      </c>
      <c r="K21" s="42">
        <v>1.0823755778770205E-2</v>
      </c>
      <c r="L21" s="42">
        <v>3.0321633182969987E-2</v>
      </c>
      <c r="M21" s="42">
        <v>4.7005483326490226E-3</v>
      </c>
      <c r="N21" s="42">
        <v>1.858501114619596E-2</v>
      </c>
      <c r="O21" s="42">
        <v>1.0591458196868651E-2</v>
      </c>
      <c r="P21" s="42">
        <v>1.1819205430654007E-2</v>
      </c>
      <c r="Q21" s="42">
        <v>2.1516574837327301E-2</v>
      </c>
      <c r="R21" s="42">
        <v>5.7093328646943605E-3</v>
      </c>
      <c r="S21" s="42">
        <v>2.6842743325104827E-2</v>
      </c>
      <c r="T21" s="42">
        <v>3.137283977693453E-2</v>
      </c>
      <c r="U21" s="42">
        <v>4.9940929070926782E-3</v>
      </c>
      <c r="V21" s="42">
        <v>9.4790464454726773E-4</v>
      </c>
      <c r="W21" s="42">
        <v>3.0878160821160044E-2</v>
      </c>
    </row>
    <row r="22" spans="1:23" x14ac:dyDescent="0.25">
      <c r="A22" s="46">
        <v>19</v>
      </c>
      <c r="B22" s="40" t="s">
        <v>17</v>
      </c>
      <c r="C22" s="42">
        <v>1.0868790240943986E-3</v>
      </c>
      <c r="D22" s="42">
        <v>1.187330496830845E-3</v>
      </c>
      <c r="E22" s="42">
        <v>4.3063835338692149E-3</v>
      </c>
      <c r="F22" s="42">
        <v>1.961702899792949E-3</v>
      </c>
      <c r="G22" s="42">
        <v>2.1078760809261992E-3</v>
      </c>
      <c r="H22" s="42">
        <v>4.6171413362540497E-3</v>
      </c>
      <c r="I22" s="42">
        <v>5.8881059341339107E-4</v>
      </c>
      <c r="J22" s="42">
        <v>2.7885116482591747E-3</v>
      </c>
      <c r="K22" s="42">
        <v>1.9149458065879509E-3</v>
      </c>
      <c r="L22" s="42">
        <v>3.4856570321362872E-3</v>
      </c>
      <c r="M22" s="42">
        <v>2.3210011975285137E-2</v>
      </c>
      <c r="N22" s="42">
        <v>3.4629966287684417E-3</v>
      </c>
      <c r="O22" s="42">
        <v>3.906708976856685E-3</v>
      </c>
      <c r="P22" s="42">
        <v>7.2726068287206843E-4</v>
      </c>
      <c r="Q22" s="42">
        <v>1.7946268062224954E-3</v>
      </c>
      <c r="R22" s="42">
        <v>9.7429938986489187E-4</v>
      </c>
      <c r="S22" s="42">
        <v>3.7336608270127909E-3</v>
      </c>
      <c r="T22" s="42">
        <v>2.8345170655936875E-3</v>
      </c>
      <c r="U22" s="42">
        <v>3.6272414790675736E-3</v>
      </c>
      <c r="V22" s="42">
        <v>2.0675619846724144E-4</v>
      </c>
      <c r="W22" s="42">
        <v>2.1107822222869416E-2</v>
      </c>
    </row>
    <row r="23" spans="1:23" x14ac:dyDescent="0.25">
      <c r="A23" s="46">
        <v>20</v>
      </c>
      <c r="B23" s="40" t="s">
        <v>18</v>
      </c>
      <c r="C23" s="42">
        <v>8.248211561971577E-3</v>
      </c>
      <c r="D23" s="42">
        <v>3.0415698524828816E-3</v>
      </c>
      <c r="E23" s="42">
        <v>1.0458056657445699E-2</v>
      </c>
      <c r="F23" s="42">
        <v>6.7347255046597857E-3</v>
      </c>
      <c r="G23" s="42">
        <v>6.8767842358404094E-2</v>
      </c>
      <c r="H23" s="42">
        <v>9.5628539505646839E-3</v>
      </c>
      <c r="I23" s="42">
        <v>1.2517460145800874E-2</v>
      </c>
      <c r="J23" s="42">
        <v>9.0650413624511848E-3</v>
      </c>
      <c r="K23" s="42">
        <v>1.9178773529997677E-2</v>
      </c>
      <c r="L23" s="42">
        <v>1.6499871072408218E-2</v>
      </c>
      <c r="M23" s="42">
        <v>1.0673681790833773E-2</v>
      </c>
      <c r="N23" s="42">
        <v>9.5202023568916258E-3</v>
      </c>
      <c r="O23" s="42">
        <v>1.6907539630417957E-2</v>
      </c>
      <c r="P23" s="42">
        <v>1.8308578188478601E-3</v>
      </c>
      <c r="Q23" s="42">
        <v>1.4701034630840498E-2</v>
      </c>
      <c r="R23" s="42">
        <v>5.4789491896317108E-3</v>
      </c>
      <c r="S23" s="42">
        <v>2.8256215975061724E-2</v>
      </c>
      <c r="T23" s="42">
        <v>1.3455056083178596E-2</v>
      </c>
      <c r="U23" s="42">
        <v>5.794970503522818E-3</v>
      </c>
      <c r="V23" s="42">
        <v>1.1436450014958878E-3</v>
      </c>
      <c r="W23" s="42">
        <v>6.2612457930394827E-2</v>
      </c>
    </row>
    <row r="24" spans="1:23" x14ac:dyDescent="0.25">
      <c r="B24" s="40" t="s">
        <v>41</v>
      </c>
      <c r="C24" s="42">
        <v>0.32001579933197966</v>
      </c>
      <c r="D24" s="42">
        <v>0.32840956289303036</v>
      </c>
      <c r="E24" s="42">
        <v>0.22877599266545592</v>
      </c>
      <c r="F24" s="42">
        <v>0.11910877827854011</v>
      </c>
      <c r="G24" s="42">
        <v>0.26026387688586811</v>
      </c>
      <c r="H24" s="42">
        <v>0.12679983228905384</v>
      </c>
      <c r="I24" s="42">
        <v>0.10395696096260397</v>
      </c>
      <c r="J24" s="42">
        <v>0.27379109158872678</v>
      </c>
      <c r="K24" s="42">
        <v>0.26052228725095594</v>
      </c>
      <c r="L24" s="42">
        <v>0.19132461418141217</v>
      </c>
      <c r="M24" s="42">
        <v>0.11377564233210419</v>
      </c>
      <c r="N24" s="42">
        <v>0.40191528677453936</v>
      </c>
      <c r="O24" s="42">
        <v>0.53836111948628096</v>
      </c>
      <c r="P24" s="42">
        <v>0.34586365616286557</v>
      </c>
      <c r="Q24" s="42">
        <v>0.35564515210584557</v>
      </c>
      <c r="R24" s="42">
        <v>0.57850243873526985</v>
      </c>
      <c r="S24" s="42">
        <v>0.22631370608462681</v>
      </c>
      <c r="T24" s="42">
        <v>0.34752863414802049</v>
      </c>
      <c r="U24" s="42">
        <v>0.35287001980719146</v>
      </c>
      <c r="V24" s="42">
        <v>0.59455949300927868</v>
      </c>
      <c r="W24" s="42">
        <v>0</v>
      </c>
    </row>
    <row r="25" spans="1:23" x14ac:dyDescent="0.25"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</row>
    <row r="26" spans="1:23" x14ac:dyDescent="0.25">
      <c r="A26" s="58"/>
      <c r="B26" s="58" t="s">
        <v>44</v>
      </c>
      <c r="C26" s="134">
        <v>0.27825175167781907</v>
      </c>
      <c r="D26" s="134">
        <v>0.35590142692598009</v>
      </c>
      <c r="E26" s="134">
        <v>0.42181901534694088</v>
      </c>
      <c r="F26" s="134">
        <v>0.12402926177506549</v>
      </c>
      <c r="G26" s="134">
        <v>0.30518346383651568</v>
      </c>
      <c r="H26" s="134">
        <v>0.3409910257604124</v>
      </c>
      <c r="I26" s="134">
        <v>0.39643756911539546</v>
      </c>
      <c r="J26" s="134">
        <v>0.21827345734798573</v>
      </c>
      <c r="K26" s="134">
        <v>0.20383501625101205</v>
      </c>
      <c r="L26" s="134">
        <v>0.40672595809181211</v>
      </c>
      <c r="M26" s="134">
        <v>0.22795468146228245</v>
      </c>
      <c r="N26" s="134">
        <v>0.37161070929079537</v>
      </c>
      <c r="O26" s="134">
        <v>0.21697131648853402</v>
      </c>
      <c r="P26" s="134">
        <v>8.4960478400288517E-2</v>
      </c>
      <c r="Q26" s="134">
        <v>0.28565598989522079</v>
      </c>
      <c r="R26" s="134">
        <v>5.1998046656641518E-2</v>
      </c>
      <c r="S26" s="134">
        <v>0.41360131316730797</v>
      </c>
      <c r="T26" s="134">
        <v>0.35822178427355567</v>
      </c>
      <c r="U26" s="134">
        <v>0.15824707891437004</v>
      </c>
      <c r="V26" s="134">
        <v>1.7556546139932145E-2</v>
      </c>
      <c r="W26" s="58"/>
    </row>
    <row r="27" spans="1:23" x14ac:dyDescent="0.25">
      <c r="B27" s="43" t="s">
        <v>25</v>
      </c>
      <c r="C27" s="42">
        <f>+'I-O condensed 2022'!C25/'I-O condensed 2022'!C32</f>
        <v>0.14647714279760066</v>
      </c>
      <c r="D27" s="42">
        <f>+'I-O condensed 2022'!D25/'I-O condensed 2022'!D32</f>
        <v>0.16658650723494675</v>
      </c>
      <c r="E27" s="42">
        <f>+'I-O condensed 2022'!E25/'I-O condensed 2022'!E32</f>
        <v>0.19551086740099252</v>
      </c>
      <c r="F27" s="42">
        <f>+'I-O condensed 2022'!F25/'I-O condensed 2022'!F32</f>
        <v>0.56539832425163561</v>
      </c>
      <c r="G27" s="42">
        <f>+'I-O condensed 2022'!G25/'I-O condensed 2022'!G32</f>
        <v>8.8925679543029906E-2</v>
      </c>
      <c r="H27" s="42">
        <f>+'I-O condensed 2022'!H25/'I-O condensed 2022'!H32</f>
        <v>0.21778640021496462</v>
      </c>
      <c r="I27" s="42">
        <f>+'I-O condensed 2022'!I25/'I-O condensed 2022'!I32</f>
        <v>5.7991365613074462E-2</v>
      </c>
      <c r="J27" s="42">
        <f>+'I-O condensed 2022'!J25/'I-O condensed 2022'!J32</f>
        <v>0.10396618659773262</v>
      </c>
      <c r="K27" s="42">
        <f>+'I-O condensed 2022'!K25/'I-O condensed 2022'!K32</f>
        <v>7.3560663782246516E-2</v>
      </c>
      <c r="L27" s="42">
        <f>+'I-O condensed 2022'!L25/'I-O condensed 2022'!L32</f>
        <v>0.10084900439356989</v>
      </c>
      <c r="M27" s="42">
        <f>+'I-O condensed 2022'!M25/'I-O condensed 2022'!M32</f>
        <v>2.6906714869957958E-2</v>
      </c>
      <c r="N27" s="42">
        <f>+'I-O condensed 2022'!N25/'I-O condensed 2022'!N32</f>
        <v>8.5261459052181549E-2</v>
      </c>
      <c r="O27" s="42">
        <f>+'I-O condensed 2022'!O25/'I-O condensed 2022'!O32</f>
        <v>3.4684707044385012E-2</v>
      </c>
      <c r="P27" s="42">
        <f>+'I-O condensed 2022'!P25/'I-O condensed 2022'!P32</f>
        <v>9.9132975781723552E-3</v>
      </c>
      <c r="Q27" s="42">
        <f>+'I-O condensed 2022'!Q25/'I-O condensed 2022'!Q32</f>
        <v>9.2692111566462884E-2</v>
      </c>
      <c r="R27" s="42">
        <f>+'I-O condensed 2022'!R25/'I-O condensed 2022'!R32</f>
        <v>1.1871293404439291E-2</v>
      </c>
      <c r="S27" s="42">
        <f>+'I-O condensed 2022'!S25/'I-O condensed 2022'!S32</f>
        <v>7.2464226519049366E-2</v>
      </c>
      <c r="T27" s="42">
        <f>+'I-O condensed 2022'!T25/'I-O condensed 2022'!T32</f>
        <v>0.15779803587993504</v>
      </c>
      <c r="U27" s="42">
        <f>+'I-O condensed 2022'!U25/'I-O condensed 2022'!U32</f>
        <v>5.8089821706206357E-2</v>
      </c>
      <c r="V27" s="42">
        <f>+'I-O condensed 2022'!V25/'I-O condensed 2022'!V32</f>
        <v>6.3290432299720556E-3</v>
      </c>
    </row>
    <row r="28" spans="1:23" x14ac:dyDescent="0.25">
      <c r="B28" s="43" t="s">
        <v>93</v>
      </c>
      <c r="C28" s="42">
        <f>+'I-O condensed 2022'!C31/'I-O condensed 2022'!C32</f>
        <v>0.57527110552458027</v>
      </c>
      <c r="D28" s="42">
        <f>+'I-O condensed 2022'!D31/'I-O condensed 2022'!D32</f>
        <v>0.47751206583907313</v>
      </c>
      <c r="E28" s="42">
        <f>+'I-O condensed 2022'!E31/'I-O condensed 2022'!E32</f>
        <v>0.38267011725206646</v>
      </c>
      <c r="F28" s="42">
        <f>+'I-O condensed 2022'!F31/'I-O condensed 2022'!F32</f>
        <v>0.31057241397329893</v>
      </c>
      <c r="G28" s="42">
        <f>+'I-O condensed 2022'!G31/'I-O condensed 2022'!G32</f>
        <v>0.60589085662045439</v>
      </c>
      <c r="H28" s="42">
        <f>+'I-O condensed 2022'!H31/'I-O condensed 2022'!H32</f>
        <v>0.44122257402462306</v>
      </c>
      <c r="I28" s="42">
        <f>+'I-O condensed 2022'!I31/'I-O condensed 2022'!I32</f>
        <v>0.54557106527152999</v>
      </c>
      <c r="J28" s="42">
        <f>+'I-O condensed 2022'!J31/'I-O condensed 2022'!J32</f>
        <v>0.67776035605428164</v>
      </c>
      <c r="K28" s="42">
        <f>+'I-O condensed 2022'!K31/'I-O condensed 2022'!K32</f>
        <v>0.72260431996674135</v>
      </c>
      <c r="L28" s="42">
        <f>+'I-O condensed 2022'!L31/'I-O condensed 2022'!L32</f>
        <v>0.49242503751461814</v>
      </c>
      <c r="M28" s="42">
        <f>+'I-O condensed 2022'!M31/'I-O condensed 2022'!M32</f>
        <v>0.74513860366775964</v>
      </c>
      <c r="N28" s="42">
        <f>+'I-O condensed 2022'!N31/'I-O condensed 2022'!N32</f>
        <v>0.54312783165702294</v>
      </c>
      <c r="O28" s="42">
        <f>+'I-O condensed 2022'!O31/'I-O condensed 2022'!O32</f>
        <v>0.74834397646708106</v>
      </c>
      <c r="P28" s="42">
        <f>+'I-O condensed 2022'!P31/'I-O condensed 2022'!P32</f>
        <v>0.90512622402153919</v>
      </c>
      <c r="Q28" s="42">
        <f>+'I-O condensed 2022'!Q31/'I-O condensed 2022'!Q32</f>
        <v>0.62165189853831615</v>
      </c>
      <c r="R28" s="42">
        <f>+'I-O condensed 2022'!R31/'I-O condensed 2022'!R32</f>
        <v>0.9361306599389192</v>
      </c>
      <c r="S28" s="42">
        <f>+'I-O condensed 2022'!S31/'I-O condensed 2022'!S32</f>
        <v>0.51393446031364276</v>
      </c>
      <c r="T28" s="42">
        <f>+'I-O condensed 2022'!T31/'I-O condensed 2022'!T32</f>
        <v>0.48398017984650926</v>
      </c>
      <c r="U28" s="42">
        <f>+'I-O condensed 2022'!U31/'I-O condensed 2022'!U32</f>
        <v>0.78366309937942358</v>
      </c>
      <c r="V28" s="42">
        <f>+'I-O condensed 2022'!V31/'I-O condensed 2022'!V32</f>
        <v>0.97611441063009574</v>
      </c>
      <c r="W28" s="42"/>
    </row>
    <row r="29" spans="1:23" x14ac:dyDescent="0.25">
      <c r="A29" s="135"/>
      <c r="B29" s="82" t="s">
        <v>89</v>
      </c>
      <c r="C29" s="136">
        <v>1</v>
      </c>
      <c r="D29" s="136">
        <v>1</v>
      </c>
      <c r="E29" s="136">
        <v>1</v>
      </c>
      <c r="F29" s="136">
        <v>1</v>
      </c>
      <c r="G29" s="136">
        <v>1</v>
      </c>
      <c r="H29" s="136">
        <v>1</v>
      </c>
      <c r="I29" s="136">
        <v>1</v>
      </c>
      <c r="J29" s="136">
        <v>1</v>
      </c>
      <c r="K29" s="136">
        <v>1</v>
      </c>
      <c r="L29" s="136">
        <v>1</v>
      </c>
      <c r="M29" s="136">
        <v>1</v>
      </c>
      <c r="N29" s="136">
        <v>1</v>
      </c>
      <c r="O29" s="136">
        <v>1</v>
      </c>
      <c r="P29" s="136">
        <v>1</v>
      </c>
      <c r="Q29" s="136">
        <v>1</v>
      </c>
      <c r="R29" s="136">
        <v>1</v>
      </c>
      <c r="S29" s="136">
        <v>1</v>
      </c>
      <c r="T29" s="136">
        <v>1</v>
      </c>
      <c r="U29" s="136">
        <v>1</v>
      </c>
      <c r="V29" s="136">
        <v>1</v>
      </c>
      <c r="W29" s="135"/>
    </row>
    <row r="30" spans="1:23" x14ac:dyDescent="0.25"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O117"/>
  <sheetViews>
    <sheetView zoomScale="94" zoomScaleNormal="94" workbookViewId="0">
      <pane xSplit="2" ySplit="3" topLeftCell="C4" activePane="bottomRight" state="frozen"/>
      <selection pane="topRight" activeCell="B1" sqref="B1"/>
      <selection pane="bottomLeft" activeCell="A4" sqref="A4"/>
      <selection pane="bottomRight" activeCell="G10" sqref="G10"/>
    </sheetView>
  </sheetViews>
  <sheetFormatPr defaultRowHeight="12.5" x14ac:dyDescent="0.25"/>
  <cols>
    <col min="1" max="1" width="3.08984375" style="46" customWidth="1"/>
    <col min="2" max="2" width="33.453125" style="46" customWidth="1"/>
    <col min="3" max="22" width="15.54296875" style="46" customWidth="1"/>
    <col min="23" max="23" width="12.7265625" style="46" customWidth="1"/>
    <col min="24" max="16384" width="8.7265625" style="46"/>
  </cols>
  <sheetData>
    <row r="1" spans="1:26" ht="13" x14ac:dyDescent="0.3">
      <c r="B1" s="45" t="s">
        <v>86</v>
      </c>
    </row>
    <row r="3" spans="1:26" s="48" customFormat="1" ht="37.5" x14ac:dyDescent="0.25">
      <c r="A3" s="47"/>
      <c r="B3" s="91" t="s">
        <v>0</v>
      </c>
      <c r="C3" s="47" t="s">
        <v>1</v>
      </c>
      <c r="D3" s="47" t="s">
        <v>2</v>
      </c>
      <c r="E3" s="47" t="s">
        <v>3</v>
      </c>
      <c r="F3" s="47" t="s">
        <v>4</v>
      </c>
      <c r="G3" s="47" t="s">
        <v>5</v>
      </c>
      <c r="H3" s="47" t="s">
        <v>6</v>
      </c>
      <c r="I3" s="47" t="s">
        <v>7</v>
      </c>
      <c r="J3" s="47" t="s">
        <v>8</v>
      </c>
      <c r="K3" s="47" t="s">
        <v>9</v>
      </c>
      <c r="L3" s="47" t="s">
        <v>10</v>
      </c>
      <c r="M3" s="47" t="s">
        <v>11</v>
      </c>
      <c r="N3" s="47" t="s">
        <v>12</v>
      </c>
      <c r="O3" s="47" t="s">
        <v>13</v>
      </c>
      <c r="P3" s="47" t="s">
        <v>14</v>
      </c>
      <c r="Q3" s="47" t="s">
        <v>15</v>
      </c>
      <c r="R3" s="47" t="s">
        <v>16</v>
      </c>
      <c r="S3" s="47" t="s">
        <v>39</v>
      </c>
      <c r="T3" s="47" t="s">
        <v>38</v>
      </c>
      <c r="U3" s="47" t="s">
        <v>17</v>
      </c>
      <c r="V3" s="47" t="s">
        <v>18</v>
      </c>
    </row>
    <row r="4" spans="1:26" x14ac:dyDescent="0.25">
      <c r="A4" s="46">
        <v>1</v>
      </c>
      <c r="B4" s="49" t="s">
        <v>1</v>
      </c>
      <c r="C4" s="50">
        <v>1.0769588505906034</v>
      </c>
      <c r="D4" s="50">
        <v>1.6198675645476075E-3</v>
      </c>
      <c r="E4" s="50">
        <v>8.3668909409881156E-2</v>
      </c>
      <c r="F4" s="50">
        <v>1.5746851412926318E-3</v>
      </c>
      <c r="G4" s="50">
        <v>5.8029952970112134E-4</v>
      </c>
      <c r="H4" s="50">
        <v>6.676508241995375E-4</v>
      </c>
      <c r="I4" s="50">
        <v>6.5627016820383229E-4</v>
      </c>
      <c r="J4" s="50">
        <v>4.6672610815507955E-4</v>
      </c>
      <c r="K4" s="50">
        <v>3.6683700375867529E-4</v>
      </c>
      <c r="L4" s="50">
        <v>7.170106896949933E-4</v>
      </c>
      <c r="M4" s="50">
        <v>1.9099347281958845E-3</v>
      </c>
      <c r="N4" s="50">
        <v>1.0391452283849563E-3</v>
      </c>
      <c r="O4" s="50">
        <v>4.597705679694934E-4</v>
      </c>
      <c r="P4" s="50">
        <v>2.7351386465793436E-4</v>
      </c>
      <c r="Q4" s="50">
        <v>1.2357502230807801E-3</v>
      </c>
      <c r="R4" s="50">
        <v>2.7185864838263061E-4</v>
      </c>
      <c r="S4" s="50">
        <v>7.3995756917378749E-4</v>
      </c>
      <c r="T4" s="50">
        <v>1.3591383942618374E-2</v>
      </c>
      <c r="U4" s="50">
        <v>7.1110488970521884E-4</v>
      </c>
      <c r="V4" s="50">
        <v>4.6307421129749903E-5</v>
      </c>
      <c r="W4" s="51"/>
      <c r="Z4" s="50"/>
    </row>
    <row r="5" spans="1:26" x14ac:dyDescent="0.25">
      <c r="A5" s="46">
        <v>2</v>
      </c>
      <c r="B5" s="49" t="s">
        <v>45</v>
      </c>
      <c r="C5" s="50">
        <v>2.9459187220454368E-2</v>
      </c>
      <c r="D5" s="50">
        <v>1.0104459861655977</v>
      </c>
      <c r="E5" s="50">
        <v>1.8109371047649342E-2</v>
      </c>
      <c r="F5" s="50">
        <v>3.8225392449143273E-3</v>
      </c>
      <c r="G5" s="50">
        <v>2.0738828592085191E-2</v>
      </c>
      <c r="H5" s="50">
        <v>1.2360429495525941E-2</v>
      </c>
      <c r="I5" s="50">
        <v>5.2859500955249633E-2</v>
      </c>
      <c r="J5" s="50">
        <v>8.5513640354309556E-3</v>
      </c>
      <c r="K5" s="50">
        <v>1.0456948212733382E-2</v>
      </c>
      <c r="L5" s="50">
        <v>1.4949310129625521E-2</v>
      </c>
      <c r="M5" s="50">
        <v>5.3027091746322634E-2</v>
      </c>
      <c r="N5" s="50">
        <v>1.6029869640839058E-2</v>
      </c>
      <c r="O5" s="50">
        <v>8.8791625252760686E-3</v>
      </c>
      <c r="P5" s="50">
        <v>1.1681706145661802E-2</v>
      </c>
      <c r="Q5" s="50">
        <v>1.0382032624775078E-2</v>
      </c>
      <c r="R5" s="50">
        <v>2.541375363652404E-3</v>
      </c>
      <c r="S5" s="50">
        <v>5.0350144502766661E-2</v>
      </c>
      <c r="T5" s="50">
        <v>3.3077098436735584E-2</v>
      </c>
      <c r="U5" s="50">
        <v>1.0188721344879973E-2</v>
      </c>
      <c r="V5" s="50">
        <v>2.6690577639676295E-3</v>
      </c>
      <c r="W5" s="51"/>
      <c r="Z5" s="50"/>
    </row>
    <row r="6" spans="1:26" x14ac:dyDescent="0.25">
      <c r="A6" s="46">
        <v>3</v>
      </c>
      <c r="B6" s="49" t="s">
        <v>3</v>
      </c>
      <c r="C6" s="50">
        <v>5.2619420008798538E-3</v>
      </c>
      <c r="D6" s="50">
        <v>1.1117597070340985E-3</v>
      </c>
      <c r="E6" s="50">
        <v>1.0296808648405835</v>
      </c>
      <c r="F6" s="50">
        <v>6.0990147150465088E-3</v>
      </c>
      <c r="G6" s="50">
        <v>1.6322096065947153E-3</v>
      </c>
      <c r="H6" s="50">
        <v>1.5876731183648077E-3</v>
      </c>
      <c r="I6" s="50">
        <v>1.7109338470246377E-3</v>
      </c>
      <c r="J6" s="50">
        <v>1.0509488043527991E-3</v>
      </c>
      <c r="K6" s="50">
        <v>6.2585888529544456E-4</v>
      </c>
      <c r="L6" s="50">
        <v>1.6180449229082228E-3</v>
      </c>
      <c r="M6" s="50">
        <v>4.1659615073646555E-4</v>
      </c>
      <c r="N6" s="50">
        <v>1.3314713146354729E-3</v>
      </c>
      <c r="O6" s="50">
        <v>6.0860197465759558E-4</v>
      </c>
      <c r="P6" s="50">
        <v>5.3275444441241765E-4</v>
      </c>
      <c r="Q6" s="50">
        <v>3.1245864886668665E-3</v>
      </c>
      <c r="R6" s="50">
        <v>3.0921005844430476E-4</v>
      </c>
      <c r="S6" s="50">
        <v>1.8668932207849991E-3</v>
      </c>
      <c r="T6" s="50">
        <v>3.7070223449425684E-2</v>
      </c>
      <c r="U6" s="50">
        <v>5.8581315088463272E-4</v>
      </c>
      <c r="V6" s="50">
        <v>1.3196348684311467E-4</v>
      </c>
      <c r="W6" s="51"/>
      <c r="Z6" s="50"/>
    </row>
    <row r="7" spans="1:26" x14ac:dyDescent="0.25">
      <c r="A7" s="46">
        <v>4</v>
      </c>
      <c r="B7" s="49" t="s">
        <v>4</v>
      </c>
      <c r="C7" s="50">
        <v>1.1099406709560451E-2</v>
      </c>
      <c r="D7" s="50">
        <v>4.9067184857091569E-3</v>
      </c>
      <c r="E7" s="50">
        <v>1.4249101757793424E-2</v>
      </c>
      <c r="F7" s="50">
        <v>1.0066941152665179</v>
      </c>
      <c r="G7" s="50">
        <v>1.3233320647738734E-2</v>
      </c>
      <c r="H7" s="50">
        <v>2.7972776538876306E-3</v>
      </c>
      <c r="I7" s="50">
        <v>0.12894754995354724</v>
      </c>
      <c r="J7" s="50">
        <v>2.8757185206454115E-3</v>
      </c>
      <c r="K7" s="50">
        <v>3.2265032068357013E-3</v>
      </c>
      <c r="L7" s="50">
        <v>2.8333320015924424E-3</v>
      </c>
      <c r="M7" s="50">
        <v>2.4169998220449213E-3</v>
      </c>
      <c r="N7" s="50">
        <v>3.6569907505621183E-3</v>
      </c>
      <c r="O7" s="50">
        <v>3.0288023965957546E-3</v>
      </c>
      <c r="P7" s="50">
        <v>8.990460393781839E-4</v>
      </c>
      <c r="Q7" s="50">
        <v>3.9403857475095597E-3</v>
      </c>
      <c r="R7" s="50">
        <v>8.7903938553850907E-4</v>
      </c>
      <c r="S7" s="50">
        <v>9.0684638958113666E-3</v>
      </c>
      <c r="T7" s="50">
        <v>1.7570616499692351E-2</v>
      </c>
      <c r="U7" s="50">
        <v>3.1477402107538272E-3</v>
      </c>
      <c r="V7" s="50">
        <v>3.901326407303065E-4</v>
      </c>
      <c r="W7" s="51"/>
      <c r="Z7" s="50"/>
    </row>
    <row r="8" spans="1:26" x14ac:dyDescent="0.25">
      <c r="A8" s="46">
        <v>5</v>
      </c>
      <c r="B8" s="49" t="s">
        <v>5</v>
      </c>
      <c r="C8" s="50">
        <v>6.6097746024602125E-2</v>
      </c>
      <c r="D8" s="50">
        <v>4.1831707315682969E-2</v>
      </c>
      <c r="E8" s="50">
        <v>3.1752377863235204E-2</v>
      </c>
      <c r="F8" s="50">
        <v>1.9747275207954964E-2</v>
      </c>
      <c r="G8" s="50">
        <v>1.0746560739695532</v>
      </c>
      <c r="H8" s="50">
        <v>3.3937904104810075E-2</v>
      </c>
      <c r="I8" s="50">
        <v>2.4349522167012048E-2</v>
      </c>
      <c r="J8" s="50">
        <v>2.1445149234891769E-2</v>
      </c>
      <c r="K8" s="50">
        <v>1.369312806188654E-2</v>
      </c>
      <c r="L8" s="50">
        <v>3.603907632832061E-2</v>
      </c>
      <c r="M8" s="50">
        <v>1.3926097601825753E-2</v>
      </c>
      <c r="N8" s="50">
        <v>6.847041542272872E-2</v>
      </c>
      <c r="O8" s="50">
        <v>2.483005373152573E-2</v>
      </c>
      <c r="P8" s="50">
        <v>9.3638153345746503E-3</v>
      </c>
      <c r="Q8" s="50">
        <v>1.7091987943474069E-2</v>
      </c>
      <c r="R8" s="50">
        <v>4.2171388161036391E-3</v>
      </c>
      <c r="S8" s="50">
        <v>3.6755313476137738E-2</v>
      </c>
      <c r="T8" s="50">
        <v>2.9567163998640345E-2</v>
      </c>
      <c r="U8" s="50">
        <v>1.9996960577277238E-2</v>
      </c>
      <c r="V8" s="50">
        <v>4.9285802798442815E-3</v>
      </c>
      <c r="W8" s="51"/>
      <c r="Z8" s="50"/>
    </row>
    <row r="9" spans="1:26" x14ac:dyDescent="0.25">
      <c r="A9" s="46">
        <v>6</v>
      </c>
      <c r="B9" s="49" t="s">
        <v>6</v>
      </c>
      <c r="C9" s="50">
        <v>3.4724117765349092E-3</v>
      </c>
      <c r="D9" s="50">
        <v>8.6783509118341928E-3</v>
      </c>
      <c r="E9" s="50">
        <v>7.1342694969480647E-3</v>
      </c>
      <c r="F9" s="50">
        <v>3.4494597566116589E-3</v>
      </c>
      <c r="G9" s="50">
        <v>8.834203456209588E-3</v>
      </c>
      <c r="H9" s="50">
        <v>1.0914413714340803</v>
      </c>
      <c r="I9" s="50">
        <v>5.5102203579969053E-3</v>
      </c>
      <c r="J9" s="50">
        <v>1.7571645162497252E-2</v>
      </c>
      <c r="K9" s="50">
        <v>9.2355136997186657E-3</v>
      </c>
      <c r="L9" s="50">
        <v>2.9722716966164672E-2</v>
      </c>
      <c r="M9" s="50">
        <v>6.2768658980802972E-3</v>
      </c>
      <c r="N9" s="50">
        <v>2.3056992279197275E-2</v>
      </c>
      <c r="O9" s="50">
        <v>1.1937770236895429E-2</v>
      </c>
      <c r="P9" s="50">
        <v>6.2706181700549306E-3</v>
      </c>
      <c r="Q9" s="50">
        <v>9.6595111343008317E-3</v>
      </c>
      <c r="R9" s="50">
        <v>2.1700253598106556E-3</v>
      </c>
      <c r="S9" s="50">
        <v>1.592229946505453E-2</v>
      </c>
      <c r="T9" s="50">
        <v>1.1455510341594555E-2</v>
      </c>
      <c r="U9" s="50">
        <v>7.7535490376169523E-3</v>
      </c>
      <c r="V9" s="50">
        <v>6.6761117505516473E-4</v>
      </c>
      <c r="W9" s="51"/>
      <c r="Z9" s="50"/>
    </row>
    <row r="10" spans="1:26" x14ac:dyDescent="0.25">
      <c r="A10" s="46">
        <v>7</v>
      </c>
      <c r="B10" s="49" t="s">
        <v>7</v>
      </c>
      <c r="C10" s="50">
        <v>1.6847425951785927E-2</v>
      </c>
      <c r="D10" s="50">
        <v>1.8012934441681467E-2</v>
      </c>
      <c r="E10" s="50">
        <v>2.8581793070923945E-2</v>
      </c>
      <c r="F10" s="50">
        <v>1.2992266012569212E-2</v>
      </c>
      <c r="G10" s="50">
        <v>7.3324452077759422E-3</v>
      </c>
      <c r="H10" s="50">
        <v>1.2672670879837509E-2</v>
      </c>
      <c r="I10" s="50">
        <v>1.0810535300395649</v>
      </c>
      <c r="J10" s="50">
        <v>1.1190660703903402E-2</v>
      </c>
      <c r="K10" s="50">
        <v>1.6945144019073106E-2</v>
      </c>
      <c r="L10" s="50">
        <v>1.2647902511815679E-2</v>
      </c>
      <c r="M10" s="50">
        <v>8.8098851023564306E-3</v>
      </c>
      <c r="N10" s="50">
        <v>1.7344003532056861E-2</v>
      </c>
      <c r="O10" s="50">
        <v>1.3098625379235843E-2</v>
      </c>
      <c r="P10" s="50">
        <v>4.0186510300260891E-3</v>
      </c>
      <c r="Q10" s="50">
        <v>2.0121515686140432E-2</v>
      </c>
      <c r="R10" s="50">
        <v>5.3102703519319998E-3</v>
      </c>
      <c r="S10" s="50">
        <v>5.9415077392407992E-2</v>
      </c>
      <c r="T10" s="50">
        <v>3.7223098045457897E-2</v>
      </c>
      <c r="U10" s="50">
        <v>1.7248983287225322E-2</v>
      </c>
      <c r="V10" s="50">
        <v>1.5795381804023982E-3</v>
      </c>
      <c r="W10" s="51"/>
      <c r="Z10" s="50"/>
    </row>
    <row r="11" spans="1:26" x14ac:dyDescent="0.25">
      <c r="A11" s="46">
        <v>8</v>
      </c>
      <c r="B11" s="49" t="s">
        <v>8</v>
      </c>
      <c r="C11" s="50">
        <v>2.9706161714437421E-2</v>
      </c>
      <c r="D11" s="50">
        <v>4.427488366568888E-2</v>
      </c>
      <c r="E11" s="50">
        <v>4.192316474721846E-2</v>
      </c>
      <c r="F11" s="50">
        <v>1.4619825333716689E-2</v>
      </c>
      <c r="G11" s="50">
        <v>1.4239591392623027E-2</v>
      </c>
      <c r="H11" s="50">
        <v>1.3152500664755954E-2</v>
      </c>
      <c r="I11" s="50">
        <v>1.282722291356796E-2</v>
      </c>
      <c r="J11" s="50">
        <v>1.0165480407888625</v>
      </c>
      <c r="K11" s="50">
        <v>4.0772200424928681E-3</v>
      </c>
      <c r="L11" s="50">
        <v>5.1935626329434239E-3</v>
      </c>
      <c r="M11" s="50">
        <v>6.3565995021269061E-3</v>
      </c>
      <c r="N11" s="50">
        <v>1.0103933249040848E-2</v>
      </c>
      <c r="O11" s="50">
        <v>6.4675219351473072E-3</v>
      </c>
      <c r="P11" s="50">
        <v>2.5905581508583729E-3</v>
      </c>
      <c r="Q11" s="50">
        <v>1.0337698038184647E-2</v>
      </c>
      <c r="R11" s="50">
        <v>1.3024314050352783E-3</v>
      </c>
      <c r="S11" s="50">
        <v>1.5772344777668808E-2</v>
      </c>
      <c r="T11" s="50">
        <v>3.416686254341357E-2</v>
      </c>
      <c r="U11" s="50">
        <v>6.0253771136635258E-3</v>
      </c>
      <c r="V11" s="50">
        <v>1.0912577992685246E-3</v>
      </c>
      <c r="W11" s="51"/>
      <c r="Z11" s="50"/>
    </row>
    <row r="12" spans="1:26" x14ac:dyDescent="0.25">
      <c r="A12" s="46">
        <v>9</v>
      </c>
      <c r="B12" s="49" t="s">
        <v>9</v>
      </c>
      <c r="C12" s="50">
        <v>1.2465348372871544E-2</v>
      </c>
      <c r="D12" s="50">
        <v>6.1619882032032919E-2</v>
      </c>
      <c r="E12" s="50">
        <v>1.6570448118783266E-2</v>
      </c>
      <c r="F12" s="50">
        <v>5.1185668428683252E-3</v>
      </c>
      <c r="G12" s="50">
        <v>4.1543774615962047E-3</v>
      </c>
      <c r="H12" s="50">
        <v>1.6800036357094667E-2</v>
      </c>
      <c r="I12" s="50">
        <v>9.5598685773733531E-3</v>
      </c>
      <c r="J12" s="50">
        <v>9.9352857983431193E-3</v>
      </c>
      <c r="K12" s="50">
        <v>1.0103168495861523</v>
      </c>
      <c r="L12" s="50">
        <v>5.7802826759970902E-3</v>
      </c>
      <c r="M12" s="50">
        <v>1.3706148468332957E-2</v>
      </c>
      <c r="N12" s="50">
        <v>1.7378280731051705E-2</v>
      </c>
      <c r="O12" s="50">
        <v>1.0977297069135224E-2</v>
      </c>
      <c r="P12" s="50">
        <v>1.5763515251202235E-3</v>
      </c>
      <c r="Q12" s="50">
        <v>6.8127321066647293E-3</v>
      </c>
      <c r="R12" s="50">
        <v>7.1087177593928425E-4</v>
      </c>
      <c r="S12" s="50">
        <v>9.3921432569312995E-3</v>
      </c>
      <c r="T12" s="50">
        <v>9.1373773389543337E-3</v>
      </c>
      <c r="U12" s="50">
        <v>7.94560084266944E-3</v>
      </c>
      <c r="V12" s="50">
        <v>2.7708166648829385E-4</v>
      </c>
      <c r="W12" s="51"/>
      <c r="Z12" s="50"/>
    </row>
    <row r="13" spans="1:26" x14ac:dyDescent="0.25">
      <c r="A13" s="46">
        <v>10</v>
      </c>
      <c r="B13" s="49" t="s">
        <v>10</v>
      </c>
      <c r="C13" s="50">
        <v>1.8433565989340053E-2</v>
      </c>
      <c r="D13" s="50">
        <v>2.5833563803555438E-2</v>
      </c>
      <c r="E13" s="50">
        <v>1.2163045004774081E-2</v>
      </c>
      <c r="F13" s="50">
        <v>7.5027418536295527E-3</v>
      </c>
      <c r="G13" s="50">
        <v>1.3213942456504165E-2</v>
      </c>
      <c r="H13" s="50">
        <v>2.9811415363667802E-2</v>
      </c>
      <c r="I13" s="50">
        <v>2.0882929313813834E-2</v>
      </c>
      <c r="J13" s="50">
        <v>1.7937332049390613E-2</v>
      </c>
      <c r="K13" s="50">
        <v>1.8779243230009238E-2</v>
      </c>
      <c r="L13" s="50">
        <v>1.1644469381631992</v>
      </c>
      <c r="M13" s="50">
        <v>5.0914370963179981E-2</v>
      </c>
      <c r="N13" s="50">
        <v>2.2114300278628474E-2</v>
      </c>
      <c r="O13" s="50">
        <v>1.2181671022179829E-2</v>
      </c>
      <c r="P13" s="50">
        <v>4.1664848284386777E-3</v>
      </c>
      <c r="Q13" s="50">
        <v>1.2237295010481293E-2</v>
      </c>
      <c r="R13" s="50">
        <v>2.2535250211078613E-3</v>
      </c>
      <c r="S13" s="50">
        <v>4.1563041521392806E-2</v>
      </c>
      <c r="T13" s="50">
        <v>2.0808455859766602E-2</v>
      </c>
      <c r="U13" s="50">
        <v>9.2832671499235922E-3</v>
      </c>
      <c r="V13" s="50">
        <v>7.6375286608050042E-4</v>
      </c>
      <c r="W13" s="51"/>
      <c r="Z13" s="50"/>
    </row>
    <row r="14" spans="1:26" x14ac:dyDescent="0.25">
      <c r="A14" s="46">
        <v>11</v>
      </c>
      <c r="B14" s="49" t="s">
        <v>11</v>
      </c>
      <c r="C14" s="50">
        <v>4.1527695637379541E-2</v>
      </c>
      <c r="D14" s="50">
        <v>7.7173382703213458E-2</v>
      </c>
      <c r="E14" s="50">
        <v>4.5009707499446876E-2</v>
      </c>
      <c r="F14" s="50">
        <v>1.5710819847969727E-2</v>
      </c>
      <c r="G14" s="50">
        <v>3.051974018862114E-2</v>
      </c>
      <c r="H14" s="50">
        <v>7.2495061312176048E-2</v>
      </c>
      <c r="I14" s="50">
        <v>2.401695790607894E-2</v>
      </c>
      <c r="J14" s="50">
        <v>4.5674253044173718E-2</v>
      </c>
      <c r="K14" s="50">
        <v>7.3317068554214021E-2</v>
      </c>
      <c r="L14" s="50">
        <v>5.8690193852968503E-2</v>
      </c>
      <c r="M14" s="50">
        <v>1.0443427576585389</v>
      </c>
      <c r="N14" s="50">
        <v>8.3510091330046915E-2</v>
      </c>
      <c r="O14" s="50">
        <v>4.4356384380819833E-2</v>
      </c>
      <c r="P14" s="50">
        <v>2.4510160488181117E-2</v>
      </c>
      <c r="Q14" s="50">
        <v>5.2968770901401695E-2</v>
      </c>
      <c r="R14" s="50">
        <v>8.4975328993957301E-3</v>
      </c>
      <c r="S14" s="50">
        <v>5.9732479876065704E-2</v>
      </c>
      <c r="T14" s="50">
        <v>6.149723101267978E-2</v>
      </c>
      <c r="U14" s="50">
        <v>3.9185898832395399E-2</v>
      </c>
      <c r="V14" s="50">
        <v>1.6186691979226079E-3</v>
      </c>
      <c r="W14" s="51"/>
      <c r="Z14" s="50"/>
    </row>
    <row r="15" spans="1:26" x14ac:dyDescent="0.25">
      <c r="A15" s="46">
        <v>12</v>
      </c>
      <c r="B15" s="49" t="s">
        <v>12</v>
      </c>
      <c r="C15" s="50">
        <v>1.2687676048922692E-2</v>
      </c>
      <c r="D15" s="50">
        <v>8.4607036853152434E-2</v>
      </c>
      <c r="E15" s="50">
        <v>2.5772237930244597E-2</v>
      </c>
      <c r="F15" s="50">
        <v>1.1531705330117731E-2</v>
      </c>
      <c r="G15" s="50">
        <v>2.7799152373065059E-2</v>
      </c>
      <c r="H15" s="50">
        <v>4.9929012729905409E-2</v>
      </c>
      <c r="I15" s="50">
        <v>4.8233305913209408E-2</v>
      </c>
      <c r="J15" s="50">
        <v>2.6457906221781426E-2</v>
      </c>
      <c r="K15" s="50">
        <v>1.9948593707172755E-2</v>
      </c>
      <c r="L15" s="50">
        <v>6.2424771251603291E-2</v>
      </c>
      <c r="M15" s="50">
        <v>2.2283056571058401E-2</v>
      </c>
      <c r="N15" s="50">
        <v>1.0888750855894787</v>
      </c>
      <c r="O15" s="50">
        <v>5.7712983826091177E-2</v>
      </c>
      <c r="P15" s="50">
        <v>8.7597339624313712E-3</v>
      </c>
      <c r="Q15" s="50">
        <v>3.9859334652364034E-2</v>
      </c>
      <c r="R15" s="50">
        <v>7.8864547533367742E-3</v>
      </c>
      <c r="S15" s="50">
        <v>5.6840223825164023E-2</v>
      </c>
      <c r="T15" s="50">
        <v>4.768684456318583E-2</v>
      </c>
      <c r="U15" s="50">
        <v>2.0913415816954051E-2</v>
      </c>
      <c r="V15" s="50">
        <v>1.9728217352223683E-3</v>
      </c>
      <c r="W15" s="51"/>
      <c r="Z15" s="50"/>
    </row>
    <row r="16" spans="1:26" x14ac:dyDescent="0.25">
      <c r="A16" s="46">
        <v>13</v>
      </c>
      <c r="B16" s="49" t="s">
        <v>13</v>
      </c>
      <c r="C16" s="50">
        <v>1.9713989395911017E-2</v>
      </c>
      <c r="D16" s="50">
        <v>3.6226421535014319E-2</v>
      </c>
      <c r="E16" s="50">
        <v>9.8444491834187048E-2</v>
      </c>
      <c r="F16" s="50">
        <v>2.0739156885529204E-2</v>
      </c>
      <c r="G16" s="50">
        <v>5.4035737160673676E-2</v>
      </c>
      <c r="H16" s="50">
        <v>4.2930489676537745E-2</v>
      </c>
      <c r="I16" s="50">
        <v>3.405420808076208E-2</v>
      </c>
      <c r="J16" s="50">
        <v>4.6280309083980828E-2</v>
      </c>
      <c r="K16" s="50">
        <v>3.0182105503440183E-2</v>
      </c>
      <c r="L16" s="50">
        <v>5.0007339775387322E-2</v>
      </c>
      <c r="M16" s="50">
        <v>2.4732844084527097E-2</v>
      </c>
      <c r="N16" s="50">
        <v>3.4425957315598082E-2</v>
      </c>
      <c r="O16" s="50">
        <v>1.0403499979064699</v>
      </c>
      <c r="P16" s="50">
        <v>1.0269534046342262E-2</v>
      </c>
      <c r="Q16" s="50">
        <v>5.1061195090399705E-2</v>
      </c>
      <c r="R16" s="50">
        <v>5.5433426573263363E-3</v>
      </c>
      <c r="S16" s="50">
        <v>9.8719042100622281E-2</v>
      </c>
      <c r="T16" s="50">
        <v>4.362015067255616E-2</v>
      </c>
      <c r="U16" s="50">
        <v>2.7190394247779789E-2</v>
      </c>
      <c r="V16" s="50">
        <v>2.3648993158073709E-3</v>
      </c>
      <c r="W16" s="51"/>
      <c r="Z16" s="50"/>
    </row>
    <row r="17" spans="1:249" x14ac:dyDescent="0.25">
      <c r="A17" s="46">
        <v>14</v>
      </c>
      <c r="B17" s="49" t="s">
        <v>14</v>
      </c>
      <c r="C17" s="50">
        <v>6.0175289884913509E-4</v>
      </c>
      <c r="D17" s="50">
        <v>1.2843772372117196E-3</v>
      </c>
      <c r="E17" s="50">
        <v>9.1524775851977152E-4</v>
      </c>
      <c r="F17" s="50">
        <v>1.7154380026846922E-3</v>
      </c>
      <c r="G17" s="50">
        <v>2.0227060347262479E-3</v>
      </c>
      <c r="H17" s="50">
        <v>6.9320187105043965E-3</v>
      </c>
      <c r="I17" s="50">
        <v>1.5372633799497246E-2</v>
      </c>
      <c r="J17" s="50">
        <v>1.1859355040401425E-3</v>
      </c>
      <c r="K17" s="50">
        <v>1.0304717202322064E-3</v>
      </c>
      <c r="L17" s="50">
        <v>1.0209993253936052E-2</v>
      </c>
      <c r="M17" s="50">
        <v>8.7534149676264531E-4</v>
      </c>
      <c r="N17" s="50">
        <v>2.4399258457080963E-3</v>
      </c>
      <c r="O17" s="50">
        <v>1.0709720285368934E-3</v>
      </c>
      <c r="P17" s="50">
        <v>1.0014676854265168</v>
      </c>
      <c r="Q17" s="50">
        <v>5.692721743797452E-3</v>
      </c>
      <c r="R17" s="50">
        <v>6.2020652278555312E-4</v>
      </c>
      <c r="S17" s="50">
        <v>1.7275370595665662E-3</v>
      </c>
      <c r="T17" s="50">
        <v>1.11464340504679E-3</v>
      </c>
      <c r="U17" s="50">
        <v>9.1828843492202305E-4</v>
      </c>
      <c r="V17" s="50">
        <v>1.1266183371085844E-4</v>
      </c>
      <c r="W17" s="51"/>
      <c r="Z17" s="50"/>
    </row>
    <row r="18" spans="1:249" x14ac:dyDescent="0.25">
      <c r="A18" s="46">
        <v>15</v>
      </c>
      <c r="B18" s="49" t="s">
        <v>15</v>
      </c>
      <c r="C18" s="50">
        <v>1.6654423173692042E-4</v>
      </c>
      <c r="D18" s="50">
        <v>3.1334510670716776E-4</v>
      </c>
      <c r="E18" s="50">
        <v>1.8474530784408965E-4</v>
      </c>
      <c r="F18" s="50">
        <v>9.113733194917311E-5</v>
      </c>
      <c r="G18" s="50">
        <v>1.8756988132699872E-3</v>
      </c>
      <c r="H18" s="50">
        <v>2.6429785488419602E-4</v>
      </c>
      <c r="I18" s="50">
        <v>2.7613361676576229E-4</v>
      </c>
      <c r="J18" s="50">
        <v>1.4206715279203505E-4</v>
      </c>
      <c r="K18" s="50">
        <v>1.2188005822955309E-4</v>
      </c>
      <c r="L18" s="50">
        <v>3.2609172411306609E-4</v>
      </c>
      <c r="M18" s="50">
        <v>1.5471999282239628E-4</v>
      </c>
      <c r="N18" s="50">
        <v>2.8056476237330514E-3</v>
      </c>
      <c r="O18" s="50">
        <v>5.45137936368388E-4</v>
      </c>
      <c r="P18" s="50">
        <v>5.7186455933063395E-3</v>
      </c>
      <c r="Q18" s="50">
        <v>1.0593499810108837</v>
      </c>
      <c r="R18" s="50">
        <v>1.5810888525482393E-3</v>
      </c>
      <c r="S18" s="50">
        <v>2.8598787333768074E-4</v>
      </c>
      <c r="T18" s="50">
        <v>2.1961056907304495E-4</v>
      </c>
      <c r="U18" s="50">
        <v>2.2017309005371113E-3</v>
      </c>
      <c r="V18" s="50">
        <v>8.6870839560914054E-4</v>
      </c>
      <c r="W18" s="51"/>
      <c r="Z18" s="50"/>
    </row>
    <row r="19" spans="1:249" x14ac:dyDescent="0.25">
      <c r="A19" s="46">
        <v>16</v>
      </c>
      <c r="B19" s="49" t="s">
        <v>16</v>
      </c>
      <c r="C19" s="50">
        <v>1.011638713495766E-3</v>
      </c>
      <c r="D19" s="50">
        <v>1.6264412076047799E-3</v>
      </c>
      <c r="E19" s="50">
        <v>2.791221160254142E-3</v>
      </c>
      <c r="F19" s="50">
        <v>7.7061398169424853E-4</v>
      </c>
      <c r="G19" s="50">
        <v>5.9307360124602319E-4</v>
      </c>
      <c r="H19" s="50">
        <v>3.6563117155122421E-3</v>
      </c>
      <c r="I19" s="50">
        <v>6.9677394295955401E-4</v>
      </c>
      <c r="J19" s="50">
        <v>2.4035097829607941E-4</v>
      </c>
      <c r="K19" s="50">
        <v>1.6250255066292048E-4</v>
      </c>
      <c r="L19" s="50">
        <v>4.3151950333581172E-4</v>
      </c>
      <c r="M19" s="50">
        <v>2.0002918216464896E-4</v>
      </c>
      <c r="N19" s="50">
        <v>3.8899655731637134E-4</v>
      </c>
      <c r="O19" s="50">
        <v>1.7044373152316167E-4</v>
      </c>
      <c r="P19" s="50">
        <v>3.2394410827341806E-4</v>
      </c>
      <c r="Q19" s="50">
        <v>3.0487883899585745E-4</v>
      </c>
      <c r="R19" s="50">
        <v>1.0077460863696153</v>
      </c>
      <c r="S19" s="50">
        <v>1.9010183366360504E-3</v>
      </c>
      <c r="T19" s="50">
        <v>4.7271810066162514E-3</v>
      </c>
      <c r="U19" s="50">
        <v>4.8248959095564163E-4</v>
      </c>
      <c r="V19" s="50">
        <v>2.4192738422552462E-5</v>
      </c>
      <c r="W19" s="51"/>
      <c r="Z19" s="50"/>
    </row>
    <row r="20" spans="1:249" x14ac:dyDescent="0.25">
      <c r="A20" s="46">
        <v>17</v>
      </c>
      <c r="B20" s="49" t="s">
        <v>39</v>
      </c>
      <c r="C20" s="50">
        <v>1.1523698664867178E-2</v>
      </c>
      <c r="D20" s="50">
        <v>3.5253482985428644E-2</v>
      </c>
      <c r="E20" s="50">
        <v>5.6921336772555266E-2</v>
      </c>
      <c r="F20" s="50">
        <v>1.7398505376907937E-2</v>
      </c>
      <c r="G20" s="50">
        <v>1.2814450005011082E-2</v>
      </c>
      <c r="H20" s="50">
        <v>3.0897443617275054E-2</v>
      </c>
      <c r="I20" s="50">
        <v>3.3810770379879264E-2</v>
      </c>
      <c r="J20" s="50">
        <v>3.7511474728500367E-2</v>
      </c>
      <c r="K20" s="50">
        <v>2.5738690862481726E-2</v>
      </c>
      <c r="L20" s="50">
        <v>7.0108132455648176E-2</v>
      </c>
      <c r="M20" s="50">
        <v>2.3101781632706195E-2</v>
      </c>
      <c r="N20" s="50">
        <v>8.8756898505346432E-2</v>
      </c>
      <c r="O20" s="50">
        <v>2.3530609501523348E-2</v>
      </c>
      <c r="P20" s="50">
        <v>8.6988091331970246E-3</v>
      </c>
      <c r="Q20" s="50">
        <v>4.3416408012776728E-2</v>
      </c>
      <c r="R20" s="50">
        <v>3.4341534707000737E-3</v>
      </c>
      <c r="S20" s="50">
        <v>1.0449474182153096</v>
      </c>
      <c r="T20" s="50">
        <v>4.1493731914655003E-2</v>
      </c>
      <c r="U20" s="50">
        <v>2.564010901397628E-2</v>
      </c>
      <c r="V20" s="50">
        <v>1.8851945460553055E-3</v>
      </c>
      <c r="W20" s="51"/>
      <c r="Z20" s="50"/>
    </row>
    <row r="21" spans="1:249" x14ac:dyDescent="0.25">
      <c r="A21" s="46">
        <v>18</v>
      </c>
      <c r="B21" s="49" t="s">
        <v>38</v>
      </c>
      <c r="C21" s="50">
        <v>1.0126983875046592E-2</v>
      </c>
      <c r="D21" s="50">
        <v>2.8671299922129835E-2</v>
      </c>
      <c r="E21" s="50">
        <v>5.0883128012320054E-2</v>
      </c>
      <c r="F21" s="50">
        <v>1.0685383424361197E-2</v>
      </c>
      <c r="G21" s="50">
        <v>3.2740543051350109E-2</v>
      </c>
      <c r="H21" s="50">
        <v>3.7063040105118336E-2</v>
      </c>
      <c r="I21" s="50">
        <v>2.6534138350298112E-2</v>
      </c>
      <c r="J21" s="50">
        <v>2.3233021165125732E-2</v>
      </c>
      <c r="K21" s="50">
        <v>1.5017511510987342E-2</v>
      </c>
      <c r="L21" s="50">
        <v>4.325296447796026E-2</v>
      </c>
      <c r="M21" s="50">
        <v>1.0303611140144008E-2</v>
      </c>
      <c r="N21" s="50">
        <v>2.8625136372883171E-2</v>
      </c>
      <c r="O21" s="50">
        <v>1.5547626597738114E-2</v>
      </c>
      <c r="P21" s="50">
        <v>1.398067156963311E-2</v>
      </c>
      <c r="Q21" s="50">
        <v>2.8576153263953394E-2</v>
      </c>
      <c r="R21" s="50">
        <v>6.7958110698538281E-3</v>
      </c>
      <c r="S21" s="50">
        <v>3.6981763929041969E-2</v>
      </c>
      <c r="T21" s="50">
        <v>1.0409853494835002</v>
      </c>
      <c r="U21" s="50">
        <v>8.6944432152549402E-3</v>
      </c>
      <c r="V21" s="50">
        <v>1.4205234996993667E-3</v>
      </c>
      <c r="W21" s="51"/>
      <c r="Z21" s="50"/>
    </row>
    <row r="22" spans="1:249" x14ac:dyDescent="0.25">
      <c r="A22" s="46">
        <v>19</v>
      </c>
      <c r="B22" s="49" t="s">
        <v>17</v>
      </c>
      <c r="C22" s="50">
        <v>2.7577721099893413E-3</v>
      </c>
      <c r="D22" s="50">
        <v>4.1454736200623255E-3</v>
      </c>
      <c r="E22" s="50">
        <v>6.7900529898658512E-3</v>
      </c>
      <c r="F22" s="50">
        <v>2.7443242930817974E-3</v>
      </c>
      <c r="G22" s="50">
        <v>3.6533090003800003E-3</v>
      </c>
      <c r="H22" s="50">
        <v>7.6027221073153824E-3</v>
      </c>
      <c r="I22" s="50">
        <v>2.2474892619409313E-3</v>
      </c>
      <c r="J22" s="50">
        <v>4.6295326583174123E-3</v>
      </c>
      <c r="K22" s="50">
        <v>4.1632884796776789E-3</v>
      </c>
      <c r="L22" s="50">
        <v>6.5319461091427038E-3</v>
      </c>
      <c r="M22" s="50">
        <v>2.4979859501144949E-2</v>
      </c>
      <c r="N22" s="50">
        <v>6.7245590880005875E-3</v>
      </c>
      <c r="O22" s="50">
        <v>5.6689822017074593E-3</v>
      </c>
      <c r="P22" s="50">
        <v>1.5508096039770743E-3</v>
      </c>
      <c r="Q22" s="50">
        <v>3.9461306812052475E-3</v>
      </c>
      <c r="R22" s="50">
        <v>1.3107585571414866E-3</v>
      </c>
      <c r="S22" s="50">
        <v>6.4893758273902773E-3</v>
      </c>
      <c r="T22" s="50">
        <v>5.4691513609714682E-3</v>
      </c>
      <c r="U22" s="50">
        <v>1.0050352168649961</v>
      </c>
      <c r="V22" s="50">
        <v>2.9975789446419666E-4</v>
      </c>
      <c r="W22" s="51"/>
      <c r="Z22" s="50"/>
    </row>
    <row r="23" spans="1:249" x14ac:dyDescent="0.25">
      <c r="A23" s="46">
        <v>20</v>
      </c>
      <c r="B23" s="49" t="s">
        <v>18</v>
      </c>
      <c r="C23" s="50">
        <v>1.6107097219053054E-2</v>
      </c>
      <c r="D23" s="50">
        <v>1.2003138741179933E-2</v>
      </c>
      <c r="E23" s="50">
        <v>1.9882705910454625E-2</v>
      </c>
      <c r="F23" s="50">
        <v>1.0075935218573574E-2</v>
      </c>
      <c r="G23" s="50">
        <v>7.7129431075557503E-2</v>
      </c>
      <c r="H23" s="50">
        <v>1.7388878587788852E-2</v>
      </c>
      <c r="I23" s="50">
        <v>1.9631094935031332E-2</v>
      </c>
      <c r="J23" s="50">
        <v>1.448801894879579E-2</v>
      </c>
      <c r="K23" s="50">
        <v>2.3496323047131035E-2</v>
      </c>
      <c r="L23" s="50">
        <v>2.7103332638180867E-2</v>
      </c>
      <c r="M23" s="50">
        <v>1.5222051012425752E-2</v>
      </c>
      <c r="N23" s="50">
        <v>2.0875309914396314E-2</v>
      </c>
      <c r="O23" s="50">
        <v>2.2069070886404203E-2</v>
      </c>
      <c r="P23" s="50">
        <v>3.8113556380182426E-3</v>
      </c>
      <c r="Q23" s="50">
        <v>2.1098960350910783E-2</v>
      </c>
      <c r="R23" s="50">
        <v>6.4677157570526573E-3</v>
      </c>
      <c r="S23" s="50">
        <v>3.7642389881073636E-2</v>
      </c>
      <c r="T23" s="50">
        <v>2.1269847121554563E-2</v>
      </c>
      <c r="U23" s="50">
        <v>9.8802664987059866E-3</v>
      </c>
      <c r="V23" s="50">
        <v>1.0017142771940368</v>
      </c>
      <c r="W23" s="51"/>
      <c r="Z23" s="50"/>
    </row>
    <row r="24" spans="1:249" ht="13" x14ac:dyDescent="0.3">
      <c r="A24" s="139"/>
      <c r="B24" s="138" t="s">
        <v>96</v>
      </c>
      <c r="C24" s="52">
        <f>+SUM(C4:C23)</f>
        <v>1.3860268951463217</v>
      </c>
      <c r="D24" s="52">
        <f t="shared" ref="D24:V24" si="0">+SUM(D4:D23)</f>
        <v>1.4996400540050692</v>
      </c>
      <c r="E24" s="52">
        <f t="shared" si="0"/>
        <v>1.5914282205334827</v>
      </c>
      <c r="F24" s="52">
        <f t="shared" si="0"/>
        <v>1.1730835090679912</v>
      </c>
      <c r="G24" s="52">
        <f t="shared" si="0"/>
        <v>1.4017991336242828</v>
      </c>
      <c r="H24" s="52">
        <f t="shared" si="0"/>
        <v>1.4843882063132416</v>
      </c>
      <c r="I24" s="52">
        <f t="shared" si="0"/>
        <v>1.5432310544797769</v>
      </c>
      <c r="J24" s="52">
        <f t="shared" si="0"/>
        <v>1.3074157406922762</v>
      </c>
      <c r="K24" s="52">
        <f t="shared" si="0"/>
        <v>1.2809016819421855</v>
      </c>
      <c r="L24" s="52">
        <f t="shared" si="0"/>
        <v>1.6030344620645378</v>
      </c>
      <c r="M24" s="52">
        <f t="shared" si="0"/>
        <v>1.3239566422554971</v>
      </c>
      <c r="N24" s="52">
        <f t="shared" si="0"/>
        <v>1.5379530105696331</v>
      </c>
      <c r="O24" s="52">
        <f t="shared" si="0"/>
        <v>1.3034914858358007</v>
      </c>
      <c r="P24" s="52">
        <f t="shared" si="0"/>
        <v>1.1204648491030598</v>
      </c>
      <c r="Q24" s="52">
        <f t="shared" si="0"/>
        <v>1.401218029549967</v>
      </c>
      <c r="R24" s="52">
        <f t="shared" si="0"/>
        <v>1.0698488970957025</v>
      </c>
      <c r="S24" s="52">
        <f t="shared" si="0"/>
        <v>1.5861129160023377</v>
      </c>
      <c r="T24" s="52">
        <f t="shared" si="0"/>
        <v>1.5117515315661385</v>
      </c>
      <c r="U24" s="52">
        <f t="shared" si="0"/>
        <v>1.2230293710210769</v>
      </c>
      <c r="V24" s="52">
        <f t="shared" si="0"/>
        <v>1.0248269896307605</v>
      </c>
    </row>
    <row r="25" spans="1:249" x14ac:dyDescent="0.25"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  <c r="DB25" s="53"/>
      <c r="DC25" s="53"/>
      <c r="DD25" s="53"/>
      <c r="DE25" s="53"/>
      <c r="DF25" s="53"/>
      <c r="DG25" s="53"/>
      <c r="DH25" s="53"/>
      <c r="DI25" s="53"/>
      <c r="DJ25" s="53"/>
      <c r="DK25" s="53"/>
      <c r="DL25" s="53"/>
      <c r="DM25" s="53"/>
      <c r="DN25" s="53"/>
      <c r="DO25" s="53"/>
      <c r="DP25" s="53"/>
      <c r="DQ25" s="53"/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  <c r="EV25" s="53"/>
      <c r="EW25" s="53"/>
      <c r="EX25" s="53"/>
      <c r="EY25" s="53"/>
      <c r="EZ25" s="53"/>
      <c r="FA25" s="53"/>
      <c r="FB25" s="53"/>
      <c r="FC25" s="53"/>
      <c r="FD25" s="53"/>
      <c r="FE25" s="53"/>
      <c r="FF25" s="53"/>
      <c r="FG25" s="53"/>
      <c r="FH25" s="53"/>
      <c r="FI25" s="53"/>
      <c r="FJ25" s="53"/>
      <c r="FK25" s="53"/>
      <c r="FL25" s="53"/>
      <c r="FM25" s="53"/>
      <c r="FN25" s="53"/>
      <c r="FO25" s="53"/>
      <c r="FP25" s="53"/>
      <c r="FQ25" s="53"/>
      <c r="FR25" s="53"/>
      <c r="FS25" s="53"/>
      <c r="FT25" s="53"/>
      <c r="FU25" s="53"/>
      <c r="FV25" s="53"/>
      <c r="FW25" s="53"/>
      <c r="FX25" s="53"/>
      <c r="FY25" s="53"/>
      <c r="FZ25" s="53"/>
      <c r="GA25" s="53"/>
      <c r="GB25" s="53"/>
      <c r="GC25" s="53"/>
      <c r="GD25" s="53"/>
      <c r="GE25" s="53"/>
      <c r="GF25" s="53"/>
      <c r="GG25" s="53"/>
      <c r="GH25" s="53"/>
      <c r="GI25" s="53"/>
      <c r="GJ25" s="53"/>
      <c r="GK25" s="53"/>
      <c r="GL25" s="53"/>
      <c r="GM25" s="53"/>
      <c r="GN25" s="53"/>
      <c r="GO25" s="53"/>
      <c r="GP25" s="53"/>
      <c r="GQ25" s="53"/>
      <c r="GR25" s="53"/>
      <c r="GS25" s="53"/>
      <c r="GT25" s="53"/>
      <c r="GU25" s="53"/>
      <c r="GV25" s="53"/>
      <c r="GW25" s="53"/>
      <c r="GX25" s="53"/>
      <c r="GY25" s="53"/>
      <c r="GZ25" s="53"/>
      <c r="HA25" s="53"/>
      <c r="HB25" s="53"/>
      <c r="HC25" s="53"/>
      <c r="HD25" s="53"/>
      <c r="HE25" s="53"/>
      <c r="HF25" s="53"/>
      <c r="HG25" s="53"/>
      <c r="HH25" s="53"/>
      <c r="HI25" s="53"/>
      <c r="HJ25" s="53"/>
      <c r="HK25" s="53"/>
      <c r="HL25" s="53"/>
      <c r="HM25" s="53"/>
      <c r="HN25" s="53"/>
      <c r="HO25" s="53"/>
      <c r="HP25" s="53"/>
      <c r="HQ25" s="53"/>
      <c r="HR25" s="53"/>
      <c r="HS25" s="53"/>
      <c r="HT25" s="53"/>
      <c r="HU25" s="53"/>
      <c r="HV25" s="53"/>
      <c r="HW25" s="53"/>
      <c r="HX25" s="53"/>
      <c r="HY25" s="53"/>
      <c r="HZ25" s="53"/>
      <c r="IA25" s="53"/>
      <c r="IB25" s="53"/>
      <c r="IC25" s="53"/>
      <c r="ID25" s="53"/>
      <c r="IE25" s="53"/>
      <c r="IF25" s="53"/>
      <c r="IG25" s="53"/>
      <c r="IH25" s="53"/>
      <c r="II25" s="53"/>
      <c r="IJ25" s="53"/>
      <c r="IK25" s="53"/>
      <c r="IL25" s="53"/>
      <c r="IM25" s="53"/>
      <c r="IN25" s="53"/>
      <c r="IO25" s="53"/>
    </row>
    <row r="28" spans="1:249" x14ac:dyDescent="0.25">
      <c r="A28" s="47"/>
      <c r="B28" s="91" t="s">
        <v>0</v>
      </c>
      <c r="C28" s="47" t="s">
        <v>1</v>
      </c>
      <c r="D28" s="47" t="s">
        <v>2</v>
      </c>
      <c r="E28" s="47" t="s">
        <v>3</v>
      </c>
      <c r="F28" s="47" t="s">
        <v>4</v>
      </c>
      <c r="G28" s="47" t="s">
        <v>5</v>
      </c>
    </row>
    <row r="29" spans="1:249" x14ac:dyDescent="0.25">
      <c r="A29" s="46">
        <v>1</v>
      </c>
      <c r="B29" s="49" t="s">
        <v>1</v>
      </c>
      <c r="C29" s="50">
        <v>1.0769588505906034</v>
      </c>
      <c r="D29" s="50">
        <v>1.6198675645476075E-3</v>
      </c>
      <c r="E29" s="50">
        <v>8.3668909409881156E-2</v>
      </c>
      <c r="F29" s="50">
        <v>1.5746851412926318E-3</v>
      </c>
      <c r="G29" s="50">
        <v>5.8029952970112134E-4</v>
      </c>
    </row>
    <row r="30" spans="1:249" x14ac:dyDescent="0.25">
      <c r="A30" s="46">
        <v>2</v>
      </c>
      <c r="B30" s="49" t="s">
        <v>45</v>
      </c>
      <c r="C30" s="50">
        <v>2.9459187220454368E-2</v>
      </c>
      <c r="D30" s="50">
        <v>1.0104459861655977</v>
      </c>
      <c r="E30" s="50">
        <v>1.8109371047649342E-2</v>
      </c>
      <c r="F30" s="50">
        <v>3.8225392449143273E-3</v>
      </c>
      <c r="G30" s="50">
        <v>2.0738828592085191E-2</v>
      </c>
    </row>
    <row r="31" spans="1:249" x14ac:dyDescent="0.25">
      <c r="A31" s="46">
        <v>3</v>
      </c>
      <c r="B31" s="49" t="s">
        <v>3</v>
      </c>
      <c r="C31" s="50">
        <v>5.2619420008798538E-3</v>
      </c>
      <c r="D31" s="50">
        <v>1.1117597070340985E-3</v>
      </c>
      <c r="E31" s="50">
        <v>1.0296808648405835</v>
      </c>
      <c r="F31" s="50">
        <v>6.0990147150465088E-3</v>
      </c>
      <c r="G31" s="50">
        <v>1.6322096065947153E-3</v>
      </c>
    </row>
    <row r="32" spans="1:249" x14ac:dyDescent="0.25">
      <c r="A32" s="46">
        <v>4</v>
      </c>
      <c r="B32" s="49" t="s">
        <v>4</v>
      </c>
      <c r="C32" s="50">
        <v>1.1099406709560451E-2</v>
      </c>
      <c r="D32" s="50">
        <v>4.9067184857091569E-3</v>
      </c>
      <c r="E32" s="50">
        <v>1.4249101757793424E-2</v>
      </c>
      <c r="F32" s="50">
        <v>1.0066941152665179</v>
      </c>
      <c r="G32" s="50">
        <v>1.3233320647738734E-2</v>
      </c>
    </row>
    <row r="33" spans="1:7" x14ac:dyDescent="0.25">
      <c r="A33" s="46">
        <v>5</v>
      </c>
      <c r="B33" s="49" t="s">
        <v>5</v>
      </c>
      <c r="C33" s="50">
        <v>6.6097746024602125E-2</v>
      </c>
      <c r="D33" s="50">
        <v>4.1831707315682969E-2</v>
      </c>
      <c r="E33" s="50">
        <v>3.1752377863235204E-2</v>
      </c>
      <c r="F33" s="50">
        <v>1.9747275207954964E-2</v>
      </c>
      <c r="G33" s="50">
        <v>1.0746560739695532</v>
      </c>
    </row>
    <row r="34" spans="1:7" x14ac:dyDescent="0.25">
      <c r="A34" s="46">
        <v>6</v>
      </c>
      <c r="B34" s="49" t="s">
        <v>6</v>
      </c>
      <c r="C34" s="50">
        <v>3.4724117765349092E-3</v>
      </c>
      <c r="D34" s="50">
        <v>8.6783509118341928E-3</v>
      </c>
      <c r="E34" s="50">
        <v>7.1342694969480647E-3</v>
      </c>
      <c r="F34" s="50">
        <v>3.4494597566116589E-3</v>
      </c>
      <c r="G34" s="50">
        <v>8.834203456209588E-3</v>
      </c>
    </row>
    <row r="35" spans="1:7" x14ac:dyDescent="0.25">
      <c r="A35" s="46">
        <v>7</v>
      </c>
      <c r="B35" s="49" t="s">
        <v>7</v>
      </c>
      <c r="C35" s="50">
        <v>1.6847425951785927E-2</v>
      </c>
      <c r="D35" s="50">
        <v>1.8012934441681467E-2</v>
      </c>
      <c r="E35" s="50">
        <v>2.8581793070923945E-2</v>
      </c>
      <c r="F35" s="50">
        <v>1.2992266012569212E-2</v>
      </c>
      <c r="G35" s="50">
        <v>7.3324452077759422E-3</v>
      </c>
    </row>
    <row r="36" spans="1:7" x14ac:dyDescent="0.25">
      <c r="A36" s="46">
        <v>8</v>
      </c>
      <c r="B36" s="49" t="s">
        <v>8</v>
      </c>
      <c r="C36" s="50">
        <v>2.9706161714437421E-2</v>
      </c>
      <c r="D36" s="50">
        <v>4.427488366568888E-2</v>
      </c>
      <c r="E36" s="50">
        <v>4.192316474721846E-2</v>
      </c>
      <c r="F36" s="50">
        <v>1.4619825333716689E-2</v>
      </c>
      <c r="G36" s="50">
        <v>1.4239591392623027E-2</v>
      </c>
    </row>
    <row r="37" spans="1:7" x14ac:dyDescent="0.25">
      <c r="A37" s="46">
        <v>9</v>
      </c>
      <c r="B37" s="49" t="s">
        <v>9</v>
      </c>
      <c r="C37" s="50">
        <v>1.2465348372871544E-2</v>
      </c>
      <c r="D37" s="50">
        <v>6.1619882032032919E-2</v>
      </c>
      <c r="E37" s="50">
        <v>1.6570448118783266E-2</v>
      </c>
      <c r="F37" s="50">
        <v>5.1185668428683252E-3</v>
      </c>
      <c r="G37" s="50">
        <v>4.1543774615962047E-3</v>
      </c>
    </row>
    <row r="38" spans="1:7" x14ac:dyDescent="0.25">
      <c r="A38" s="46">
        <v>10</v>
      </c>
      <c r="B38" s="49" t="s">
        <v>10</v>
      </c>
      <c r="C38" s="50">
        <v>1.8433565989340053E-2</v>
      </c>
      <c r="D38" s="50">
        <v>2.5833563803555438E-2</v>
      </c>
      <c r="E38" s="50">
        <v>1.2163045004774081E-2</v>
      </c>
      <c r="F38" s="50">
        <v>7.5027418536295527E-3</v>
      </c>
      <c r="G38" s="50">
        <v>1.3213942456504165E-2</v>
      </c>
    </row>
    <row r="39" spans="1:7" x14ac:dyDescent="0.25">
      <c r="A39" s="46">
        <v>11</v>
      </c>
      <c r="B39" s="49" t="s">
        <v>11</v>
      </c>
      <c r="C39" s="50">
        <v>4.1527695637379541E-2</v>
      </c>
      <c r="D39" s="50">
        <v>7.7173382703213458E-2</v>
      </c>
      <c r="E39" s="50">
        <v>4.5009707499446876E-2</v>
      </c>
      <c r="F39" s="50">
        <v>1.5710819847969727E-2</v>
      </c>
      <c r="G39" s="50">
        <v>3.051974018862114E-2</v>
      </c>
    </row>
    <row r="40" spans="1:7" x14ac:dyDescent="0.25">
      <c r="A40" s="46">
        <v>12</v>
      </c>
      <c r="B40" s="49" t="s">
        <v>12</v>
      </c>
      <c r="C40" s="50">
        <v>1.2687676048922692E-2</v>
      </c>
      <c r="D40" s="50">
        <v>8.4607036853152434E-2</v>
      </c>
      <c r="E40" s="50">
        <v>2.5772237930244597E-2</v>
      </c>
      <c r="F40" s="50">
        <v>1.1531705330117731E-2</v>
      </c>
      <c r="G40" s="50">
        <v>2.7799152373065059E-2</v>
      </c>
    </row>
    <row r="41" spans="1:7" x14ac:dyDescent="0.25">
      <c r="A41" s="46">
        <v>13</v>
      </c>
      <c r="B41" s="49" t="s">
        <v>13</v>
      </c>
      <c r="C41" s="50">
        <v>1.9713989395911017E-2</v>
      </c>
      <c r="D41" s="50">
        <v>3.6226421535014319E-2</v>
      </c>
      <c r="E41" s="50">
        <v>9.8444491834187048E-2</v>
      </c>
      <c r="F41" s="50">
        <v>2.0739156885529204E-2</v>
      </c>
      <c r="G41" s="50">
        <v>5.4035737160673676E-2</v>
      </c>
    </row>
    <row r="42" spans="1:7" x14ac:dyDescent="0.25">
      <c r="A42" s="46">
        <v>14</v>
      </c>
      <c r="B42" s="49" t="s">
        <v>14</v>
      </c>
      <c r="C42" s="50">
        <v>6.0175289884913509E-4</v>
      </c>
      <c r="D42" s="50">
        <v>1.2843772372117196E-3</v>
      </c>
      <c r="E42" s="50">
        <v>9.1524775851977152E-4</v>
      </c>
      <c r="F42" s="50">
        <v>1.7154380026846922E-3</v>
      </c>
      <c r="G42" s="50">
        <v>2.0227060347262479E-3</v>
      </c>
    </row>
    <row r="43" spans="1:7" x14ac:dyDescent="0.25">
      <c r="A43" s="46">
        <v>15</v>
      </c>
      <c r="B43" s="49" t="s">
        <v>15</v>
      </c>
      <c r="C43" s="50">
        <v>1.6654423173692042E-4</v>
      </c>
      <c r="D43" s="50">
        <v>3.1334510670716776E-4</v>
      </c>
      <c r="E43" s="50">
        <v>1.8474530784408965E-4</v>
      </c>
      <c r="F43" s="50">
        <v>9.113733194917311E-5</v>
      </c>
      <c r="G43" s="50">
        <v>1.8756988132699872E-3</v>
      </c>
    </row>
    <row r="44" spans="1:7" x14ac:dyDescent="0.25">
      <c r="A44" s="46">
        <v>16</v>
      </c>
      <c r="B44" s="49" t="s">
        <v>16</v>
      </c>
      <c r="C44" s="50">
        <v>1.011638713495766E-3</v>
      </c>
      <c r="D44" s="50">
        <v>1.6264412076047799E-3</v>
      </c>
      <c r="E44" s="50">
        <v>2.791221160254142E-3</v>
      </c>
      <c r="F44" s="50">
        <v>7.7061398169424853E-4</v>
      </c>
      <c r="G44" s="50">
        <v>5.9307360124602319E-4</v>
      </c>
    </row>
    <row r="45" spans="1:7" x14ac:dyDescent="0.25">
      <c r="A45" s="46">
        <v>17</v>
      </c>
      <c r="B45" s="49" t="s">
        <v>39</v>
      </c>
      <c r="C45" s="50">
        <v>1.1523698664867178E-2</v>
      </c>
      <c r="D45" s="50">
        <v>3.5253482985428644E-2</v>
      </c>
      <c r="E45" s="50">
        <v>5.6921336772555266E-2</v>
      </c>
      <c r="F45" s="50">
        <v>1.7398505376907937E-2</v>
      </c>
      <c r="G45" s="50">
        <v>1.2814450005011082E-2</v>
      </c>
    </row>
    <row r="46" spans="1:7" x14ac:dyDescent="0.25">
      <c r="A46" s="46">
        <v>18</v>
      </c>
      <c r="B46" s="49" t="s">
        <v>38</v>
      </c>
      <c r="C46" s="50">
        <v>1.0126983875046592E-2</v>
      </c>
      <c r="D46" s="50">
        <v>2.8671299922129835E-2</v>
      </c>
      <c r="E46" s="50">
        <v>5.0883128012320054E-2</v>
      </c>
      <c r="F46" s="50">
        <v>1.0685383424361197E-2</v>
      </c>
      <c r="G46" s="50">
        <v>3.2740543051350109E-2</v>
      </c>
    </row>
    <row r="47" spans="1:7" x14ac:dyDescent="0.25">
      <c r="A47" s="46">
        <v>19</v>
      </c>
      <c r="B47" s="49" t="s">
        <v>17</v>
      </c>
      <c r="C47" s="50">
        <v>2.7577721099893413E-3</v>
      </c>
      <c r="D47" s="50">
        <v>4.1454736200623255E-3</v>
      </c>
      <c r="E47" s="50">
        <v>6.7900529898658512E-3</v>
      </c>
      <c r="F47" s="50">
        <v>2.7443242930817974E-3</v>
      </c>
      <c r="G47" s="50">
        <v>3.6533090003800003E-3</v>
      </c>
    </row>
    <row r="48" spans="1:7" x14ac:dyDescent="0.25">
      <c r="A48" s="46">
        <v>20</v>
      </c>
      <c r="B48" s="49" t="s">
        <v>18</v>
      </c>
      <c r="C48" s="50">
        <v>1.6107097219053054E-2</v>
      </c>
      <c r="D48" s="50">
        <v>1.2003138741179933E-2</v>
      </c>
      <c r="E48" s="50">
        <v>1.9882705910454625E-2</v>
      </c>
      <c r="F48" s="50">
        <v>1.0075935218573574E-2</v>
      </c>
      <c r="G48" s="50">
        <v>7.7129431075557503E-2</v>
      </c>
    </row>
    <row r="49" spans="1:7" ht="13" x14ac:dyDescent="0.3">
      <c r="A49" s="139"/>
      <c r="B49" s="138" t="s">
        <v>96</v>
      </c>
      <c r="C49" s="52">
        <f>+SUM(C29:C48)</f>
        <v>1.3860268951463217</v>
      </c>
      <c r="D49" s="52">
        <f t="shared" ref="D49:G49" si="1">+SUM(D29:D48)</f>
        <v>1.4996400540050692</v>
      </c>
      <c r="E49" s="52">
        <f t="shared" si="1"/>
        <v>1.5914282205334827</v>
      </c>
      <c r="F49" s="52">
        <f t="shared" si="1"/>
        <v>1.1730835090679912</v>
      </c>
      <c r="G49" s="52">
        <f t="shared" si="1"/>
        <v>1.4017991336242828</v>
      </c>
    </row>
    <row r="50" spans="1:7" ht="25" x14ac:dyDescent="0.25">
      <c r="A50" s="47"/>
      <c r="B50" s="91" t="s">
        <v>0</v>
      </c>
      <c r="C50" s="47" t="s">
        <v>6</v>
      </c>
      <c r="D50" s="47" t="s">
        <v>7</v>
      </c>
      <c r="E50" s="47" t="s">
        <v>8</v>
      </c>
      <c r="F50" s="47" t="s">
        <v>9</v>
      </c>
      <c r="G50" s="47" t="s">
        <v>10</v>
      </c>
    </row>
    <row r="51" spans="1:7" x14ac:dyDescent="0.25">
      <c r="A51" s="46">
        <v>1</v>
      </c>
      <c r="B51" s="49" t="s">
        <v>1</v>
      </c>
      <c r="C51" s="50">
        <v>6.676508241995375E-4</v>
      </c>
      <c r="D51" s="50">
        <v>6.5627016820383229E-4</v>
      </c>
      <c r="E51" s="50">
        <v>4.6672610815507955E-4</v>
      </c>
      <c r="F51" s="50">
        <v>3.6683700375867529E-4</v>
      </c>
      <c r="G51" s="50">
        <v>7.170106896949933E-4</v>
      </c>
    </row>
    <row r="52" spans="1:7" x14ac:dyDescent="0.25">
      <c r="A52" s="46">
        <v>2</v>
      </c>
      <c r="B52" s="49" t="s">
        <v>45</v>
      </c>
      <c r="C52" s="50">
        <v>1.2360429495525941E-2</v>
      </c>
      <c r="D52" s="50">
        <v>5.2859500955249633E-2</v>
      </c>
      <c r="E52" s="50">
        <v>8.5513640354309556E-3</v>
      </c>
      <c r="F52" s="50">
        <v>1.0456948212733382E-2</v>
      </c>
      <c r="G52" s="50">
        <v>1.4949310129625521E-2</v>
      </c>
    </row>
    <row r="53" spans="1:7" x14ac:dyDescent="0.25">
      <c r="A53" s="46">
        <v>3</v>
      </c>
      <c r="B53" s="49" t="s">
        <v>3</v>
      </c>
      <c r="C53" s="50">
        <v>1.5876731183648077E-3</v>
      </c>
      <c r="D53" s="50">
        <v>1.7109338470246377E-3</v>
      </c>
      <c r="E53" s="50">
        <v>1.0509488043527991E-3</v>
      </c>
      <c r="F53" s="50">
        <v>6.2585888529544456E-4</v>
      </c>
      <c r="G53" s="50">
        <v>1.6180449229082228E-3</v>
      </c>
    </row>
    <row r="54" spans="1:7" x14ac:dyDescent="0.25">
      <c r="A54" s="46">
        <v>4</v>
      </c>
      <c r="B54" s="49" t="s">
        <v>4</v>
      </c>
      <c r="C54" s="50">
        <v>2.7972776538876306E-3</v>
      </c>
      <c r="D54" s="50">
        <v>0.12894754995354724</v>
      </c>
      <c r="E54" s="50">
        <v>2.8757185206454115E-3</v>
      </c>
      <c r="F54" s="50">
        <v>3.2265032068357013E-3</v>
      </c>
      <c r="G54" s="50">
        <v>2.8333320015924424E-3</v>
      </c>
    </row>
    <row r="55" spans="1:7" x14ac:dyDescent="0.25">
      <c r="A55" s="46">
        <v>5</v>
      </c>
      <c r="B55" s="49" t="s">
        <v>5</v>
      </c>
      <c r="C55" s="50">
        <v>3.3937904104810075E-2</v>
      </c>
      <c r="D55" s="50">
        <v>2.4349522167012048E-2</v>
      </c>
      <c r="E55" s="50">
        <v>2.1445149234891769E-2</v>
      </c>
      <c r="F55" s="50">
        <v>1.369312806188654E-2</v>
      </c>
      <c r="G55" s="50">
        <v>3.603907632832061E-2</v>
      </c>
    </row>
    <row r="56" spans="1:7" x14ac:dyDescent="0.25">
      <c r="A56" s="46">
        <v>6</v>
      </c>
      <c r="B56" s="49" t="s">
        <v>6</v>
      </c>
      <c r="C56" s="50">
        <v>1.0914413714340803</v>
      </c>
      <c r="D56" s="50">
        <v>5.5102203579969053E-3</v>
      </c>
      <c r="E56" s="50">
        <v>1.7571645162497252E-2</v>
      </c>
      <c r="F56" s="50">
        <v>9.2355136997186657E-3</v>
      </c>
      <c r="G56" s="50">
        <v>2.9722716966164672E-2</v>
      </c>
    </row>
    <row r="57" spans="1:7" x14ac:dyDescent="0.25">
      <c r="A57" s="46">
        <v>7</v>
      </c>
      <c r="B57" s="49" t="s">
        <v>7</v>
      </c>
      <c r="C57" s="50">
        <v>1.2672670879837509E-2</v>
      </c>
      <c r="D57" s="50">
        <v>1.0810535300395649</v>
      </c>
      <c r="E57" s="50">
        <v>1.1190660703903402E-2</v>
      </c>
      <c r="F57" s="50">
        <v>1.6945144019073106E-2</v>
      </c>
      <c r="G57" s="50">
        <v>1.2647902511815679E-2</v>
      </c>
    </row>
    <row r="58" spans="1:7" x14ac:dyDescent="0.25">
      <c r="A58" s="46">
        <v>8</v>
      </c>
      <c r="B58" s="49" t="s">
        <v>8</v>
      </c>
      <c r="C58" s="50">
        <v>1.3152500664755954E-2</v>
      </c>
      <c r="D58" s="50">
        <v>1.282722291356796E-2</v>
      </c>
      <c r="E58" s="50">
        <v>1.0165480407888625</v>
      </c>
      <c r="F58" s="50">
        <v>4.0772200424928681E-3</v>
      </c>
      <c r="G58" s="50">
        <v>5.1935626329434239E-3</v>
      </c>
    </row>
    <row r="59" spans="1:7" x14ac:dyDescent="0.25">
      <c r="A59" s="46">
        <v>9</v>
      </c>
      <c r="B59" s="49" t="s">
        <v>9</v>
      </c>
      <c r="C59" s="50">
        <v>1.6800036357094667E-2</v>
      </c>
      <c r="D59" s="50">
        <v>9.5598685773733531E-3</v>
      </c>
      <c r="E59" s="50">
        <v>9.9352857983431193E-3</v>
      </c>
      <c r="F59" s="50">
        <v>1.0103168495861523</v>
      </c>
      <c r="G59" s="50">
        <v>5.7802826759970902E-3</v>
      </c>
    </row>
    <row r="60" spans="1:7" x14ac:dyDescent="0.25">
      <c r="A60" s="46">
        <v>10</v>
      </c>
      <c r="B60" s="49" t="s">
        <v>10</v>
      </c>
      <c r="C60" s="50">
        <v>2.9811415363667802E-2</v>
      </c>
      <c r="D60" s="50">
        <v>2.0882929313813834E-2</v>
      </c>
      <c r="E60" s="50">
        <v>1.7937332049390613E-2</v>
      </c>
      <c r="F60" s="50">
        <v>1.8779243230009238E-2</v>
      </c>
      <c r="G60" s="50">
        <v>1.1644469381631992</v>
      </c>
    </row>
    <row r="61" spans="1:7" x14ac:dyDescent="0.25">
      <c r="A61" s="46">
        <v>11</v>
      </c>
      <c r="B61" s="49" t="s">
        <v>11</v>
      </c>
      <c r="C61" s="50">
        <v>7.2495061312176048E-2</v>
      </c>
      <c r="D61" s="50">
        <v>2.401695790607894E-2</v>
      </c>
      <c r="E61" s="50">
        <v>4.5674253044173718E-2</v>
      </c>
      <c r="F61" s="50">
        <v>7.3317068554214021E-2</v>
      </c>
      <c r="G61" s="50">
        <v>5.8690193852968503E-2</v>
      </c>
    </row>
    <row r="62" spans="1:7" x14ac:dyDescent="0.25">
      <c r="A62" s="46">
        <v>12</v>
      </c>
      <c r="B62" s="49" t="s">
        <v>12</v>
      </c>
      <c r="C62" s="50">
        <v>4.9929012729905409E-2</v>
      </c>
      <c r="D62" s="50">
        <v>4.8233305913209408E-2</v>
      </c>
      <c r="E62" s="50">
        <v>2.6457906221781426E-2</v>
      </c>
      <c r="F62" s="50">
        <v>1.9948593707172755E-2</v>
      </c>
      <c r="G62" s="50">
        <v>6.2424771251603291E-2</v>
      </c>
    </row>
    <row r="63" spans="1:7" x14ac:dyDescent="0.25">
      <c r="A63" s="46">
        <v>13</v>
      </c>
      <c r="B63" s="49" t="s">
        <v>13</v>
      </c>
      <c r="C63" s="50">
        <v>4.2930489676537745E-2</v>
      </c>
      <c r="D63" s="50">
        <v>3.405420808076208E-2</v>
      </c>
      <c r="E63" s="50">
        <v>4.6280309083980828E-2</v>
      </c>
      <c r="F63" s="50">
        <v>3.0182105503440183E-2</v>
      </c>
      <c r="G63" s="50">
        <v>5.0007339775387322E-2</v>
      </c>
    </row>
    <row r="64" spans="1:7" x14ac:dyDescent="0.25">
      <c r="A64" s="46">
        <v>14</v>
      </c>
      <c r="B64" s="49" t="s">
        <v>14</v>
      </c>
      <c r="C64" s="50">
        <v>6.9320187105043965E-3</v>
      </c>
      <c r="D64" s="50">
        <v>1.5372633799497246E-2</v>
      </c>
      <c r="E64" s="50">
        <v>1.1859355040401425E-3</v>
      </c>
      <c r="F64" s="50">
        <v>1.0304717202322064E-3</v>
      </c>
      <c r="G64" s="50">
        <v>1.0209993253936052E-2</v>
      </c>
    </row>
    <row r="65" spans="1:7" x14ac:dyDescent="0.25">
      <c r="A65" s="46">
        <v>15</v>
      </c>
      <c r="B65" s="49" t="s">
        <v>15</v>
      </c>
      <c r="C65" s="50">
        <v>2.6429785488419602E-4</v>
      </c>
      <c r="D65" s="50">
        <v>2.7613361676576229E-4</v>
      </c>
      <c r="E65" s="50">
        <v>1.4206715279203505E-4</v>
      </c>
      <c r="F65" s="50">
        <v>1.2188005822955309E-4</v>
      </c>
      <c r="G65" s="50">
        <v>3.2609172411306609E-4</v>
      </c>
    </row>
    <row r="66" spans="1:7" x14ac:dyDescent="0.25">
      <c r="A66" s="46">
        <v>16</v>
      </c>
      <c r="B66" s="49" t="s">
        <v>16</v>
      </c>
      <c r="C66" s="50">
        <v>3.6563117155122421E-3</v>
      </c>
      <c r="D66" s="50">
        <v>6.9677394295955401E-4</v>
      </c>
      <c r="E66" s="50">
        <v>2.4035097829607941E-4</v>
      </c>
      <c r="F66" s="50">
        <v>1.6250255066292048E-4</v>
      </c>
      <c r="G66" s="50">
        <v>4.3151950333581172E-4</v>
      </c>
    </row>
    <row r="67" spans="1:7" x14ac:dyDescent="0.25">
      <c r="A67" s="46">
        <v>17</v>
      </c>
      <c r="B67" s="49" t="s">
        <v>39</v>
      </c>
      <c r="C67" s="50">
        <v>3.0897443617275054E-2</v>
      </c>
      <c r="D67" s="50">
        <v>3.3810770379879264E-2</v>
      </c>
      <c r="E67" s="50">
        <v>3.7511474728500367E-2</v>
      </c>
      <c r="F67" s="50">
        <v>2.5738690862481726E-2</v>
      </c>
      <c r="G67" s="50">
        <v>7.0108132455648176E-2</v>
      </c>
    </row>
    <row r="68" spans="1:7" x14ac:dyDescent="0.25">
      <c r="A68" s="46">
        <v>18</v>
      </c>
      <c r="B68" s="49" t="s">
        <v>38</v>
      </c>
      <c r="C68" s="50">
        <v>3.7063040105118336E-2</v>
      </c>
      <c r="D68" s="50">
        <v>2.6534138350298112E-2</v>
      </c>
      <c r="E68" s="50">
        <v>2.3233021165125732E-2</v>
      </c>
      <c r="F68" s="50">
        <v>1.5017511510987342E-2</v>
      </c>
      <c r="G68" s="50">
        <v>4.325296447796026E-2</v>
      </c>
    </row>
    <row r="69" spans="1:7" x14ac:dyDescent="0.25">
      <c r="A69" s="46">
        <v>19</v>
      </c>
      <c r="B69" s="49" t="s">
        <v>17</v>
      </c>
      <c r="C69" s="50">
        <v>7.6027221073153824E-3</v>
      </c>
      <c r="D69" s="50">
        <v>2.2474892619409313E-3</v>
      </c>
      <c r="E69" s="50">
        <v>4.6295326583174123E-3</v>
      </c>
      <c r="F69" s="50">
        <v>4.1632884796776789E-3</v>
      </c>
      <c r="G69" s="50">
        <v>6.5319461091427038E-3</v>
      </c>
    </row>
    <row r="70" spans="1:7" x14ac:dyDescent="0.25">
      <c r="A70" s="46">
        <v>20</v>
      </c>
      <c r="B70" s="49" t="s">
        <v>18</v>
      </c>
      <c r="C70" s="50">
        <v>1.7388878587788852E-2</v>
      </c>
      <c r="D70" s="50">
        <v>1.9631094935031332E-2</v>
      </c>
      <c r="E70" s="50">
        <v>1.448801894879579E-2</v>
      </c>
      <c r="F70" s="50">
        <v>2.3496323047131035E-2</v>
      </c>
      <c r="G70" s="50">
        <v>2.7103332638180867E-2</v>
      </c>
    </row>
    <row r="71" spans="1:7" ht="13" x14ac:dyDescent="0.3">
      <c r="A71" s="139"/>
      <c r="B71" s="138" t="s">
        <v>96</v>
      </c>
      <c r="C71" s="52">
        <f t="shared" ref="C71:G71" si="2">+SUM(C51:C70)</f>
        <v>1.4843882063132416</v>
      </c>
      <c r="D71" s="52">
        <f t="shared" si="2"/>
        <v>1.5432310544797769</v>
      </c>
      <c r="E71" s="52">
        <f t="shared" si="2"/>
        <v>1.3074157406922762</v>
      </c>
      <c r="F71" s="52">
        <f t="shared" si="2"/>
        <v>1.2809016819421855</v>
      </c>
      <c r="G71" s="52">
        <f t="shared" si="2"/>
        <v>1.6030344620645378</v>
      </c>
    </row>
    <row r="74" spans="1:7" ht="25" x14ac:dyDescent="0.25">
      <c r="A74" s="47"/>
      <c r="B74" s="91" t="s">
        <v>0</v>
      </c>
      <c r="C74" s="47" t="s">
        <v>11</v>
      </c>
      <c r="D74" s="47" t="s">
        <v>12</v>
      </c>
      <c r="E74" s="47" t="s">
        <v>13</v>
      </c>
      <c r="F74" s="47" t="s">
        <v>14</v>
      </c>
      <c r="G74" s="47" t="s">
        <v>15</v>
      </c>
    </row>
    <row r="75" spans="1:7" x14ac:dyDescent="0.25">
      <c r="A75" s="46">
        <v>1</v>
      </c>
      <c r="B75" s="49" t="s">
        <v>1</v>
      </c>
      <c r="C75" s="50">
        <v>1.9099347281958845E-3</v>
      </c>
      <c r="D75" s="50">
        <v>1.0391452283849563E-3</v>
      </c>
      <c r="E75" s="50">
        <v>4.597705679694934E-4</v>
      </c>
      <c r="F75" s="50">
        <v>2.7351386465793436E-4</v>
      </c>
      <c r="G75" s="50">
        <v>1.2357502230807801E-3</v>
      </c>
    </row>
    <row r="76" spans="1:7" x14ac:dyDescent="0.25">
      <c r="A76" s="46">
        <v>2</v>
      </c>
      <c r="B76" s="49" t="s">
        <v>45</v>
      </c>
      <c r="C76" s="50">
        <v>5.3027091746322634E-2</v>
      </c>
      <c r="D76" s="50">
        <v>1.6029869640839058E-2</v>
      </c>
      <c r="E76" s="50">
        <v>8.8791625252760686E-3</v>
      </c>
      <c r="F76" s="50">
        <v>1.1681706145661802E-2</v>
      </c>
      <c r="G76" s="50">
        <v>1.0382032624775078E-2</v>
      </c>
    </row>
    <row r="77" spans="1:7" x14ac:dyDescent="0.25">
      <c r="A77" s="46">
        <v>3</v>
      </c>
      <c r="B77" s="49" t="s">
        <v>3</v>
      </c>
      <c r="C77" s="50">
        <v>4.1659615073646555E-4</v>
      </c>
      <c r="D77" s="50">
        <v>1.3314713146354729E-3</v>
      </c>
      <c r="E77" s="50">
        <v>6.0860197465759558E-4</v>
      </c>
      <c r="F77" s="50">
        <v>5.3275444441241765E-4</v>
      </c>
      <c r="G77" s="50">
        <v>3.1245864886668665E-3</v>
      </c>
    </row>
    <row r="78" spans="1:7" x14ac:dyDescent="0.25">
      <c r="A78" s="46">
        <v>4</v>
      </c>
      <c r="B78" s="49" t="s">
        <v>4</v>
      </c>
      <c r="C78" s="50">
        <v>2.4169998220449213E-3</v>
      </c>
      <c r="D78" s="50">
        <v>3.6569907505621183E-3</v>
      </c>
      <c r="E78" s="50">
        <v>3.0288023965957546E-3</v>
      </c>
      <c r="F78" s="50">
        <v>8.990460393781839E-4</v>
      </c>
      <c r="G78" s="50">
        <v>3.9403857475095597E-3</v>
      </c>
    </row>
    <row r="79" spans="1:7" x14ac:dyDescent="0.25">
      <c r="A79" s="46">
        <v>5</v>
      </c>
      <c r="B79" s="49" t="s">
        <v>5</v>
      </c>
      <c r="C79" s="50">
        <v>1.3926097601825753E-2</v>
      </c>
      <c r="D79" s="50">
        <v>6.847041542272872E-2</v>
      </c>
      <c r="E79" s="50">
        <v>2.483005373152573E-2</v>
      </c>
      <c r="F79" s="50">
        <v>9.3638153345746503E-3</v>
      </c>
      <c r="G79" s="50">
        <v>1.7091987943474069E-2</v>
      </c>
    </row>
    <row r="80" spans="1:7" x14ac:dyDescent="0.25">
      <c r="A80" s="46">
        <v>6</v>
      </c>
      <c r="B80" s="49" t="s">
        <v>6</v>
      </c>
      <c r="C80" s="50">
        <v>6.2768658980802972E-3</v>
      </c>
      <c r="D80" s="50">
        <v>2.3056992279197275E-2</v>
      </c>
      <c r="E80" s="50">
        <v>1.1937770236895429E-2</v>
      </c>
      <c r="F80" s="50">
        <v>6.2706181700549306E-3</v>
      </c>
      <c r="G80" s="50">
        <v>9.6595111343008317E-3</v>
      </c>
    </row>
    <row r="81" spans="1:7" x14ac:dyDescent="0.25">
      <c r="A81" s="46">
        <v>7</v>
      </c>
      <c r="B81" s="49" t="s">
        <v>7</v>
      </c>
      <c r="C81" s="50">
        <v>8.8098851023564306E-3</v>
      </c>
      <c r="D81" s="50">
        <v>1.7344003532056861E-2</v>
      </c>
      <c r="E81" s="50">
        <v>1.3098625379235843E-2</v>
      </c>
      <c r="F81" s="50">
        <v>4.0186510300260891E-3</v>
      </c>
      <c r="G81" s="50">
        <v>2.0121515686140432E-2</v>
      </c>
    </row>
    <row r="82" spans="1:7" x14ac:dyDescent="0.25">
      <c r="A82" s="46">
        <v>8</v>
      </c>
      <c r="B82" s="49" t="s">
        <v>8</v>
      </c>
      <c r="C82" s="50">
        <v>6.3565995021269061E-3</v>
      </c>
      <c r="D82" s="50">
        <v>1.0103933249040848E-2</v>
      </c>
      <c r="E82" s="50">
        <v>6.4675219351473072E-3</v>
      </c>
      <c r="F82" s="50">
        <v>2.5905581508583729E-3</v>
      </c>
      <c r="G82" s="50">
        <v>1.0337698038184647E-2</v>
      </c>
    </row>
    <row r="83" spans="1:7" x14ac:dyDescent="0.25">
      <c r="A83" s="46">
        <v>9</v>
      </c>
      <c r="B83" s="49" t="s">
        <v>9</v>
      </c>
      <c r="C83" s="50">
        <v>1.3706148468332957E-2</v>
      </c>
      <c r="D83" s="50">
        <v>1.7378280731051705E-2</v>
      </c>
      <c r="E83" s="50">
        <v>1.0977297069135224E-2</v>
      </c>
      <c r="F83" s="50">
        <v>1.5763515251202235E-3</v>
      </c>
      <c r="G83" s="50">
        <v>6.8127321066647293E-3</v>
      </c>
    </row>
    <row r="84" spans="1:7" x14ac:dyDescent="0.25">
      <c r="A84" s="46">
        <v>10</v>
      </c>
      <c r="B84" s="49" t="s">
        <v>10</v>
      </c>
      <c r="C84" s="50">
        <v>5.0914370963179981E-2</v>
      </c>
      <c r="D84" s="50">
        <v>2.2114300278628474E-2</v>
      </c>
      <c r="E84" s="50">
        <v>1.2181671022179829E-2</v>
      </c>
      <c r="F84" s="50">
        <v>4.1664848284386777E-3</v>
      </c>
      <c r="G84" s="50">
        <v>1.2237295010481293E-2</v>
      </c>
    </row>
    <row r="85" spans="1:7" x14ac:dyDescent="0.25">
      <c r="A85" s="46">
        <v>11</v>
      </c>
      <c r="B85" s="49" t="s">
        <v>11</v>
      </c>
      <c r="C85" s="50">
        <v>1.0443427576585389</v>
      </c>
      <c r="D85" s="50">
        <v>8.3510091330046915E-2</v>
      </c>
      <c r="E85" s="50">
        <v>4.4356384380819833E-2</v>
      </c>
      <c r="F85" s="50">
        <v>2.4510160488181117E-2</v>
      </c>
      <c r="G85" s="50">
        <v>5.2968770901401695E-2</v>
      </c>
    </row>
    <row r="86" spans="1:7" x14ac:dyDescent="0.25">
      <c r="A86" s="46">
        <v>12</v>
      </c>
      <c r="B86" s="49" t="s">
        <v>12</v>
      </c>
      <c r="C86" s="50">
        <v>2.2283056571058401E-2</v>
      </c>
      <c r="D86" s="50">
        <v>1.0888750855894787</v>
      </c>
      <c r="E86" s="50">
        <v>5.7712983826091177E-2</v>
      </c>
      <c r="F86" s="50">
        <v>8.7597339624313712E-3</v>
      </c>
      <c r="G86" s="50">
        <v>3.9859334652364034E-2</v>
      </c>
    </row>
    <row r="87" spans="1:7" x14ac:dyDescent="0.25">
      <c r="A87" s="46">
        <v>13</v>
      </c>
      <c r="B87" s="49" t="s">
        <v>13</v>
      </c>
      <c r="C87" s="50">
        <v>2.4732844084527097E-2</v>
      </c>
      <c r="D87" s="50">
        <v>3.4425957315598082E-2</v>
      </c>
      <c r="E87" s="50">
        <v>1.0403499979064699</v>
      </c>
      <c r="F87" s="50">
        <v>1.0269534046342262E-2</v>
      </c>
      <c r="G87" s="50">
        <v>5.1061195090399705E-2</v>
      </c>
    </row>
    <row r="88" spans="1:7" x14ac:dyDescent="0.25">
      <c r="A88" s="46">
        <v>14</v>
      </c>
      <c r="B88" s="49" t="s">
        <v>14</v>
      </c>
      <c r="C88" s="50">
        <v>8.7534149676264531E-4</v>
      </c>
      <c r="D88" s="50">
        <v>2.4399258457080963E-3</v>
      </c>
      <c r="E88" s="50">
        <v>1.0709720285368934E-3</v>
      </c>
      <c r="F88" s="50">
        <v>1.0014676854265168</v>
      </c>
      <c r="G88" s="50">
        <v>5.692721743797452E-3</v>
      </c>
    </row>
    <row r="89" spans="1:7" x14ac:dyDescent="0.25">
      <c r="A89" s="46">
        <v>15</v>
      </c>
      <c r="B89" s="49" t="s">
        <v>15</v>
      </c>
      <c r="C89" s="50">
        <v>1.5471999282239628E-4</v>
      </c>
      <c r="D89" s="50">
        <v>2.8056476237330514E-3</v>
      </c>
      <c r="E89" s="50">
        <v>5.45137936368388E-4</v>
      </c>
      <c r="F89" s="50">
        <v>5.7186455933063395E-3</v>
      </c>
      <c r="G89" s="50">
        <v>1.0593499810108837</v>
      </c>
    </row>
    <row r="90" spans="1:7" x14ac:dyDescent="0.25">
      <c r="A90" s="46">
        <v>16</v>
      </c>
      <c r="B90" s="49" t="s">
        <v>16</v>
      </c>
      <c r="C90" s="50">
        <v>2.0002918216464896E-4</v>
      </c>
      <c r="D90" s="50">
        <v>3.8899655731637134E-4</v>
      </c>
      <c r="E90" s="50">
        <v>1.7044373152316167E-4</v>
      </c>
      <c r="F90" s="50">
        <v>3.2394410827341806E-4</v>
      </c>
      <c r="G90" s="50">
        <v>3.0487883899585745E-4</v>
      </c>
    </row>
    <row r="91" spans="1:7" x14ac:dyDescent="0.25">
      <c r="A91" s="46">
        <v>17</v>
      </c>
      <c r="B91" s="49" t="s">
        <v>39</v>
      </c>
      <c r="C91" s="50">
        <v>2.3101781632706195E-2</v>
      </c>
      <c r="D91" s="50">
        <v>8.8756898505346432E-2</v>
      </c>
      <c r="E91" s="50">
        <v>2.3530609501523348E-2</v>
      </c>
      <c r="F91" s="50">
        <v>8.6988091331970246E-3</v>
      </c>
      <c r="G91" s="50">
        <v>4.3416408012776728E-2</v>
      </c>
    </row>
    <row r="92" spans="1:7" x14ac:dyDescent="0.25">
      <c r="A92" s="46">
        <v>18</v>
      </c>
      <c r="B92" s="49" t="s">
        <v>38</v>
      </c>
      <c r="C92" s="50">
        <v>1.0303611140144008E-2</v>
      </c>
      <c r="D92" s="50">
        <v>2.8625136372883171E-2</v>
      </c>
      <c r="E92" s="50">
        <v>1.5547626597738114E-2</v>
      </c>
      <c r="F92" s="50">
        <v>1.398067156963311E-2</v>
      </c>
      <c r="G92" s="50">
        <v>2.8576153263953394E-2</v>
      </c>
    </row>
    <row r="93" spans="1:7" x14ac:dyDescent="0.25">
      <c r="A93" s="46">
        <v>19</v>
      </c>
      <c r="B93" s="49" t="s">
        <v>17</v>
      </c>
      <c r="C93" s="50">
        <v>2.4979859501144949E-2</v>
      </c>
      <c r="D93" s="50">
        <v>6.7245590880005875E-3</v>
      </c>
      <c r="E93" s="50">
        <v>5.6689822017074593E-3</v>
      </c>
      <c r="F93" s="50">
        <v>1.5508096039770743E-3</v>
      </c>
      <c r="G93" s="50">
        <v>3.9461306812052475E-3</v>
      </c>
    </row>
    <row r="94" spans="1:7" x14ac:dyDescent="0.25">
      <c r="A94" s="46">
        <v>20</v>
      </c>
      <c r="B94" s="49" t="s">
        <v>18</v>
      </c>
      <c r="C94" s="50">
        <v>1.5222051012425752E-2</v>
      </c>
      <c r="D94" s="50">
        <v>2.0875309914396314E-2</v>
      </c>
      <c r="E94" s="50">
        <v>2.2069070886404203E-2</v>
      </c>
      <c r="F94" s="50">
        <v>3.8113556380182426E-3</v>
      </c>
      <c r="G94" s="50">
        <v>2.1098960350910783E-2</v>
      </c>
    </row>
    <row r="95" spans="1:7" ht="13" x14ac:dyDescent="0.3">
      <c r="A95" s="139"/>
      <c r="B95" s="138" t="s">
        <v>96</v>
      </c>
      <c r="C95" s="52">
        <f t="shared" ref="C95:G95" si="3">+SUM(C75:C94)</f>
        <v>1.3239566422554971</v>
      </c>
      <c r="D95" s="52">
        <f t="shared" si="3"/>
        <v>1.5379530105696331</v>
      </c>
      <c r="E95" s="52">
        <f t="shared" si="3"/>
        <v>1.3034914858358007</v>
      </c>
      <c r="F95" s="52">
        <f t="shared" si="3"/>
        <v>1.1204648491030598</v>
      </c>
      <c r="G95" s="52">
        <f t="shared" si="3"/>
        <v>1.401218029549967</v>
      </c>
    </row>
    <row r="96" spans="1:7" ht="37.5" x14ac:dyDescent="0.25">
      <c r="A96" s="47"/>
      <c r="B96" s="91" t="s">
        <v>0</v>
      </c>
      <c r="C96" s="47" t="s">
        <v>16</v>
      </c>
      <c r="D96" s="47" t="s">
        <v>39</v>
      </c>
      <c r="E96" s="47" t="s">
        <v>38</v>
      </c>
      <c r="F96" s="47" t="s">
        <v>17</v>
      </c>
      <c r="G96" s="47" t="s">
        <v>18</v>
      </c>
    </row>
    <row r="97" spans="1:7" x14ac:dyDescent="0.25">
      <c r="A97" s="46">
        <v>1</v>
      </c>
      <c r="B97" s="49" t="s">
        <v>1</v>
      </c>
      <c r="C97" s="50">
        <v>2.7185864838263061E-4</v>
      </c>
      <c r="D97" s="50">
        <v>7.3995756917378749E-4</v>
      </c>
      <c r="E97" s="50">
        <v>1.3591383942618374E-2</v>
      </c>
      <c r="F97" s="50">
        <v>7.1110488970521884E-4</v>
      </c>
      <c r="G97" s="50">
        <v>4.6307421129749903E-5</v>
      </c>
    </row>
    <row r="98" spans="1:7" x14ac:dyDescent="0.25">
      <c r="A98" s="46">
        <v>2</v>
      </c>
      <c r="B98" s="49" t="s">
        <v>45</v>
      </c>
      <c r="C98" s="50">
        <v>2.541375363652404E-3</v>
      </c>
      <c r="D98" s="50">
        <v>5.0350144502766661E-2</v>
      </c>
      <c r="E98" s="50">
        <v>3.3077098436735584E-2</v>
      </c>
      <c r="F98" s="50">
        <v>1.0188721344879973E-2</v>
      </c>
      <c r="G98" s="50">
        <v>2.6690577639676295E-3</v>
      </c>
    </row>
    <row r="99" spans="1:7" x14ac:dyDescent="0.25">
      <c r="A99" s="46">
        <v>3</v>
      </c>
      <c r="B99" s="49" t="s">
        <v>3</v>
      </c>
      <c r="C99" s="50">
        <v>3.0921005844430476E-4</v>
      </c>
      <c r="D99" s="50">
        <v>1.8668932207849991E-3</v>
      </c>
      <c r="E99" s="50">
        <v>3.7070223449425684E-2</v>
      </c>
      <c r="F99" s="50">
        <v>5.8581315088463272E-4</v>
      </c>
      <c r="G99" s="50">
        <v>1.3196348684311467E-4</v>
      </c>
    </row>
    <row r="100" spans="1:7" x14ac:dyDescent="0.25">
      <c r="A100" s="46">
        <v>4</v>
      </c>
      <c r="B100" s="49" t="s">
        <v>4</v>
      </c>
      <c r="C100" s="50">
        <v>8.7903938553850907E-4</v>
      </c>
      <c r="D100" s="50">
        <v>9.0684638958113666E-3</v>
      </c>
      <c r="E100" s="50">
        <v>1.7570616499692351E-2</v>
      </c>
      <c r="F100" s="50">
        <v>3.1477402107538272E-3</v>
      </c>
      <c r="G100" s="50">
        <v>3.901326407303065E-4</v>
      </c>
    </row>
    <row r="101" spans="1:7" x14ac:dyDescent="0.25">
      <c r="A101" s="46">
        <v>5</v>
      </c>
      <c r="B101" s="49" t="s">
        <v>5</v>
      </c>
      <c r="C101" s="50">
        <v>4.2171388161036391E-3</v>
      </c>
      <c r="D101" s="50">
        <v>3.6755313476137738E-2</v>
      </c>
      <c r="E101" s="50">
        <v>2.9567163998640345E-2</v>
      </c>
      <c r="F101" s="50">
        <v>1.9996960577277238E-2</v>
      </c>
      <c r="G101" s="50">
        <v>4.9285802798442815E-3</v>
      </c>
    </row>
    <row r="102" spans="1:7" x14ac:dyDescent="0.25">
      <c r="A102" s="46">
        <v>6</v>
      </c>
      <c r="B102" s="49" t="s">
        <v>6</v>
      </c>
      <c r="C102" s="50">
        <v>2.1700253598106556E-3</v>
      </c>
      <c r="D102" s="50">
        <v>1.592229946505453E-2</v>
      </c>
      <c r="E102" s="50">
        <v>1.1455510341594555E-2</v>
      </c>
      <c r="F102" s="50">
        <v>7.7535490376169523E-3</v>
      </c>
      <c r="G102" s="50">
        <v>6.6761117505516473E-4</v>
      </c>
    </row>
    <row r="103" spans="1:7" x14ac:dyDescent="0.25">
      <c r="A103" s="46">
        <v>7</v>
      </c>
      <c r="B103" s="49" t="s">
        <v>7</v>
      </c>
      <c r="C103" s="50">
        <v>5.3102703519319998E-3</v>
      </c>
      <c r="D103" s="50">
        <v>5.9415077392407992E-2</v>
      </c>
      <c r="E103" s="50">
        <v>3.7223098045457897E-2</v>
      </c>
      <c r="F103" s="50">
        <v>1.7248983287225322E-2</v>
      </c>
      <c r="G103" s="50">
        <v>1.5795381804023982E-3</v>
      </c>
    </row>
    <row r="104" spans="1:7" x14ac:dyDescent="0.25">
      <c r="A104" s="46">
        <v>8</v>
      </c>
      <c r="B104" s="49" t="s">
        <v>8</v>
      </c>
      <c r="C104" s="50">
        <v>1.3024314050352783E-3</v>
      </c>
      <c r="D104" s="50">
        <v>1.5772344777668808E-2</v>
      </c>
      <c r="E104" s="50">
        <v>3.416686254341357E-2</v>
      </c>
      <c r="F104" s="50">
        <v>6.0253771136635258E-3</v>
      </c>
      <c r="G104" s="50">
        <v>1.0912577992685246E-3</v>
      </c>
    </row>
    <row r="105" spans="1:7" x14ac:dyDescent="0.25">
      <c r="A105" s="46">
        <v>9</v>
      </c>
      <c r="B105" s="49" t="s">
        <v>9</v>
      </c>
      <c r="C105" s="50">
        <v>7.1087177593928425E-4</v>
      </c>
      <c r="D105" s="50">
        <v>9.3921432569312995E-3</v>
      </c>
      <c r="E105" s="50">
        <v>9.1373773389543337E-3</v>
      </c>
      <c r="F105" s="50">
        <v>7.94560084266944E-3</v>
      </c>
      <c r="G105" s="50">
        <v>2.7708166648829385E-4</v>
      </c>
    </row>
    <row r="106" spans="1:7" x14ac:dyDescent="0.25">
      <c r="A106" s="46">
        <v>10</v>
      </c>
      <c r="B106" s="49" t="s">
        <v>10</v>
      </c>
      <c r="C106" s="50">
        <v>2.2535250211078613E-3</v>
      </c>
      <c r="D106" s="50">
        <v>4.1563041521392806E-2</v>
      </c>
      <c r="E106" s="50">
        <v>2.0808455859766602E-2</v>
      </c>
      <c r="F106" s="50">
        <v>9.2832671499235922E-3</v>
      </c>
      <c r="G106" s="50">
        <v>7.6375286608050042E-4</v>
      </c>
    </row>
    <row r="107" spans="1:7" x14ac:dyDescent="0.25">
      <c r="A107" s="46">
        <v>11</v>
      </c>
      <c r="B107" s="49" t="s">
        <v>11</v>
      </c>
      <c r="C107" s="50">
        <v>8.4975328993957301E-3</v>
      </c>
      <c r="D107" s="50">
        <v>5.9732479876065704E-2</v>
      </c>
      <c r="E107" s="50">
        <v>6.149723101267978E-2</v>
      </c>
      <c r="F107" s="50">
        <v>3.9185898832395399E-2</v>
      </c>
      <c r="G107" s="50">
        <v>1.6186691979226079E-3</v>
      </c>
    </row>
    <row r="108" spans="1:7" x14ac:dyDescent="0.25">
      <c r="A108" s="46">
        <v>12</v>
      </c>
      <c r="B108" s="49" t="s">
        <v>12</v>
      </c>
      <c r="C108" s="50">
        <v>7.8864547533367742E-3</v>
      </c>
      <c r="D108" s="50">
        <v>5.6840223825164023E-2</v>
      </c>
      <c r="E108" s="50">
        <v>4.768684456318583E-2</v>
      </c>
      <c r="F108" s="50">
        <v>2.0913415816954051E-2</v>
      </c>
      <c r="G108" s="50">
        <v>1.9728217352223683E-3</v>
      </c>
    </row>
    <row r="109" spans="1:7" x14ac:dyDescent="0.25">
      <c r="A109" s="46">
        <v>13</v>
      </c>
      <c r="B109" s="49" t="s">
        <v>13</v>
      </c>
      <c r="C109" s="50">
        <v>5.5433426573263363E-3</v>
      </c>
      <c r="D109" s="50">
        <v>9.8719042100622281E-2</v>
      </c>
      <c r="E109" s="50">
        <v>4.362015067255616E-2</v>
      </c>
      <c r="F109" s="50">
        <v>2.7190394247779789E-2</v>
      </c>
      <c r="G109" s="50">
        <v>2.3648993158073709E-3</v>
      </c>
    </row>
    <row r="110" spans="1:7" x14ac:dyDescent="0.25">
      <c r="A110" s="46">
        <v>14</v>
      </c>
      <c r="B110" s="49" t="s">
        <v>14</v>
      </c>
      <c r="C110" s="50">
        <v>6.2020652278555312E-4</v>
      </c>
      <c r="D110" s="50">
        <v>1.7275370595665662E-3</v>
      </c>
      <c r="E110" s="50">
        <v>1.11464340504679E-3</v>
      </c>
      <c r="F110" s="50">
        <v>9.1828843492202305E-4</v>
      </c>
      <c r="G110" s="50">
        <v>1.1266183371085844E-4</v>
      </c>
    </row>
    <row r="111" spans="1:7" x14ac:dyDescent="0.25">
      <c r="A111" s="46">
        <v>15</v>
      </c>
      <c r="B111" s="49" t="s">
        <v>15</v>
      </c>
      <c r="C111" s="50">
        <v>1.5810888525482393E-3</v>
      </c>
      <c r="D111" s="50">
        <v>2.8598787333768074E-4</v>
      </c>
      <c r="E111" s="50">
        <v>2.1961056907304495E-4</v>
      </c>
      <c r="F111" s="50">
        <v>2.2017309005371113E-3</v>
      </c>
      <c r="G111" s="50">
        <v>8.6870839560914054E-4</v>
      </c>
    </row>
    <row r="112" spans="1:7" x14ac:dyDescent="0.25">
      <c r="A112" s="46">
        <v>16</v>
      </c>
      <c r="B112" s="49" t="s">
        <v>16</v>
      </c>
      <c r="C112" s="50">
        <v>1.0077460863696153</v>
      </c>
      <c r="D112" s="50">
        <v>1.9010183366360504E-3</v>
      </c>
      <c r="E112" s="50">
        <v>4.7271810066162514E-3</v>
      </c>
      <c r="F112" s="50">
        <v>4.8248959095564163E-4</v>
      </c>
      <c r="G112" s="50">
        <v>2.4192738422552462E-5</v>
      </c>
    </row>
    <row r="113" spans="1:7" x14ac:dyDescent="0.25">
      <c r="A113" s="46">
        <v>17</v>
      </c>
      <c r="B113" s="49" t="s">
        <v>39</v>
      </c>
      <c r="C113" s="50">
        <v>3.4341534707000737E-3</v>
      </c>
      <c r="D113" s="50">
        <v>1.0449474182153096</v>
      </c>
      <c r="E113" s="50">
        <v>4.1493731914655003E-2</v>
      </c>
      <c r="F113" s="50">
        <v>2.564010901397628E-2</v>
      </c>
      <c r="G113" s="50">
        <v>1.8851945460553055E-3</v>
      </c>
    </row>
    <row r="114" spans="1:7" x14ac:dyDescent="0.25">
      <c r="A114" s="46">
        <v>18</v>
      </c>
      <c r="B114" s="49" t="s">
        <v>38</v>
      </c>
      <c r="C114" s="50">
        <v>6.7958110698538281E-3</v>
      </c>
      <c r="D114" s="50">
        <v>3.6981763929041969E-2</v>
      </c>
      <c r="E114" s="50">
        <v>1.0409853494835002</v>
      </c>
      <c r="F114" s="50">
        <v>8.6944432152549402E-3</v>
      </c>
      <c r="G114" s="50">
        <v>1.4205234996993667E-3</v>
      </c>
    </row>
    <row r="115" spans="1:7" x14ac:dyDescent="0.25">
      <c r="A115" s="46">
        <v>19</v>
      </c>
      <c r="B115" s="49" t="s">
        <v>17</v>
      </c>
      <c r="C115" s="50">
        <v>1.3107585571414866E-3</v>
      </c>
      <c r="D115" s="50">
        <v>6.4893758273902773E-3</v>
      </c>
      <c r="E115" s="50">
        <v>5.4691513609714682E-3</v>
      </c>
      <c r="F115" s="50">
        <v>1.0050352168649961</v>
      </c>
      <c r="G115" s="50">
        <v>2.9975789446419666E-4</v>
      </c>
    </row>
    <row r="116" spans="1:7" x14ac:dyDescent="0.25">
      <c r="A116" s="46">
        <v>20</v>
      </c>
      <c r="B116" s="49" t="s">
        <v>18</v>
      </c>
      <c r="C116" s="50">
        <v>6.4677157570526573E-3</v>
      </c>
      <c r="D116" s="50">
        <v>3.7642389881073636E-2</v>
      </c>
      <c r="E116" s="50">
        <v>2.1269847121554563E-2</v>
      </c>
      <c r="F116" s="50">
        <v>9.8802664987059866E-3</v>
      </c>
      <c r="G116" s="50">
        <v>1.0017142771940368</v>
      </c>
    </row>
    <row r="117" spans="1:7" ht="13" x14ac:dyDescent="0.3">
      <c r="A117" s="139"/>
      <c r="B117" s="138" t="s">
        <v>96</v>
      </c>
      <c r="C117" s="52">
        <f t="shared" ref="C117:G117" si="4">+SUM(C97:C116)</f>
        <v>1.0698488970957025</v>
      </c>
      <c r="D117" s="52">
        <f t="shared" si="4"/>
        <v>1.5861129160023377</v>
      </c>
      <c r="E117" s="52">
        <f t="shared" si="4"/>
        <v>1.5117515315661385</v>
      </c>
      <c r="F117" s="52">
        <f t="shared" si="4"/>
        <v>1.2230293710210769</v>
      </c>
      <c r="G117" s="52">
        <f t="shared" si="4"/>
        <v>1.0248269896307605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8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31" sqref="F31"/>
    </sheetView>
  </sheetViews>
  <sheetFormatPr defaultRowHeight="12.5" x14ac:dyDescent="0.25"/>
  <cols>
    <col min="1" max="1" width="34.26953125" customWidth="1"/>
    <col min="2" max="22" width="15.54296875" customWidth="1"/>
  </cols>
  <sheetData>
    <row r="1" spans="1:27" ht="18" x14ac:dyDescent="0.4">
      <c r="A1" s="24" t="s">
        <v>87</v>
      </c>
    </row>
    <row r="3" spans="1:27" s="7" customFormat="1" ht="37.5" x14ac:dyDescent="0.25">
      <c r="A3" s="15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39</v>
      </c>
      <c r="S3" s="1" t="s">
        <v>38</v>
      </c>
      <c r="T3" s="1" t="s">
        <v>17</v>
      </c>
      <c r="U3" s="1" t="s">
        <v>18</v>
      </c>
      <c r="V3" s="1" t="s">
        <v>19</v>
      </c>
    </row>
    <row r="4" spans="1:27" x14ac:dyDescent="0.25">
      <c r="A4" s="12" t="s">
        <v>1</v>
      </c>
      <c r="B4" s="8">
        <v>1.079546079654911</v>
      </c>
      <c r="C4" s="8">
        <v>4.4566375770451984E-3</v>
      </c>
      <c r="D4" s="8">
        <v>8.6174094833478918E-2</v>
      </c>
      <c r="E4" s="8">
        <v>2.5998308992115989E-3</v>
      </c>
      <c r="F4" s="8">
        <v>3.0215577696787329E-3</v>
      </c>
      <c r="G4" s="8">
        <v>2.2118856181879173E-3</v>
      </c>
      <c r="H4" s="8">
        <v>2.0933076358555587E-3</v>
      </c>
      <c r="I4" s="8">
        <v>2.6674726644149889E-3</v>
      </c>
      <c r="J4" s="8">
        <v>2.4052012193006554E-3</v>
      </c>
      <c r="K4" s="8">
        <v>2.8750474559134684E-3</v>
      </c>
      <c r="L4" s="8">
        <v>3.1582102689726461E-3</v>
      </c>
      <c r="M4" s="8">
        <v>4.3731074138792358E-3</v>
      </c>
      <c r="N4" s="8">
        <v>4.2865390154953843E-3</v>
      </c>
      <c r="O4" s="8">
        <v>2.5633651878079525E-3</v>
      </c>
      <c r="P4" s="8">
        <v>4.1408094524986779E-3</v>
      </c>
      <c r="Q4" s="8">
        <v>3.9034071322502314E-3</v>
      </c>
      <c r="R4" s="8">
        <v>3.2080479004526563E-3</v>
      </c>
      <c r="S4" s="8">
        <v>1.6564420397930168E-2</v>
      </c>
      <c r="T4" s="8">
        <v>3.2179810179521649E-3</v>
      </c>
      <c r="U4" s="8">
        <v>3.6773181398771899E-3</v>
      </c>
      <c r="V4" s="8">
        <v>6.0292388922977549E-3</v>
      </c>
      <c r="W4" s="8"/>
      <c r="AA4" s="3"/>
    </row>
    <row r="5" spans="1:27" x14ac:dyDescent="0.25">
      <c r="A5" s="2" t="s">
        <v>2</v>
      </c>
      <c r="B5" s="8">
        <v>4.1484575018321604E-2</v>
      </c>
      <c r="C5" s="8">
        <v>1.0236312351890648</v>
      </c>
      <c r="D5" s="8">
        <v>2.9753421680789892E-2</v>
      </c>
      <c r="E5" s="8">
        <v>8.5873957697518901E-3</v>
      </c>
      <c r="F5" s="8">
        <v>3.2085746982679825E-2</v>
      </c>
      <c r="G5" s="8">
        <v>1.9538001247813623E-2</v>
      </c>
      <c r="H5" s="8">
        <v>5.9538821726255166E-2</v>
      </c>
      <c r="I5" s="8">
        <v>1.8780389037100748E-2</v>
      </c>
      <c r="J5" s="8">
        <v>1.9931223414473356E-2</v>
      </c>
      <c r="K5" s="8">
        <v>2.4979820900337072E-2</v>
      </c>
      <c r="L5" s="8">
        <v>5.8829050940241906E-2</v>
      </c>
      <c r="M5" s="8">
        <v>3.1526057719851557E-2</v>
      </c>
      <c r="N5" s="8">
        <v>2.6665904035333202E-2</v>
      </c>
      <c r="O5" s="8">
        <v>2.2324888282188534E-2</v>
      </c>
      <c r="P5" s="8">
        <v>2.3884688532390543E-2</v>
      </c>
      <c r="Q5" s="8">
        <v>1.9420738473681781E-2</v>
      </c>
      <c r="R5" s="8">
        <v>6.182177790517715E-2</v>
      </c>
      <c r="S5" s="8">
        <v>4.6895711100586775E-2</v>
      </c>
      <c r="T5" s="8">
        <v>2.1840630338665411E-2</v>
      </c>
      <c r="U5" s="8">
        <v>1.9545921352712513E-2</v>
      </c>
      <c r="V5" s="8">
        <v>2.8023779110287497E-2</v>
      </c>
      <c r="W5" s="8"/>
      <c r="AA5" s="3"/>
    </row>
    <row r="6" spans="1:27" x14ac:dyDescent="0.25">
      <c r="A6" s="2" t="s">
        <v>3</v>
      </c>
      <c r="B6" s="8">
        <v>8.2365529261062588E-3</v>
      </c>
      <c r="C6" s="8">
        <v>4.3732749659426418E-3</v>
      </c>
      <c r="D6" s="8">
        <v>1.0325611478559364</v>
      </c>
      <c r="E6" s="8">
        <v>7.2776539834143814E-3</v>
      </c>
      <c r="F6" s="8">
        <v>4.438993718646503E-3</v>
      </c>
      <c r="G6" s="8">
        <v>3.3631238322900585E-3</v>
      </c>
      <c r="H6" s="8">
        <v>3.3631367424729252E-3</v>
      </c>
      <c r="I6" s="8">
        <v>3.5812097851901435E-3</v>
      </c>
      <c r="J6" s="8">
        <v>2.9694242652572984E-3</v>
      </c>
      <c r="K6" s="8">
        <v>4.099201241996032E-3</v>
      </c>
      <c r="L6" s="8">
        <v>1.8517740839596214E-3</v>
      </c>
      <c r="M6" s="8">
        <v>5.1646225721249783E-3</v>
      </c>
      <c r="N6" s="8">
        <v>5.0083466240049999E-3</v>
      </c>
      <c r="O6" s="8">
        <v>3.1654617129548801E-3</v>
      </c>
      <c r="P6" s="8">
        <v>6.4646158047683647E-3</v>
      </c>
      <c r="Q6" s="8">
        <v>4.4845047567875738E-3</v>
      </c>
      <c r="R6" s="8">
        <v>4.7045269522355878E-3</v>
      </c>
      <c r="S6" s="8">
        <v>4.048840811775329E-2</v>
      </c>
      <c r="T6" s="8">
        <v>3.4680400175146698E-3</v>
      </c>
      <c r="U6" s="8">
        <v>4.3066399013151554E-3</v>
      </c>
      <c r="V6" s="8">
        <v>6.9319876338937653E-3</v>
      </c>
      <c r="W6" s="8"/>
      <c r="AA6" s="3"/>
    </row>
    <row r="7" spans="1:27" x14ac:dyDescent="0.25">
      <c r="A7" s="2" t="s">
        <v>4</v>
      </c>
      <c r="B7" s="8">
        <v>2.5229328969279635E-2</v>
      </c>
      <c r="C7" s="8">
        <v>2.0399486520156541E-2</v>
      </c>
      <c r="D7" s="8">
        <v>2.793094994431845E-2</v>
      </c>
      <c r="E7" s="8">
        <v>1.0122928579770538</v>
      </c>
      <c r="F7" s="8">
        <v>2.6566036186019795E-2</v>
      </c>
      <c r="G7" s="8">
        <v>1.1230979134297976E-2</v>
      </c>
      <c r="H7" s="8">
        <v>0.13679580273577965</v>
      </c>
      <c r="I7" s="8">
        <v>1.4894900811960128E-2</v>
      </c>
      <c r="J7" s="8">
        <v>1.4358848734313322E-2</v>
      </c>
      <c r="K7" s="8">
        <v>1.4619258559450883E-2</v>
      </c>
      <c r="L7" s="8">
        <v>9.2343460683491068E-3</v>
      </c>
      <c r="M7" s="8">
        <v>2.1865129777668375E-2</v>
      </c>
      <c r="N7" s="8">
        <v>2.3928359152295662E-2</v>
      </c>
      <c r="O7" s="8">
        <v>1.340486611877941E-2</v>
      </c>
      <c r="P7" s="8">
        <v>1.9806109288515221E-2</v>
      </c>
      <c r="Q7" s="8">
        <v>2.0712419609716128E-2</v>
      </c>
      <c r="R7" s="8">
        <v>2.2547720522928711E-2</v>
      </c>
      <c r="S7" s="8">
        <v>3.3807591635913563E-2</v>
      </c>
      <c r="T7" s="8">
        <v>1.6838822030893617E-2</v>
      </c>
      <c r="U7" s="8">
        <v>2.0220575908359822E-2</v>
      </c>
      <c r="V7" s="8">
        <v>3.2928153911355153E-2</v>
      </c>
      <c r="W7" s="8"/>
      <c r="AA7" s="3"/>
    </row>
    <row r="8" spans="1:27" x14ac:dyDescent="0.25">
      <c r="A8" s="2" t="s">
        <v>5</v>
      </c>
      <c r="B8" s="8">
        <v>8.4597068610507781E-2</v>
      </c>
      <c r="C8" s="8">
        <v>6.2115308905968405E-2</v>
      </c>
      <c r="D8" s="8">
        <v>4.9665068288677436E-2</v>
      </c>
      <c r="E8" s="8">
        <v>2.7077318896372288E-2</v>
      </c>
      <c r="F8" s="8">
        <v>1.0921116693475903</v>
      </c>
      <c r="G8" s="8">
        <v>4.4979561759509838E-2</v>
      </c>
      <c r="H8" s="8">
        <v>3.4624692637563209E-2</v>
      </c>
      <c r="I8" s="8">
        <v>3.7181027064856167E-2</v>
      </c>
      <c r="J8" s="8">
        <v>2.82679323152445E-2</v>
      </c>
      <c r="K8" s="8">
        <v>5.146956868065071E-2</v>
      </c>
      <c r="L8" s="8">
        <v>2.2851573982521741E-2</v>
      </c>
      <c r="M8" s="8">
        <v>9.2309063035935862E-2</v>
      </c>
      <c r="N8" s="8">
        <v>5.2192387028171902E-2</v>
      </c>
      <c r="O8" s="8">
        <v>2.5736814109639197E-2</v>
      </c>
      <c r="P8" s="8">
        <v>3.7863874189484739E-2</v>
      </c>
      <c r="Q8" s="8">
        <v>3.0183601475415912E-2</v>
      </c>
      <c r="R8" s="8">
        <v>5.4402764890226843E-2</v>
      </c>
      <c r="S8" s="8">
        <v>5.0825104087990486E-2</v>
      </c>
      <c r="T8" s="8">
        <v>3.792173995577524E-2</v>
      </c>
      <c r="U8" s="8">
        <v>3.0891197786606844E-2</v>
      </c>
      <c r="V8" s="8">
        <v>4.3110537352426752E-2</v>
      </c>
      <c r="W8" s="8"/>
      <c r="AA8" s="3"/>
    </row>
    <row r="9" spans="1:27" x14ac:dyDescent="0.25">
      <c r="A9" s="2" t="s">
        <v>6</v>
      </c>
      <c r="B9" s="8">
        <v>3.0963951827629E-2</v>
      </c>
      <c r="C9" s="8">
        <v>3.8821478743153559E-2</v>
      </c>
      <c r="D9" s="8">
        <v>3.3754025110544553E-2</v>
      </c>
      <c r="E9" s="8">
        <v>1.4342517526733727E-2</v>
      </c>
      <c r="F9" s="8">
        <v>3.4774677612631658E-2</v>
      </c>
      <c r="G9" s="8">
        <v>1.1078501978781312</v>
      </c>
      <c r="H9" s="8">
        <v>2.0779982762064279E-2</v>
      </c>
      <c r="I9" s="8">
        <v>4.0956475260610345E-2</v>
      </c>
      <c r="J9" s="8">
        <v>3.0894891388138543E-2</v>
      </c>
      <c r="K9" s="8">
        <v>5.2653718711892478E-2</v>
      </c>
      <c r="L9" s="8">
        <v>1.9540870039612787E-2</v>
      </c>
      <c r="M9" s="8">
        <v>5.8483215730304169E-2</v>
      </c>
      <c r="N9" s="8">
        <v>5.2600485221348345E-2</v>
      </c>
      <c r="O9" s="8">
        <v>3.0602263260894099E-2</v>
      </c>
      <c r="P9" s="8">
        <v>4.0528270788454224E-2</v>
      </c>
      <c r="Q9" s="8">
        <v>4.0758359871453792E-2</v>
      </c>
      <c r="R9" s="8">
        <v>4.2147887731718944E-2</v>
      </c>
      <c r="S9" s="8">
        <v>4.3046586644863286E-2</v>
      </c>
      <c r="T9" s="8">
        <v>3.439126984618561E-2</v>
      </c>
      <c r="U9" s="8">
        <v>3.9250231468524528E-2</v>
      </c>
      <c r="V9" s="8">
        <v>6.4065862884697955E-2</v>
      </c>
      <c r="W9" s="8"/>
      <c r="AA9" s="3"/>
    </row>
    <row r="10" spans="1:27" x14ac:dyDescent="0.25">
      <c r="A10" s="2" t="s">
        <v>7</v>
      </c>
      <c r="B10" s="8">
        <v>3.2829198174271393E-2</v>
      </c>
      <c r="C10" s="8">
        <v>3.5536165303905812E-2</v>
      </c>
      <c r="D10" s="8">
        <v>4.4056767191837078E-2</v>
      </c>
      <c r="E10" s="8">
        <v>1.932477294979109E-2</v>
      </c>
      <c r="F10" s="8">
        <v>2.2412529791640844E-2</v>
      </c>
      <c r="G10" s="8">
        <v>2.2211682742386524E-2</v>
      </c>
      <c r="H10" s="8">
        <v>1.089930365028791</v>
      </c>
      <c r="I10" s="8">
        <v>2.4785062014087287E-2</v>
      </c>
      <c r="J10" s="8">
        <v>2.9536480846830568E-2</v>
      </c>
      <c r="K10" s="8">
        <v>2.5978477883458192E-2</v>
      </c>
      <c r="L10" s="8">
        <v>1.6520704232681573E-2</v>
      </c>
      <c r="M10" s="8">
        <v>3.7938478517678169E-2</v>
      </c>
      <c r="N10" s="8">
        <v>3.6737251939318663E-2</v>
      </c>
      <c r="O10" s="8">
        <v>1.8163468268981488E-2</v>
      </c>
      <c r="P10" s="8">
        <v>3.8066581137782725E-2</v>
      </c>
      <c r="Q10" s="8">
        <v>2.7742988615949819E-2</v>
      </c>
      <c r="R10" s="8">
        <v>7.466090855717894E-2</v>
      </c>
      <c r="S10" s="8">
        <v>5.5588070862683053E-2</v>
      </c>
      <c r="T10" s="8">
        <v>3.2734401190241756E-2</v>
      </c>
      <c r="U10" s="8">
        <v>2.4008934574015248E-2</v>
      </c>
      <c r="V10" s="8">
        <v>3.7243676634968317E-2</v>
      </c>
      <c r="W10" s="8"/>
      <c r="AA10" s="3"/>
    </row>
    <row r="11" spans="1:27" x14ac:dyDescent="0.25">
      <c r="A11" s="2" t="s">
        <v>8</v>
      </c>
      <c r="B11" s="8">
        <v>4.9010895783190844E-2</v>
      </c>
      <c r="C11" s="8">
        <v>6.5441579518397297E-2</v>
      </c>
      <c r="D11" s="8">
        <v>6.0615726245796066E-2</v>
      </c>
      <c r="E11" s="8">
        <v>2.226899969997435E-2</v>
      </c>
      <c r="F11" s="8">
        <v>3.245515713671706E-2</v>
      </c>
      <c r="G11" s="8">
        <v>2.4674882833743868E-2</v>
      </c>
      <c r="H11" s="8">
        <v>2.3549747077573031E-2</v>
      </c>
      <c r="I11" s="8">
        <v>1.032969017040031</v>
      </c>
      <c r="J11" s="8">
        <v>1.9286572650332554E-2</v>
      </c>
      <c r="K11" s="8">
        <v>2.1295857732041679E-2</v>
      </c>
      <c r="L11" s="8">
        <v>1.567066747224553E-2</v>
      </c>
      <c r="M11" s="8">
        <v>3.4980452407764276E-2</v>
      </c>
      <c r="N11" s="8">
        <v>3.5021138714325821E-2</v>
      </c>
      <c r="O11" s="8">
        <v>1.967639390472864E-2</v>
      </c>
      <c r="P11" s="8">
        <v>3.2013937166591719E-2</v>
      </c>
      <c r="Q11" s="8">
        <v>2.8399405038337575E-2</v>
      </c>
      <c r="R11" s="8">
        <v>3.418811946121289E-2</v>
      </c>
      <c r="S11" s="8">
        <v>5.635031701147384E-2</v>
      </c>
      <c r="T11" s="8">
        <v>2.4730553886277692E-2</v>
      </c>
      <c r="U11" s="8">
        <v>2.8184218872268609E-2</v>
      </c>
      <c r="V11" s="8">
        <v>4.4987455907370799E-2</v>
      </c>
      <c r="W11" s="8"/>
      <c r="AA11" s="3"/>
    </row>
    <row r="12" spans="1:27" x14ac:dyDescent="0.25">
      <c r="A12" s="2" t="s">
        <v>9</v>
      </c>
      <c r="B12" s="8">
        <v>4.8565087927574573E-2</v>
      </c>
      <c r="C12" s="8">
        <v>0.10120147920892313</v>
      </c>
      <c r="D12" s="8">
        <v>5.1525428555480667E-2</v>
      </c>
      <c r="E12" s="8">
        <v>1.9422478072464611E-2</v>
      </c>
      <c r="F12" s="8">
        <v>3.8217378633299326E-2</v>
      </c>
      <c r="G12" s="8">
        <v>3.8346823475156104E-2</v>
      </c>
      <c r="H12" s="8">
        <v>2.9610925914450057E-2</v>
      </c>
      <c r="I12" s="8">
        <v>4.0642415137183738E-2</v>
      </c>
      <c r="J12" s="8">
        <v>1.0387582498138479</v>
      </c>
      <c r="K12" s="8">
        <v>3.5891480128402813E-2</v>
      </c>
      <c r="L12" s="8">
        <v>3.1123400978447218E-2</v>
      </c>
      <c r="M12" s="8">
        <v>6.389722574522072E-2</v>
      </c>
      <c r="N12" s="8">
        <v>6.4372393080406196E-2</v>
      </c>
      <c r="O12" s="8">
        <v>3.3526764236968501E-2</v>
      </c>
      <c r="P12" s="8">
        <v>4.7347172222445499E-2</v>
      </c>
      <c r="Q12" s="8">
        <v>5.138205364247269E-2</v>
      </c>
      <c r="R12" s="8">
        <v>4.382953397188994E-2</v>
      </c>
      <c r="S12" s="8">
        <v>5.0620307166865733E-2</v>
      </c>
      <c r="T12" s="8">
        <v>4.2924171767871298E-2</v>
      </c>
      <c r="U12" s="8">
        <v>5.0940760068776028E-2</v>
      </c>
      <c r="V12" s="8">
        <v>8.4126278854751518E-2</v>
      </c>
      <c r="W12" s="8"/>
      <c r="AA12" s="3"/>
    </row>
    <row r="13" spans="1:27" x14ac:dyDescent="0.25">
      <c r="A13" s="2" t="s">
        <v>10</v>
      </c>
      <c r="B13" s="8">
        <v>5.2158242991080524E-2</v>
      </c>
      <c r="C13" s="8">
        <v>6.2811021161131256E-2</v>
      </c>
      <c r="D13" s="8">
        <v>4.4818278515349322E-2</v>
      </c>
      <c r="E13" s="8">
        <v>2.0865574716972396E-2</v>
      </c>
      <c r="F13" s="8">
        <v>4.5035881517445003E-2</v>
      </c>
      <c r="G13" s="8">
        <v>4.9940603134697482E-2</v>
      </c>
      <c r="H13" s="8">
        <v>3.9614793880637107E-2</v>
      </c>
      <c r="I13" s="8">
        <v>4.6624187726945029E-2</v>
      </c>
      <c r="J13" s="8">
        <v>4.5349435923582794E-2</v>
      </c>
      <c r="K13" s="8">
        <v>1.1925770693149542</v>
      </c>
      <c r="L13" s="8">
        <v>6.7185713150324164E-2</v>
      </c>
      <c r="M13" s="8">
        <v>6.557268569681883E-2</v>
      </c>
      <c r="N13" s="8">
        <v>6.206381390380173E-2</v>
      </c>
      <c r="O13" s="8">
        <v>3.4014826175793586E-2</v>
      </c>
      <c r="P13" s="8">
        <v>5.0104906168163606E-2</v>
      </c>
      <c r="Q13" s="8">
        <v>4.9590964648775722E-2</v>
      </c>
      <c r="R13" s="8">
        <v>7.3734738408148107E-2</v>
      </c>
      <c r="S13" s="8">
        <v>5.9562153996902269E-2</v>
      </c>
      <c r="T13" s="8">
        <v>4.1960539091106364E-2</v>
      </c>
      <c r="U13" s="8">
        <v>4.8094182695029554E-2</v>
      </c>
      <c r="V13" s="8">
        <v>7.8591469543309395E-2</v>
      </c>
      <c r="W13" s="8"/>
      <c r="AA13" s="3"/>
    </row>
    <row r="14" spans="1:27" x14ac:dyDescent="0.25">
      <c r="A14" s="2" t="s">
        <v>11</v>
      </c>
      <c r="B14" s="8">
        <v>0.16216611370864159</v>
      </c>
      <c r="C14" s="8">
        <v>0.20944750232444148</v>
      </c>
      <c r="D14" s="8">
        <v>0.16182255976961546</v>
      </c>
      <c r="E14" s="8">
        <v>6.3511752604157659E-2</v>
      </c>
      <c r="F14" s="8">
        <v>0.14435176853017895</v>
      </c>
      <c r="G14" s="8">
        <v>0.14450029859379895</v>
      </c>
      <c r="H14" s="8">
        <v>9.1023752626457219E-2</v>
      </c>
      <c r="I14" s="8">
        <v>0.14829160022292251</v>
      </c>
      <c r="J14" s="8">
        <v>0.16836278283150399</v>
      </c>
      <c r="K14" s="8">
        <v>0.15931605076213273</v>
      </c>
      <c r="L14" s="8">
        <v>1.1025478809055891</v>
      </c>
      <c r="M14" s="8">
        <v>0.23896749922489841</v>
      </c>
      <c r="N14" s="8">
        <v>0.22279257242594089</v>
      </c>
      <c r="O14" s="8">
        <v>0.1312823226651563</v>
      </c>
      <c r="P14" s="8">
        <v>0.18842710919667149</v>
      </c>
      <c r="Q14" s="8">
        <v>0.1778309213831758</v>
      </c>
      <c r="R14" s="8">
        <v>0.17481564639196756</v>
      </c>
      <c r="S14" s="8">
        <v>0.20012524033161211</v>
      </c>
      <c r="T14" s="8">
        <v>0.15607758599859956</v>
      </c>
      <c r="U14" s="8">
        <v>0.1709269825407787</v>
      </c>
      <c r="V14" s="8">
        <v>0.28113391743118282</v>
      </c>
      <c r="W14" s="8"/>
      <c r="AA14" s="3"/>
    </row>
    <row r="15" spans="1:27" x14ac:dyDescent="0.25">
      <c r="A15" s="2" t="s">
        <v>12</v>
      </c>
      <c r="B15" s="8">
        <v>3.6350122422760672E-2</v>
      </c>
      <c r="C15" s="8">
        <v>0.11055175091874191</v>
      </c>
      <c r="D15" s="8">
        <v>4.8684324285564344E-2</v>
      </c>
      <c r="E15" s="8">
        <v>2.0907549493579741E-2</v>
      </c>
      <c r="F15" s="8">
        <v>5.0126569371074924E-2</v>
      </c>
      <c r="G15" s="8">
        <v>6.4052374864888142E-2</v>
      </c>
      <c r="H15" s="8">
        <v>6.1376255830018892E-2</v>
      </c>
      <c r="I15" s="8">
        <v>4.6585635957165659E-2</v>
      </c>
      <c r="J15" s="8">
        <v>3.8591196562102366E-2</v>
      </c>
      <c r="K15" s="8">
        <v>8.216188303574562E-2</v>
      </c>
      <c r="L15" s="8">
        <v>3.3699615487658145E-2</v>
      </c>
      <c r="M15" s="8">
        <v>1.1193670518846177</v>
      </c>
      <c r="N15" s="8">
        <v>9.271208940351712E-2</v>
      </c>
      <c r="O15" s="8">
        <v>2.9702403819383487E-2</v>
      </c>
      <c r="P15" s="8">
        <v>6.6428612640638443E-2</v>
      </c>
      <c r="Q15" s="8">
        <v>4.11001050013933E-2</v>
      </c>
      <c r="R15" s="8">
        <v>7.9413043493649832E-2</v>
      </c>
      <c r="S15" s="8">
        <v>7.4877833046501849E-2</v>
      </c>
      <c r="T15" s="8">
        <v>4.3840965127853397E-2</v>
      </c>
      <c r="U15" s="8">
        <v>3.5181553656373453E-2</v>
      </c>
      <c r="V15" s="8">
        <v>5.5142601763501123E-2</v>
      </c>
      <c r="W15" s="8"/>
      <c r="AA15" s="3"/>
    </row>
    <row r="16" spans="1:27" x14ac:dyDescent="0.25">
      <c r="A16" s="2" t="s">
        <v>13</v>
      </c>
      <c r="B16" s="8">
        <v>3.8761133606422069E-2</v>
      </c>
      <c r="C16" s="8">
        <v>5.71106827183437E-2</v>
      </c>
      <c r="D16" s="8">
        <v>0.11688763190849347</v>
      </c>
      <c r="E16" s="8">
        <v>2.8286265627175917E-2</v>
      </c>
      <c r="F16" s="8">
        <v>7.2008246202659568E-2</v>
      </c>
      <c r="G16" s="8">
        <v>5.4299124646576762E-2</v>
      </c>
      <c r="H16" s="8">
        <v>4.4633657832575335E-2</v>
      </c>
      <c r="I16" s="8">
        <v>6.2482174471996194E-2</v>
      </c>
      <c r="J16" s="8">
        <v>4.5188514368659095E-2</v>
      </c>
      <c r="K16" s="8">
        <v>6.5894776286059484E-2</v>
      </c>
      <c r="L16" s="8">
        <v>3.392263116895531E-2</v>
      </c>
      <c r="M16" s="8">
        <v>5.8970540327424201E-2</v>
      </c>
      <c r="N16" s="8">
        <v>1.0685226137315686</v>
      </c>
      <c r="O16" s="8">
        <v>2.7127387482812178E-2</v>
      </c>
      <c r="P16" s="8">
        <v>7.2448200534238616E-2</v>
      </c>
      <c r="Q16" s="8">
        <v>3.2278751838503018E-2</v>
      </c>
      <c r="R16" s="8">
        <v>0.11688908862374402</v>
      </c>
      <c r="S16" s="8">
        <v>6.5507603503328779E-2</v>
      </c>
      <c r="T16" s="8">
        <v>4.564598126608313E-2</v>
      </c>
      <c r="U16" s="8">
        <v>2.9096349477685614E-2</v>
      </c>
      <c r="V16" s="8">
        <v>4.4387172456244628E-2</v>
      </c>
      <c r="W16" s="8"/>
      <c r="AA16" s="3"/>
    </row>
    <row r="17" spans="1:27" x14ac:dyDescent="0.25">
      <c r="A17" s="2" t="s">
        <v>14</v>
      </c>
      <c r="B17" s="8">
        <v>6.340521799357496E-3</v>
      </c>
      <c r="C17" s="8">
        <v>7.5766563980344806E-3</v>
      </c>
      <c r="D17" s="8">
        <v>6.4720345143916289E-3</v>
      </c>
      <c r="E17" s="8">
        <v>3.9893281174776486E-3</v>
      </c>
      <c r="F17" s="8">
        <v>7.4376950123041449E-3</v>
      </c>
      <c r="G17" s="8">
        <v>1.0357307461732961E-2</v>
      </c>
      <c r="H17" s="8">
        <v>1.8560146664900586E-2</v>
      </c>
      <c r="I17" s="8">
        <v>6.0674421588622135E-3</v>
      </c>
      <c r="J17" s="8">
        <v>5.5517958385484512E-3</v>
      </c>
      <c r="K17" s="8">
        <v>1.4996764727316951E-2</v>
      </c>
      <c r="L17" s="8">
        <v>3.6441588973946414E-3</v>
      </c>
      <c r="M17" s="8">
        <v>9.835033905344839E-3</v>
      </c>
      <c r="N17" s="8">
        <v>9.5591805366567143E-3</v>
      </c>
      <c r="O17" s="8">
        <v>1.0065468366085166</v>
      </c>
      <c r="P17" s="8">
        <v>1.2136474169863253E-2</v>
      </c>
      <c r="Q17" s="8">
        <v>8.6753949046025989E-3</v>
      </c>
      <c r="R17" s="8">
        <v>7.2020426733865215E-3</v>
      </c>
      <c r="S17" s="8">
        <v>7.7091770647051278E-3</v>
      </c>
      <c r="T17" s="8">
        <v>6.4788253663753967E-3</v>
      </c>
      <c r="U17" s="8">
        <v>8.1666573912086617E-3</v>
      </c>
      <c r="V17" s="8">
        <v>1.3373538944112579E-2</v>
      </c>
      <c r="W17" s="8"/>
      <c r="AA17" s="3"/>
    </row>
    <row r="18" spans="1:27" x14ac:dyDescent="0.25">
      <c r="A18" s="2" t="s">
        <v>15</v>
      </c>
      <c r="B18" s="8">
        <v>7.4410551397092101E-2</v>
      </c>
      <c r="C18" s="8">
        <v>8.1718264384979034E-2</v>
      </c>
      <c r="D18" s="8">
        <v>7.2074400192318547E-2</v>
      </c>
      <c r="E18" s="8">
        <v>2.95090694534123E-2</v>
      </c>
      <c r="F18" s="8">
        <v>7.1930877445049266E-2</v>
      </c>
      <c r="G18" s="8">
        <v>4.4578185902736503E-2</v>
      </c>
      <c r="H18" s="8">
        <v>4.151385064658096E-2</v>
      </c>
      <c r="I18" s="8">
        <v>6.3295440522859972E-2</v>
      </c>
      <c r="J18" s="8">
        <v>5.8615474426078833E-2</v>
      </c>
      <c r="K18" s="8">
        <v>6.2253850400216526E-2</v>
      </c>
      <c r="L18" s="8">
        <v>3.5975660423769547E-2</v>
      </c>
      <c r="M18" s="8">
        <v>9.847816298144503E-2</v>
      </c>
      <c r="N18" s="8">
        <v>0.11035938977739505</v>
      </c>
      <c r="O18" s="8">
        <v>7.1428999728132256E-2</v>
      </c>
      <c r="P18" s="8">
        <v>1.1427145509363648</v>
      </c>
      <c r="Q18" s="8">
        <v>0.10579324206975363</v>
      </c>
      <c r="R18" s="8">
        <v>7.1111149343635119E-2</v>
      </c>
      <c r="S18" s="8">
        <v>8.5534878140917356E-2</v>
      </c>
      <c r="T18" s="8">
        <v>7.4139902821953207E-2</v>
      </c>
      <c r="U18" s="8">
        <v>0.10506542972161274</v>
      </c>
      <c r="V18" s="8">
        <v>0.17301709450347369</v>
      </c>
      <c r="W18" s="8"/>
      <c r="AA18" s="3"/>
    </row>
    <row r="19" spans="1:27" x14ac:dyDescent="0.25">
      <c r="A19" s="2" t="s">
        <v>16</v>
      </c>
      <c r="B19" s="8">
        <v>4.5366034984213018E-3</v>
      </c>
      <c r="C19" s="8">
        <v>5.4913925313732365E-3</v>
      </c>
      <c r="D19" s="8">
        <v>6.2044057598385199E-3</v>
      </c>
      <c r="E19" s="8">
        <v>2.1673216586187232E-3</v>
      </c>
      <c r="F19" s="8">
        <v>3.919160744262214E-3</v>
      </c>
      <c r="G19" s="8">
        <v>5.760251155417671E-3</v>
      </c>
      <c r="H19" s="8">
        <v>2.6546626115638173E-3</v>
      </c>
      <c r="I19" s="8">
        <v>3.2387534848168048E-3</v>
      </c>
      <c r="J19" s="8">
        <v>2.9396675793657593E-3</v>
      </c>
      <c r="K19" s="8">
        <v>3.3717321464445294E-3</v>
      </c>
      <c r="L19" s="8">
        <v>1.900739561398124E-3</v>
      </c>
      <c r="M19" s="8">
        <v>4.9313463091297562E-3</v>
      </c>
      <c r="N19" s="8">
        <v>5.3842163362323716E-3</v>
      </c>
      <c r="O19" s="8">
        <v>3.4437472166155073E-3</v>
      </c>
      <c r="P19" s="8">
        <v>4.2628706624073818E-3</v>
      </c>
      <c r="Q19" s="8">
        <v>1.0126938819463516</v>
      </c>
      <c r="R19" s="8">
        <v>5.263662805885032E-3</v>
      </c>
      <c r="S19" s="8">
        <v>8.7777882581545723E-3</v>
      </c>
      <c r="T19" s="8">
        <v>3.8979776875254029E-3</v>
      </c>
      <c r="U19" s="8">
        <v>4.9712556382043461E-3</v>
      </c>
      <c r="V19" s="8">
        <v>8.2145238194991834E-3</v>
      </c>
      <c r="W19" s="8"/>
      <c r="AA19" s="3"/>
    </row>
    <row r="20" spans="1:27" x14ac:dyDescent="0.25">
      <c r="A20" s="2" t="s">
        <v>39</v>
      </c>
      <c r="B20" s="8">
        <v>2.9150642998700384E-2</v>
      </c>
      <c r="C20" s="8">
        <v>5.4580564529161206E-2</v>
      </c>
      <c r="D20" s="8">
        <v>7.3989312939370083E-2</v>
      </c>
      <c r="E20" s="8">
        <v>2.4382883937814695E-2</v>
      </c>
      <c r="F20" s="8">
        <v>2.9446886496334278E-2</v>
      </c>
      <c r="G20" s="8">
        <v>4.1418406421660246E-2</v>
      </c>
      <c r="H20" s="8">
        <v>4.360139147229939E-2</v>
      </c>
      <c r="I20" s="8">
        <v>5.2505290921754426E-2</v>
      </c>
      <c r="J20" s="8">
        <v>3.9626186583335388E-2</v>
      </c>
      <c r="K20" s="8">
        <v>8.4810964328280572E-2</v>
      </c>
      <c r="L20" s="8">
        <v>3.1606356575106395E-2</v>
      </c>
      <c r="M20" s="8">
        <v>0.111471379671917</v>
      </c>
      <c r="N20" s="8">
        <v>4.960260882063576E-2</v>
      </c>
      <c r="O20" s="8">
        <v>2.4299701362940958E-2</v>
      </c>
      <c r="P20" s="8">
        <v>6.3208748022356639E-2</v>
      </c>
      <c r="Q20" s="8">
        <v>2.8176107653983391E-2</v>
      </c>
      <c r="R20" s="8">
        <v>1.0617626633285104</v>
      </c>
      <c r="S20" s="8">
        <v>6.1749204776803165E-2</v>
      </c>
      <c r="T20" s="8">
        <v>4.271960405136483E-2</v>
      </c>
      <c r="U20" s="8">
        <v>2.6623484903831821E-2</v>
      </c>
      <c r="V20" s="8">
        <v>4.1077560466555932E-2</v>
      </c>
      <c r="W20" s="8"/>
      <c r="AA20" s="3"/>
    </row>
    <row r="21" spans="1:27" x14ac:dyDescent="0.25">
      <c r="A21" s="2" t="s">
        <v>38</v>
      </c>
      <c r="B21" s="8">
        <v>3.5979383012761858E-2</v>
      </c>
      <c r="C21" s="8">
        <v>5.7017189985259606E-2</v>
      </c>
      <c r="D21" s="8">
        <v>7.591572152261869E-2</v>
      </c>
      <c r="E21" s="8">
        <v>2.0928959330985573E-2</v>
      </c>
      <c r="F21" s="8">
        <v>5.7134356219584098E-2</v>
      </c>
      <c r="G21" s="8">
        <v>5.2493515437701053E-2</v>
      </c>
      <c r="H21" s="8">
        <v>4.0893464589364804E-2</v>
      </c>
      <c r="I21" s="8">
        <v>4.5223566632585539E-2</v>
      </c>
      <c r="J21" s="8">
        <v>3.5385482022456421E-2</v>
      </c>
      <c r="K21" s="8">
        <v>6.4816740412535753E-2</v>
      </c>
      <c r="L21" s="8">
        <v>2.2776769376965284E-2</v>
      </c>
      <c r="M21" s="8">
        <v>6.1939125581845493E-2</v>
      </c>
      <c r="N21" s="8">
        <v>5.3785889563271606E-2</v>
      </c>
      <c r="O21" s="8">
        <v>3.6861579637952509E-2</v>
      </c>
      <c r="P21" s="8">
        <v>5.7604410465339796E-2</v>
      </c>
      <c r="Q21" s="8">
        <v>4.3083375316912781E-2</v>
      </c>
      <c r="R21" s="8">
        <v>6.164369171595796E-2</v>
      </c>
      <c r="S21" s="8">
        <v>1.0706928563115734</v>
      </c>
      <c r="T21" s="8">
        <v>3.3743930773327706E-2</v>
      </c>
      <c r="U21" s="8">
        <v>3.7702714230079599E-2</v>
      </c>
      <c r="V21" s="8">
        <v>6.0246034064266089E-2</v>
      </c>
      <c r="W21" s="8"/>
      <c r="AA21" s="3"/>
    </row>
    <row r="22" spans="1:27" x14ac:dyDescent="0.25">
      <c r="A22" s="2" t="s">
        <v>17</v>
      </c>
      <c r="B22" s="8">
        <v>1.8684649512725939E-2</v>
      </c>
      <c r="C22" s="8">
        <v>2.1608514999780705E-2</v>
      </c>
      <c r="D22" s="8">
        <v>2.2211873061080366E-2</v>
      </c>
      <c r="E22" s="8">
        <v>9.0550800864356504E-3</v>
      </c>
      <c r="F22" s="8">
        <v>1.8681595916658047E-2</v>
      </c>
      <c r="G22" s="8">
        <v>1.7108968996775852E-2</v>
      </c>
      <c r="H22" s="8">
        <v>1.1093833749245084E-2</v>
      </c>
      <c r="I22" s="8">
        <v>1.8177239384250712E-2</v>
      </c>
      <c r="J22" s="8">
        <v>1.6711376088516573E-2</v>
      </c>
      <c r="K22" s="8">
        <v>1.9816733096243887E-2</v>
      </c>
      <c r="L22" s="8">
        <v>3.2664193206675976E-2</v>
      </c>
      <c r="M22" s="8">
        <v>2.7248295361017302E-2</v>
      </c>
      <c r="N22" s="8">
        <v>2.9226413877639631E-2</v>
      </c>
      <c r="O22" s="8">
        <v>1.5647041668403409E-2</v>
      </c>
      <c r="P22" s="8">
        <v>2.1829557716304238E-2</v>
      </c>
      <c r="Q22" s="8">
        <v>2.3666424038249041E-2</v>
      </c>
      <c r="R22" s="8">
        <v>2.16828400116999E-2</v>
      </c>
      <c r="S22" s="8">
        <v>2.3771043447320214E-2</v>
      </c>
      <c r="T22" s="8">
        <v>1.0204674448456004</v>
      </c>
      <c r="U22" s="8">
        <v>2.2652112915257885E-2</v>
      </c>
      <c r="V22" s="8">
        <v>3.7115750589771318E-2</v>
      </c>
      <c r="W22" s="8"/>
      <c r="AA22" s="3"/>
    </row>
    <row r="23" spans="1:27" x14ac:dyDescent="0.25">
      <c r="A23" s="2" t="s">
        <v>18</v>
      </c>
      <c r="B23" s="8">
        <v>5.9436022651120399E-2</v>
      </c>
      <c r="C23" s="8">
        <v>5.9511184331391714E-2</v>
      </c>
      <c r="D23" s="8">
        <v>6.1837627455691081E-2</v>
      </c>
      <c r="E23" s="8">
        <v>2.7244289082039193E-2</v>
      </c>
      <c r="F23" s="8">
        <v>0.11801374924424266</v>
      </c>
      <c r="G23" s="8">
        <v>4.3250536977994199E-2</v>
      </c>
      <c r="H23" s="8">
        <v>4.3697494829019447E-2</v>
      </c>
      <c r="I23" s="8">
        <v>5.1344432146439918E-2</v>
      </c>
      <c r="J23" s="8">
        <v>5.7633281508618892E-2</v>
      </c>
      <c r="K23" s="8">
        <v>6.3244475072422382E-2</v>
      </c>
      <c r="L23" s="8">
        <v>3.6127211120261238E-2</v>
      </c>
      <c r="M23" s="8">
        <v>7.670994818493139E-2</v>
      </c>
      <c r="N23" s="8">
        <v>8.6156849968705929E-2</v>
      </c>
      <c r="O23" s="8">
        <v>4.2160027040970119E-2</v>
      </c>
      <c r="P23" s="8">
        <v>6.9750661301436173E-2</v>
      </c>
      <c r="Q23" s="8">
        <v>6.7286100812789684E-2</v>
      </c>
      <c r="R23" s="8">
        <v>7.8976071308396234E-2</v>
      </c>
      <c r="S23" s="8">
        <v>7.1059978446285713E-2</v>
      </c>
      <c r="T23" s="8">
        <v>5.1863502666981941E-2</v>
      </c>
      <c r="U23" s="8">
        <v>1.0625236561725335</v>
      </c>
      <c r="V23" s="8">
        <v>0.10097306264083432</v>
      </c>
      <c r="W23" s="8"/>
      <c r="AA23" s="3"/>
    </row>
    <row r="24" spans="1:27" x14ac:dyDescent="0.25">
      <c r="A24" s="25" t="s">
        <v>29</v>
      </c>
      <c r="B24" s="26">
        <v>0.57563330669355917</v>
      </c>
      <c r="C24" s="26">
        <v>0.63115374094651655</v>
      </c>
      <c r="D24" s="26">
        <v>0.55737939448827478</v>
      </c>
      <c r="E24" s="26">
        <v>0.22808496186701588</v>
      </c>
      <c r="F24" s="26">
        <v>0.54315621780765921</v>
      </c>
      <c r="G24" s="26">
        <v>0.34357722438958799</v>
      </c>
      <c r="H24" s="26">
        <v>0.31972686174518206</v>
      </c>
      <c r="I24" s="26">
        <v>0.48964470709265312</v>
      </c>
      <c r="J24" s="26">
        <v>0.45351621540800696</v>
      </c>
      <c r="K24" s="26">
        <v>0.48014219414978748</v>
      </c>
      <c r="L24" s="26">
        <v>0.27772916867505759</v>
      </c>
      <c r="M24" s="26">
        <v>0.74177416437657884</v>
      </c>
      <c r="N24" s="26">
        <v>0.85141876526872995</v>
      </c>
      <c r="O24" s="26">
        <v>0.50946965120553345</v>
      </c>
      <c r="P24" s="26">
        <v>0.6463474276168053</v>
      </c>
      <c r="Q24" s="26">
        <v>0.80798422181700669</v>
      </c>
      <c r="R24" s="26">
        <v>0.5491260971872346</v>
      </c>
      <c r="S24" s="26">
        <v>0.66147169931774752</v>
      </c>
      <c r="T24" s="26">
        <v>0.55775555983106784</v>
      </c>
      <c r="U24" s="26">
        <v>0.80786457430739367</v>
      </c>
      <c r="V24" s="27">
        <v>1.3414470207909355</v>
      </c>
      <c r="W24" s="8"/>
    </row>
    <row r="25" spans="1:27" x14ac:dyDescent="0.25">
      <c r="A25" s="28" t="s">
        <v>40</v>
      </c>
      <c r="B25" s="29">
        <v>1.9184367264908766</v>
      </c>
      <c r="C25" s="29">
        <v>2.0834013702151957</v>
      </c>
      <c r="D25" s="29">
        <v>2.106954799631191</v>
      </c>
      <c r="E25" s="29">
        <v>1.3840418998834374</v>
      </c>
      <c r="F25" s="29">
        <v>1.9041705338786969</v>
      </c>
      <c r="G25" s="29">
        <v>1.8021667121154969</v>
      </c>
      <c r="H25" s="29">
        <v>1.8389500869934672</v>
      </c>
      <c r="I25" s="29">
        <v>1.7602937324460339</v>
      </c>
      <c r="J25" s="29">
        <v>1.7003640183805071</v>
      </c>
      <c r="K25" s="29">
        <v>2.0471234708764965</v>
      </c>
      <c r="L25" s="29">
        <v>1.58083152794113</v>
      </c>
      <c r="M25" s="29">
        <v>2.2240284220498174</v>
      </c>
      <c r="N25" s="29">
        <v>2.0909784431560658</v>
      </c>
      <c r="O25" s="29">
        <v>1.5916791584896197</v>
      </c>
      <c r="P25" s="29">
        <v>1.9990321603967165</v>
      </c>
      <c r="Q25" s="29">
        <v>1.8171627482305561</v>
      </c>
      <c r="R25" s="29">
        <v>2.0940059259980028</v>
      </c>
      <c r="S25" s="29">
        <v>2.1235542743501648</v>
      </c>
      <c r="T25" s="29">
        <v>1.7389038697481489</v>
      </c>
      <c r="U25" s="29">
        <v>1.772030177415052</v>
      </c>
      <c r="V25" s="29"/>
      <c r="AA25" s="3"/>
    </row>
    <row r="26" spans="1:27" x14ac:dyDescent="0.25"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8" spans="1:27" x14ac:dyDescent="0.25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docMetadata/LabelInfo.xml><?xml version="1.0" encoding="utf-8"?>
<clbl:labelList xmlns:clbl="http://schemas.microsoft.com/office/2020/mipLabelMetadata">
  <clbl:label id="{3847dec6-63b2-43f9-a6d0-58a40aaa1a10}" enabled="0" method="" siteId="{3847dec6-63b2-43f9-a6d0-58a40aaa1a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I-O condensed 2022</vt:lpstr>
      <vt:lpstr>output earning ML</vt:lpstr>
      <vt:lpstr>job ML</vt:lpstr>
      <vt:lpstr>direct req.</vt:lpstr>
      <vt:lpstr>ttll req.- type 1</vt:lpstr>
      <vt:lpstr>ttl req. - type 2</vt:lpstr>
      <vt:lpstr>'I-O condensed 2022'!Print_Area</vt:lpstr>
      <vt:lpstr>'job ML'!Print_Area</vt:lpstr>
      <vt:lpstr>'ttl req. - type 2'!Print_Area</vt:lpstr>
      <vt:lpstr>'ttll req.- type 1'!Print_Area</vt:lpstr>
      <vt:lpstr>'I-O condensed 2022'!Print_Titles</vt:lpstr>
    </vt:vector>
  </TitlesOfParts>
  <Company>State of Hawaii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Peterson</dc:creator>
  <cp:lastModifiedBy>Roos, Joseph A</cp:lastModifiedBy>
  <cp:lastPrinted>2008-06-26T00:18:43Z</cp:lastPrinted>
  <dcterms:created xsi:type="dcterms:W3CDTF">2002-02-07T00:14:45Z</dcterms:created>
  <dcterms:modified xsi:type="dcterms:W3CDTF">2025-10-20T22:48:05Z</dcterms:modified>
</cp:coreProperties>
</file>