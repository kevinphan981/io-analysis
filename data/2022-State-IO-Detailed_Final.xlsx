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sJA\Desktop\"/>
    </mc:Choice>
  </mc:AlternateContent>
  <xr:revisionPtr revIDLastSave="0" documentId="8_{134638E8-D201-4078-A90D-3416F2CAF7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-O" sheetId="2" r:id="rId1"/>
    <sheet name="fd, income ML" sheetId="1" r:id="rId2"/>
    <sheet name="job ML" sheetId="5" r:id="rId3"/>
    <sheet name="direct requirements" sheetId="3" r:id="rId4"/>
    <sheet name="ttl req. - type 1" sheetId="6" r:id="rId5"/>
    <sheet name="fd, income ML (2)" sheetId="7" r:id="rId6"/>
    <sheet name="ttl req. - type 2" sheetId="4" r:id="rId7"/>
  </sheets>
  <definedNames>
    <definedName name="_xlnm.Print_Area" localSheetId="1">'fd, income ML'!#REF!</definedName>
    <definedName name="_xlnm.Print_Area" localSheetId="5">'fd, income ML (2)'!#REF!</definedName>
    <definedName name="_xlnm.Print_Area" localSheetId="0">'I-O'!$B$2:$BS$75</definedName>
    <definedName name="_xlnm.Print_Area" localSheetId="2">'job ML'!$B$2:$N$67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0" i="7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" i="7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6" i="1"/>
  <c r="J73" i="7" l="1"/>
  <c r="K73" i="7"/>
  <c r="L73" i="7"/>
  <c r="M73" i="7"/>
  <c r="N73" i="7"/>
  <c r="O73" i="7"/>
  <c r="P73" i="7"/>
  <c r="Q73" i="7"/>
  <c r="R73" i="7"/>
  <c r="I73" i="7"/>
  <c r="G73" i="7"/>
  <c r="F73" i="7"/>
  <c r="D73" i="7"/>
  <c r="C73" i="7"/>
  <c r="J72" i="7"/>
  <c r="K72" i="7"/>
  <c r="L72" i="7"/>
  <c r="M72" i="7"/>
  <c r="N72" i="7"/>
  <c r="O72" i="7"/>
  <c r="P72" i="7"/>
  <c r="Q72" i="7"/>
  <c r="R72" i="7"/>
  <c r="I72" i="7"/>
  <c r="G72" i="7"/>
  <c r="F72" i="7"/>
  <c r="D72" i="7"/>
  <c r="C72" i="7"/>
  <c r="R70" i="7"/>
  <c r="Q70" i="7"/>
  <c r="P70" i="7"/>
  <c r="O70" i="7"/>
  <c r="N70" i="7"/>
  <c r="M70" i="7"/>
  <c r="K70" i="7"/>
  <c r="J70" i="7"/>
  <c r="I70" i="7"/>
  <c r="G70" i="7"/>
  <c r="F70" i="7"/>
  <c r="D70" i="7"/>
  <c r="C70" i="7"/>
  <c r="J69" i="7"/>
  <c r="K69" i="7"/>
  <c r="L69" i="7"/>
  <c r="M69" i="7"/>
  <c r="N69" i="7"/>
  <c r="O69" i="7"/>
  <c r="P69" i="7"/>
  <c r="Q69" i="7"/>
  <c r="R69" i="7"/>
  <c r="I69" i="7"/>
  <c r="G69" i="7"/>
  <c r="F69" i="7"/>
  <c r="D69" i="7"/>
  <c r="C69" i="7"/>
  <c r="T6" i="7" l="1"/>
  <c r="U6" i="7"/>
  <c r="X6" i="7"/>
  <c r="AG7" i="7" s="1"/>
  <c r="Y6" i="7"/>
  <c r="BF7" i="7" s="1"/>
  <c r="AA6" i="7"/>
  <c r="AB6" i="7"/>
  <c r="T7" i="7"/>
  <c r="U7" i="7"/>
  <c r="X7" i="7"/>
  <c r="Y7" i="7"/>
  <c r="AY8" i="7" s="1"/>
  <c r="AA7" i="7"/>
  <c r="AB7" i="7"/>
  <c r="AD7" i="7"/>
  <c r="AE7" i="7"/>
  <c r="AJ7" i="7"/>
  <c r="AK7" i="7"/>
  <c r="AL7" i="7"/>
  <c r="AM7" i="7"/>
  <c r="AN7" i="7"/>
  <c r="AO7" i="7"/>
  <c r="AR7" i="7"/>
  <c r="AS7" i="7"/>
  <c r="T8" i="7"/>
  <c r="U8" i="7"/>
  <c r="X8" i="7"/>
  <c r="AD9" i="7" s="1"/>
  <c r="Y8" i="7"/>
  <c r="AA8" i="7"/>
  <c r="AB8" i="7"/>
  <c r="AD8" i="7"/>
  <c r="AE8" i="7"/>
  <c r="AG8" i="7"/>
  <c r="AH8" i="7"/>
  <c r="AJ8" i="7"/>
  <c r="AK8" i="7"/>
  <c r="AL8" i="7"/>
  <c r="AM8" i="7"/>
  <c r="AN8" i="7"/>
  <c r="AO8" i="7"/>
  <c r="AP8" i="7"/>
  <c r="AQ8" i="7"/>
  <c r="AR8" i="7"/>
  <c r="AS8" i="7"/>
  <c r="AU8" i="7"/>
  <c r="AV8" i="7"/>
  <c r="AX8" i="7"/>
  <c r="BB8" i="7"/>
  <c r="BC8" i="7"/>
  <c r="BD8" i="7"/>
  <c r="BE8" i="7"/>
  <c r="BF8" i="7"/>
  <c r="BG8" i="7"/>
  <c r="BJ8" i="7"/>
  <c r="BO8" i="7"/>
  <c r="T9" i="7"/>
  <c r="U9" i="7"/>
  <c r="X9" i="7"/>
  <c r="Y9" i="7"/>
  <c r="AA9" i="7"/>
  <c r="AB9" i="7"/>
  <c r="AG9" i="7"/>
  <c r="AH9" i="7"/>
  <c r="AJ9" i="7"/>
  <c r="AK9" i="7"/>
  <c r="AL9" i="7"/>
  <c r="AM9" i="7"/>
  <c r="AP9" i="7"/>
  <c r="AQ9" i="7"/>
  <c r="AR9" i="7"/>
  <c r="AS9" i="7"/>
  <c r="AU9" i="7"/>
  <c r="AV9" i="7"/>
  <c r="BB9" i="7"/>
  <c r="BC9" i="7"/>
  <c r="BD9" i="7"/>
  <c r="BF9" i="7"/>
  <c r="BJ9" i="7"/>
  <c r="BL9" i="7"/>
  <c r="BM9" i="7"/>
  <c r="BO9" i="7"/>
  <c r="BP9" i="7"/>
  <c r="T10" i="7"/>
  <c r="U10" i="7"/>
  <c r="X10" i="7"/>
  <c r="Y10" i="7"/>
  <c r="AA10" i="7"/>
  <c r="AB10" i="7"/>
  <c r="AU10" i="7"/>
  <c r="BC10" i="7"/>
  <c r="BJ10" i="7"/>
  <c r="BL10" i="7"/>
  <c r="T11" i="7"/>
  <c r="U11" i="7"/>
  <c r="X11" i="7"/>
  <c r="Y11" i="7"/>
  <c r="AA11" i="7"/>
  <c r="AB11" i="7"/>
  <c r="AE11" i="7"/>
  <c r="AG11" i="7"/>
  <c r="AH11" i="7"/>
  <c r="AJ11" i="7"/>
  <c r="AK11" i="7"/>
  <c r="AO11" i="7"/>
  <c r="AP11" i="7"/>
  <c r="AR11" i="7"/>
  <c r="AS11" i="7"/>
  <c r="BS11" i="7"/>
  <c r="T12" i="7"/>
  <c r="U12" i="7"/>
  <c r="X12" i="7"/>
  <c r="Y12" i="7"/>
  <c r="AA12" i="7"/>
  <c r="AB12" i="7"/>
  <c r="AD12" i="7"/>
  <c r="AE12" i="7"/>
  <c r="AG12" i="7"/>
  <c r="AX12" i="7"/>
  <c r="BB12" i="7"/>
  <c r="BC12" i="7"/>
  <c r="BG12" i="7"/>
  <c r="BH12" i="7"/>
  <c r="BI12" i="7"/>
  <c r="BJ12" i="7"/>
  <c r="BS12" i="7"/>
  <c r="T13" i="7"/>
  <c r="U13" i="7"/>
  <c r="X13" i="7"/>
  <c r="Y13" i="7"/>
  <c r="AA13" i="7"/>
  <c r="AB13" i="7"/>
  <c r="AD13" i="7"/>
  <c r="AE13" i="7"/>
  <c r="AG13" i="7"/>
  <c r="AH13" i="7"/>
  <c r="AM13" i="7"/>
  <c r="AN13" i="7"/>
  <c r="AO13" i="7"/>
  <c r="AP13" i="7"/>
  <c r="AQ13" i="7"/>
  <c r="AV13" i="7"/>
  <c r="AX13" i="7"/>
  <c r="AY13" i="7"/>
  <c r="BA13" i="7"/>
  <c r="BB13" i="7"/>
  <c r="BF13" i="7"/>
  <c r="BG13" i="7"/>
  <c r="BH13" i="7"/>
  <c r="BI13" i="7"/>
  <c r="BJ13" i="7"/>
  <c r="BL13" i="7"/>
  <c r="BM13" i="7"/>
  <c r="BO13" i="7"/>
  <c r="BP13" i="7"/>
  <c r="BR13" i="7"/>
  <c r="BS13" i="7"/>
  <c r="T14" i="7"/>
  <c r="U14" i="7"/>
  <c r="X14" i="7"/>
  <c r="Y14" i="7"/>
  <c r="AA14" i="7"/>
  <c r="AB14" i="7"/>
  <c r="AU14" i="7"/>
  <c r="AV14" i="7"/>
  <c r="AX14" i="7"/>
  <c r="AY14" i="7"/>
  <c r="BA14" i="7"/>
  <c r="BB14" i="7"/>
  <c r="BC14" i="7"/>
  <c r="BD14" i="7"/>
  <c r="BE14" i="7"/>
  <c r="BF14" i="7"/>
  <c r="BG14" i="7"/>
  <c r="BH14" i="7"/>
  <c r="BI14" i="7"/>
  <c r="BJ14" i="7"/>
  <c r="BL14" i="7"/>
  <c r="BM14" i="7"/>
  <c r="BO14" i="7"/>
  <c r="BP14" i="7"/>
  <c r="BR14" i="7"/>
  <c r="BS14" i="7"/>
  <c r="T15" i="7"/>
  <c r="U15" i="7"/>
  <c r="X15" i="7"/>
  <c r="Y15" i="7"/>
  <c r="AY16" i="7" s="1"/>
  <c r="AA15" i="7"/>
  <c r="AB15" i="7"/>
  <c r="AD15" i="7"/>
  <c r="AE15" i="7"/>
  <c r="AG15" i="7"/>
  <c r="AH15" i="7"/>
  <c r="AJ15" i="7"/>
  <c r="AK15" i="7"/>
  <c r="AL15" i="7"/>
  <c r="AM15" i="7"/>
  <c r="AN15" i="7"/>
  <c r="AO15" i="7"/>
  <c r="AP15" i="7"/>
  <c r="AQ15" i="7"/>
  <c r="AR15" i="7"/>
  <c r="AS15" i="7"/>
  <c r="AU15" i="7"/>
  <c r="AV15" i="7"/>
  <c r="AX15" i="7"/>
  <c r="AY15" i="7"/>
  <c r="BA15" i="7"/>
  <c r="BB15" i="7"/>
  <c r="BC15" i="7"/>
  <c r="BD15" i="7"/>
  <c r="BE15" i="7"/>
  <c r="BF15" i="7"/>
  <c r="BG15" i="7"/>
  <c r="BH15" i="7"/>
  <c r="BI15" i="7"/>
  <c r="BJ15" i="7"/>
  <c r="BL15" i="7"/>
  <c r="BM15" i="7"/>
  <c r="BO15" i="7"/>
  <c r="BP15" i="7"/>
  <c r="BR15" i="7"/>
  <c r="BS15" i="7"/>
  <c r="T16" i="7"/>
  <c r="U16" i="7"/>
  <c r="X16" i="7"/>
  <c r="AD17" i="7" s="1"/>
  <c r="Y16" i="7"/>
  <c r="AA16" i="7"/>
  <c r="AB16" i="7"/>
  <c r="AD16" i="7"/>
  <c r="AE16" i="7"/>
  <c r="AG16" i="7"/>
  <c r="AH16" i="7"/>
  <c r="AJ16" i="7"/>
  <c r="AK16" i="7"/>
  <c r="AL16" i="7"/>
  <c r="AM16" i="7"/>
  <c r="AN16" i="7"/>
  <c r="AO16" i="7"/>
  <c r="AP16" i="7"/>
  <c r="AQ16" i="7"/>
  <c r="AR16" i="7"/>
  <c r="AS16" i="7"/>
  <c r="AU16" i="7"/>
  <c r="AV16" i="7"/>
  <c r="AX16" i="7"/>
  <c r="BB16" i="7"/>
  <c r="BC16" i="7"/>
  <c r="BD16" i="7"/>
  <c r="BE16" i="7"/>
  <c r="BF16" i="7"/>
  <c r="BG16" i="7"/>
  <c r="BI16" i="7"/>
  <c r="BJ16" i="7"/>
  <c r="BL16" i="7"/>
  <c r="T17" i="7"/>
  <c r="U17" i="7"/>
  <c r="X17" i="7"/>
  <c r="Y17" i="7"/>
  <c r="AA17" i="7"/>
  <c r="AB17" i="7"/>
  <c r="AG17" i="7"/>
  <c r="AH17" i="7"/>
  <c r="AJ17" i="7"/>
  <c r="AK17" i="7"/>
  <c r="AL17" i="7"/>
  <c r="AM17" i="7"/>
  <c r="AO17" i="7"/>
  <c r="AP17" i="7"/>
  <c r="AQ17" i="7"/>
  <c r="AR17" i="7"/>
  <c r="AS17" i="7"/>
  <c r="AU17" i="7"/>
  <c r="AV17" i="7"/>
  <c r="BD17" i="7"/>
  <c r="BE17" i="7"/>
  <c r="T18" i="7"/>
  <c r="U18" i="7"/>
  <c r="X18" i="7"/>
  <c r="Y18" i="7"/>
  <c r="AA18" i="7"/>
  <c r="AB18" i="7"/>
  <c r="AL18" i="7"/>
  <c r="BL18" i="7"/>
  <c r="BM18" i="7"/>
  <c r="BO18" i="7"/>
  <c r="T19" i="7"/>
  <c r="U19" i="7"/>
  <c r="X19" i="7"/>
  <c r="Y19" i="7"/>
  <c r="AA19" i="7"/>
  <c r="AB19" i="7"/>
  <c r="AH19" i="7"/>
  <c r="AJ19" i="7"/>
  <c r="AP19" i="7"/>
  <c r="BL19" i="7"/>
  <c r="BM19" i="7"/>
  <c r="T20" i="7"/>
  <c r="U20" i="7"/>
  <c r="X20" i="7"/>
  <c r="Y20" i="7"/>
  <c r="AA20" i="7"/>
  <c r="AB20" i="7"/>
  <c r="AN20" i="7"/>
  <c r="AO20" i="7"/>
  <c r="AX20" i="7"/>
  <c r="AY20" i="7"/>
  <c r="BA20" i="7"/>
  <c r="BB20" i="7"/>
  <c r="BC20" i="7"/>
  <c r="BG20" i="7"/>
  <c r="BH20" i="7"/>
  <c r="BI20" i="7"/>
  <c r="BJ20" i="7"/>
  <c r="BL20" i="7"/>
  <c r="BR20" i="7"/>
  <c r="BS20" i="7"/>
  <c r="T21" i="7"/>
  <c r="U21" i="7"/>
  <c r="X21" i="7"/>
  <c r="Y21" i="7"/>
  <c r="AA21" i="7"/>
  <c r="AB21" i="7"/>
  <c r="AG21" i="7"/>
  <c r="AN21" i="7"/>
  <c r="AO21" i="7"/>
  <c r="AP21" i="7"/>
  <c r="BG21" i="7"/>
  <c r="BH21" i="7"/>
  <c r="BI21" i="7"/>
  <c r="BJ21" i="7"/>
  <c r="BL21" i="7"/>
  <c r="BM21" i="7"/>
  <c r="BO21" i="7"/>
  <c r="BP21" i="7"/>
  <c r="BR21" i="7"/>
  <c r="BS21" i="7"/>
  <c r="T22" i="7"/>
  <c r="U22" i="7"/>
  <c r="X22" i="7"/>
  <c r="Y22" i="7"/>
  <c r="AA22" i="7"/>
  <c r="AB22" i="7"/>
  <c r="AD22" i="7"/>
  <c r="AE22" i="7"/>
  <c r="AG22" i="7"/>
  <c r="AL22" i="7"/>
  <c r="AM22" i="7"/>
  <c r="AN22" i="7"/>
  <c r="AO22" i="7"/>
  <c r="AP22" i="7"/>
  <c r="AU22" i="7"/>
  <c r="AV22" i="7"/>
  <c r="AX22" i="7"/>
  <c r="AY22" i="7"/>
  <c r="BA22" i="7"/>
  <c r="BB22" i="7"/>
  <c r="BC22" i="7"/>
  <c r="BD22" i="7"/>
  <c r="BE22" i="7"/>
  <c r="BF22" i="7"/>
  <c r="BG22" i="7"/>
  <c r="BH22" i="7"/>
  <c r="BI22" i="7"/>
  <c r="BJ22" i="7"/>
  <c r="BL22" i="7"/>
  <c r="BM22" i="7"/>
  <c r="BO22" i="7"/>
  <c r="BP22" i="7"/>
  <c r="BR22" i="7"/>
  <c r="BS22" i="7"/>
  <c r="T23" i="7"/>
  <c r="U23" i="7"/>
  <c r="X23" i="7"/>
  <c r="Y23" i="7"/>
  <c r="AA23" i="7"/>
  <c r="AB23" i="7"/>
  <c r="AD23" i="7"/>
  <c r="AE23" i="7"/>
  <c r="AG23" i="7"/>
  <c r="AH23" i="7"/>
  <c r="AJ23" i="7"/>
  <c r="AK23" i="7"/>
  <c r="AL23" i="7"/>
  <c r="AM23" i="7"/>
  <c r="AN23" i="7"/>
  <c r="AO23" i="7"/>
  <c r="AP23" i="7"/>
  <c r="AQ23" i="7"/>
  <c r="AR23" i="7"/>
  <c r="AS23" i="7"/>
  <c r="AU23" i="7"/>
  <c r="AV23" i="7"/>
  <c r="AX23" i="7"/>
  <c r="AY23" i="7"/>
  <c r="BA23" i="7"/>
  <c r="BB23" i="7"/>
  <c r="BC23" i="7"/>
  <c r="BD23" i="7"/>
  <c r="BE23" i="7"/>
  <c r="BF23" i="7"/>
  <c r="BG23" i="7"/>
  <c r="BH23" i="7"/>
  <c r="BI23" i="7"/>
  <c r="BJ23" i="7"/>
  <c r="BL23" i="7"/>
  <c r="BM23" i="7"/>
  <c r="BO23" i="7"/>
  <c r="BP23" i="7"/>
  <c r="BR23" i="7"/>
  <c r="BS23" i="7"/>
  <c r="T24" i="7"/>
  <c r="U24" i="7"/>
  <c r="X24" i="7"/>
  <c r="Y24" i="7"/>
  <c r="AA24" i="7"/>
  <c r="AB24" i="7"/>
  <c r="AD24" i="7"/>
  <c r="AE24" i="7"/>
  <c r="AG24" i="7"/>
  <c r="AH24" i="7"/>
  <c r="AJ24" i="7"/>
  <c r="AK24" i="7"/>
  <c r="AL24" i="7"/>
  <c r="AM24" i="7"/>
  <c r="AN24" i="7"/>
  <c r="AO24" i="7"/>
  <c r="AP24" i="7"/>
  <c r="AQ24" i="7"/>
  <c r="AR24" i="7"/>
  <c r="AS24" i="7"/>
  <c r="AU24" i="7"/>
  <c r="AV24" i="7"/>
  <c r="AX24" i="7"/>
  <c r="AY24" i="7"/>
  <c r="BA24" i="7"/>
  <c r="BB24" i="7"/>
  <c r="BC24" i="7"/>
  <c r="BD24" i="7"/>
  <c r="BE24" i="7"/>
  <c r="BF24" i="7"/>
  <c r="BG24" i="7"/>
  <c r="BH24" i="7"/>
  <c r="BI24" i="7"/>
  <c r="BJ24" i="7"/>
  <c r="BL24" i="7"/>
  <c r="BM24" i="7"/>
  <c r="BO24" i="7"/>
  <c r="T25" i="7"/>
  <c r="U25" i="7"/>
  <c r="X25" i="7"/>
  <c r="Y25" i="7"/>
  <c r="AA25" i="7"/>
  <c r="AB25" i="7"/>
  <c r="AD25" i="7"/>
  <c r="AE25" i="7"/>
  <c r="AG25" i="7"/>
  <c r="AH25" i="7"/>
  <c r="AJ25" i="7"/>
  <c r="AK25" i="7"/>
  <c r="AL25" i="7"/>
  <c r="AM25" i="7"/>
  <c r="AN25" i="7"/>
  <c r="AO25" i="7"/>
  <c r="AP25" i="7"/>
  <c r="AQ25" i="7"/>
  <c r="AR25" i="7"/>
  <c r="AS25" i="7"/>
  <c r="AU25" i="7"/>
  <c r="BC25" i="7"/>
  <c r="BD25" i="7"/>
  <c r="T26" i="7"/>
  <c r="U26" i="7"/>
  <c r="X26" i="7"/>
  <c r="Y26" i="7"/>
  <c r="AA26" i="7"/>
  <c r="AB26" i="7"/>
  <c r="AG26" i="7"/>
  <c r="AH26" i="7"/>
  <c r="AJ26" i="7"/>
  <c r="AK26" i="7"/>
  <c r="AR26" i="7"/>
  <c r="AS26" i="7"/>
  <c r="AU26" i="7"/>
  <c r="AV26" i="7"/>
  <c r="BA26" i="7"/>
  <c r="BJ26" i="7"/>
  <c r="BL26" i="7"/>
  <c r="BM26" i="7"/>
  <c r="T27" i="7"/>
  <c r="U27" i="7"/>
  <c r="X27" i="7"/>
  <c r="Y27" i="7"/>
  <c r="AA27" i="7"/>
  <c r="AB27" i="7"/>
  <c r="AG27" i="7"/>
  <c r="AH27" i="7"/>
  <c r="AJ27" i="7"/>
  <c r="AR27" i="7"/>
  <c r="AS27" i="7"/>
  <c r="AU27" i="7"/>
  <c r="AY27" i="7"/>
  <c r="BA27" i="7"/>
  <c r="BB27" i="7"/>
  <c r="BE27" i="7"/>
  <c r="BH27" i="7"/>
  <c r="BI27" i="7"/>
  <c r="BJ27" i="7"/>
  <c r="BL27" i="7"/>
  <c r="BM27" i="7"/>
  <c r="T28" i="7"/>
  <c r="U28" i="7"/>
  <c r="X28" i="7"/>
  <c r="Y28" i="7"/>
  <c r="AA28" i="7"/>
  <c r="AB28" i="7"/>
  <c r="AE28" i="7"/>
  <c r="AG28" i="7"/>
  <c r="AH28" i="7"/>
  <c r="AJ28" i="7"/>
  <c r="AK28" i="7"/>
  <c r="AN28" i="7"/>
  <c r="AQ28" i="7"/>
  <c r="AR28" i="7"/>
  <c r="AS28" i="7"/>
  <c r="AX28" i="7"/>
  <c r="BA28" i="7"/>
  <c r="BD28" i="7"/>
  <c r="BG28" i="7"/>
  <c r="BH28" i="7"/>
  <c r="BI28" i="7"/>
  <c r="BJ28" i="7"/>
  <c r="BL28" i="7"/>
  <c r="T29" i="7"/>
  <c r="U29" i="7"/>
  <c r="X29" i="7"/>
  <c r="Y29" i="7"/>
  <c r="AA29" i="7"/>
  <c r="AB29" i="7"/>
  <c r="AE29" i="7"/>
  <c r="AG29" i="7"/>
  <c r="AH29" i="7"/>
  <c r="AJ29" i="7"/>
  <c r="AM29" i="7"/>
  <c r="AP29" i="7"/>
  <c r="AQ29" i="7"/>
  <c r="AX29" i="7"/>
  <c r="AY29" i="7"/>
  <c r="BC29" i="7"/>
  <c r="BF29" i="7"/>
  <c r="BG29" i="7"/>
  <c r="BH29" i="7"/>
  <c r="BS29" i="7"/>
  <c r="T30" i="7"/>
  <c r="U30" i="7"/>
  <c r="X30" i="7"/>
  <c r="Y30" i="7"/>
  <c r="AA30" i="7"/>
  <c r="AB30" i="7"/>
  <c r="AD30" i="7"/>
  <c r="BL30" i="7"/>
  <c r="BM30" i="7"/>
  <c r="BO30" i="7"/>
  <c r="BP30" i="7"/>
  <c r="BR30" i="7"/>
  <c r="BS30" i="7"/>
  <c r="T31" i="7"/>
  <c r="U31" i="7"/>
  <c r="X31" i="7"/>
  <c r="Y31" i="7"/>
  <c r="AA31" i="7"/>
  <c r="AB31" i="7"/>
  <c r="AL31" i="7"/>
  <c r="AM31" i="7"/>
  <c r="AO31" i="7"/>
  <c r="AP31" i="7"/>
  <c r="AU31" i="7"/>
  <c r="AV31" i="7"/>
  <c r="AX31" i="7"/>
  <c r="AY31" i="7"/>
  <c r="BA31" i="7"/>
  <c r="BB31" i="7"/>
  <c r="BC31" i="7"/>
  <c r="BD31" i="7"/>
  <c r="BE31" i="7"/>
  <c r="BF31" i="7"/>
  <c r="BG31" i="7"/>
  <c r="BH31" i="7"/>
  <c r="BI31" i="7"/>
  <c r="BJ31" i="7"/>
  <c r="BL31" i="7"/>
  <c r="BM31" i="7"/>
  <c r="BO31" i="7"/>
  <c r="BP31" i="7"/>
  <c r="BR31" i="7"/>
  <c r="BS31" i="7"/>
  <c r="T32" i="7"/>
  <c r="U32" i="7"/>
  <c r="X32" i="7"/>
  <c r="Y32" i="7"/>
  <c r="BS33" i="7"/>
  <c r="AA32" i="7"/>
  <c r="AB32" i="7"/>
  <c r="AD32" i="7"/>
  <c r="AE32" i="7"/>
  <c r="AG32" i="7"/>
  <c r="AH32" i="7"/>
  <c r="AJ32" i="7"/>
  <c r="AK32" i="7"/>
  <c r="AL32" i="7"/>
  <c r="AM32" i="7"/>
  <c r="AN32" i="7"/>
  <c r="AO32" i="7"/>
  <c r="AP32" i="7"/>
  <c r="AQ32" i="7"/>
  <c r="AR32" i="7"/>
  <c r="AS32" i="7"/>
  <c r="AU32" i="7"/>
  <c r="AV32" i="7"/>
  <c r="AX32" i="7"/>
  <c r="AY32" i="7"/>
  <c r="BA32" i="7"/>
  <c r="BB32" i="7"/>
  <c r="BC32" i="7"/>
  <c r="BD32" i="7"/>
  <c r="BE32" i="7"/>
  <c r="BF32" i="7"/>
  <c r="BG32" i="7"/>
  <c r="BH32" i="7"/>
  <c r="BI32" i="7"/>
  <c r="BJ32" i="7"/>
  <c r="T33" i="7"/>
  <c r="U33" i="7"/>
  <c r="X33" i="7"/>
  <c r="Y33" i="7"/>
  <c r="AA33" i="7"/>
  <c r="AB33" i="7"/>
  <c r="AD33" i="7"/>
  <c r="AE33" i="7"/>
  <c r="AG33" i="7"/>
  <c r="AH33" i="7"/>
  <c r="AJ33" i="7"/>
  <c r="AK33" i="7"/>
  <c r="AL33" i="7"/>
  <c r="AM33" i="7"/>
  <c r="AN33" i="7"/>
  <c r="AO33" i="7"/>
  <c r="AP33" i="7"/>
  <c r="AQ33" i="7"/>
  <c r="AR33" i="7"/>
  <c r="AS33" i="7"/>
  <c r="AU33" i="7"/>
  <c r="AV33" i="7"/>
  <c r="AX33" i="7"/>
  <c r="BB33" i="7"/>
  <c r="BC33" i="7"/>
  <c r="BD33" i="7"/>
  <c r="BG33" i="7"/>
  <c r="BJ33" i="7"/>
  <c r="BL33" i="7"/>
  <c r="BM33" i="7"/>
  <c r="BO33" i="7"/>
  <c r="BP33" i="7"/>
  <c r="BR33" i="7"/>
  <c r="T34" i="7"/>
  <c r="U34" i="7"/>
  <c r="X34" i="7"/>
  <c r="Y34" i="7"/>
  <c r="BL35" i="7"/>
  <c r="AA34" i="7"/>
  <c r="AB34" i="7"/>
  <c r="AK34" i="7"/>
  <c r="AU34" i="7"/>
  <c r="AV34" i="7"/>
  <c r="BA34" i="7"/>
  <c r="BB34" i="7"/>
  <c r="BC34" i="7"/>
  <c r="BD34" i="7"/>
  <c r="BE34" i="7"/>
  <c r="BF34" i="7"/>
  <c r="BI34" i="7"/>
  <c r="BJ34" i="7"/>
  <c r="BL34" i="7"/>
  <c r="BM34" i="7"/>
  <c r="BO34" i="7"/>
  <c r="BP34" i="7"/>
  <c r="T35" i="7"/>
  <c r="U35" i="7"/>
  <c r="X35" i="7"/>
  <c r="Y35" i="7"/>
  <c r="BS36" i="7"/>
  <c r="AA35" i="7"/>
  <c r="AB35" i="7"/>
  <c r="AE35" i="7"/>
  <c r="AJ35" i="7"/>
  <c r="AK35" i="7"/>
  <c r="AL35" i="7"/>
  <c r="AM35" i="7"/>
  <c r="AO35" i="7"/>
  <c r="AP35" i="7"/>
  <c r="AS35" i="7"/>
  <c r="AV35" i="7"/>
  <c r="AX35" i="7"/>
  <c r="AY35" i="7"/>
  <c r="BA35" i="7"/>
  <c r="BD35" i="7"/>
  <c r="BE35" i="7"/>
  <c r="BF35" i="7"/>
  <c r="BH35" i="7"/>
  <c r="BI35" i="7"/>
  <c r="BM35" i="7"/>
  <c r="BO35" i="7"/>
  <c r="BP35" i="7"/>
  <c r="BR35" i="7"/>
  <c r="BS35" i="7"/>
  <c r="T36" i="7"/>
  <c r="U36" i="7"/>
  <c r="X36" i="7"/>
  <c r="Y36" i="7"/>
  <c r="AA36" i="7"/>
  <c r="AB36" i="7"/>
  <c r="AN36" i="7"/>
  <c r="AO36" i="7"/>
  <c r="AR36" i="7"/>
  <c r="AX36" i="7"/>
  <c r="AY36" i="7"/>
  <c r="BC36" i="7"/>
  <c r="BD36" i="7"/>
  <c r="BE36" i="7"/>
  <c r="BL36" i="7"/>
  <c r="BM36" i="7"/>
  <c r="BO36" i="7"/>
  <c r="BP36" i="7"/>
  <c r="T37" i="7"/>
  <c r="U37" i="7"/>
  <c r="X37" i="7"/>
  <c r="Y37" i="7"/>
  <c r="AA37" i="7"/>
  <c r="AB37" i="7"/>
  <c r="AD37" i="7"/>
  <c r="AE37" i="7"/>
  <c r="AG37" i="7"/>
  <c r="AH37" i="7"/>
  <c r="AJ37" i="7"/>
  <c r="AK37" i="7"/>
  <c r="AL37" i="7"/>
  <c r="AM37" i="7"/>
  <c r="AN37" i="7"/>
  <c r="AO37" i="7"/>
  <c r="AP37" i="7"/>
  <c r="AQ37" i="7"/>
  <c r="AR37" i="7"/>
  <c r="AS37" i="7"/>
  <c r="BP37" i="7"/>
  <c r="BR37" i="7"/>
  <c r="T38" i="7"/>
  <c r="U38" i="7"/>
  <c r="X38" i="7"/>
  <c r="Y38" i="7"/>
  <c r="AA38" i="7"/>
  <c r="AB38" i="7"/>
  <c r="AG38" i="7"/>
  <c r="AH38" i="7"/>
  <c r="AR38" i="7"/>
  <c r="AS38" i="7"/>
  <c r="AU38" i="7"/>
  <c r="AV38" i="7"/>
  <c r="BD38" i="7"/>
  <c r="BP38" i="7"/>
  <c r="T39" i="7"/>
  <c r="U39" i="7"/>
  <c r="X39" i="7"/>
  <c r="Y39" i="7"/>
  <c r="AA39" i="7"/>
  <c r="AB39" i="7"/>
  <c r="AE39" i="7"/>
  <c r="AG39" i="7"/>
  <c r="AH39" i="7"/>
  <c r="AJ39" i="7"/>
  <c r="AQ39" i="7"/>
  <c r="AR39" i="7"/>
  <c r="AS39" i="7"/>
  <c r="AU39" i="7"/>
  <c r="AY39" i="7"/>
  <c r="BA39" i="7"/>
  <c r="BB39" i="7"/>
  <c r="BC39" i="7"/>
  <c r="BD39" i="7"/>
  <c r="BE39" i="7"/>
  <c r="BH39" i="7"/>
  <c r="BI39" i="7"/>
  <c r="BJ39" i="7"/>
  <c r="BM39" i="7"/>
  <c r="BO39" i="7"/>
  <c r="BS39" i="7"/>
  <c r="T40" i="7"/>
  <c r="U40" i="7"/>
  <c r="X40" i="7"/>
  <c r="Y40" i="7"/>
  <c r="AA40" i="7"/>
  <c r="AB40" i="7"/>
  <c r="AH40" i="7"/>
  <c r="AJ40" i="7"/>
  <c r="AP40" i="7"/>
  <c r="AQ40" i="7"/>
  <c r="AR40" i="7"/>
  <c r="AX40" i="7"/>
  <c r="BC40" i="7"/>
  <c r="BD40" i="7"/>
  <c r="BG40" i="7"/>
  <c r="BH40" i="7"/>
  <c r="BI40" i="7"/>
  <c r="BL40" i="7"/>
  <c r="BM40" i="7"/>
  <c r="BR40" i="7"/>
  <c r="BS40" i="7"/>
  <c r="X41" i="7"/>
  <c r="Y41" i="7"/>
  <c r="AA41" i="7"/>
  <c r="AB41" i="7"/>
  <c r="AK41" i="7"/>
  <c r="AL41" i="7"/>
  <c r="AR41" i="7"/>
  <c r="AS41" i="7"/>
  <c r="BL41" i="7"/>
  <c r="BM41" i="7"/>
  <c r="BO41" i="7"/>
  <c r="BS41" i="7"/>
  <c r="T42" i="7"/>
  <c r="U42" i="7"/>
  <c r="X42" i="7"/>
  <c r="Y42" i="7"/>
  <c r="AA42" i="7"/>
  <c r="AB42" i="7"/>
  <c r="AJ42" i="7"/>
  <c r="AK42" i="7"/>
  <c r="AP42" i="7"/>
  <c r="AY42" i="7"/>
  <c r="BC42" i="7"/>
  <c r="BD42" i="7"/>
  <c r="BG42" i="7"/>
  <c r="T43" i="7"/>
  <c r="U43" i="7"/>
  <c r="X43" i="7"/>
  <c r="Y43" i="7"/>
  <c r="AA43" i="7"/>
  <c r="AB43" i="7"/>
  <c r="AH43" i="7"/>
  <c r="AR43" i="7"/>
  <c r="AV43" i="7"/>
  <c r="AX43" i="7"/>
  <c r="BB43" i="7"/>
  <c r="T44" i="7"/>
  <c r="U44" i="7"/>
  <c r="X44" i="7"/>
  <c r="Y44" i="7"/>
  <c r="BA45" i="7" s="1"/>
  <c r="AA44" i="7"/>
  <c r="AB44" i="7"/>
  <c r="AK44" i="7"/>
  <c r="AL44" i="7"/>
  <c r="AM44" i="7"/>
  <c r="AN44" i="7"/>
  <c r="AU44" i="7"/>
  <c r="AV44" i="7"/>
  <c r="AX44" i="7"/>
  <c r="AY44" i="7"/>
  <c r="BA44" i="7"/>
  <c r="BD44" i="7"/>
  <c r="BE44" i="7"/>
  <c r="BF44" i="7"/>
  <c r="BG44" i="7"/>
  <c r="BH44" i="7"/>
  <c r="BI44" i="7"/>
  <c r="BL44" i="7"/>
  <c r="BM44" i="7"/>
  <c r="BO44" i="7"/>
  <c r="BP44" i="7"/>
  <c r="BR44" i="7"/>
  <c r="BS44" i="7"/>
  <c r="T45" i="7"/>
  <c r="U45" i="7"/>
  <c r="X45" i="7"/>
  <c r="AE46" i="7" s="1"/>
  <c r="Y45" i="7"/>
  <c r="BL46" i="7"/>
  <c r="AA45" i="7"/>
  <c r="AB45" i="7"/>
  <c r="AD45" i="7"/>
  <c r="AE45" i="7"/>
  <c r="AG45" i="7"/>
  <c r="AH45" i="7"/>
  <c r="AJ45" i="7"/>
  <c r="AK45" i="7"/>
  <c r="AL45" i="7"/>
  <c r="AM45" i="7"/>
  <c r="AN45" i="7"/>
  <c r="AO45" i="7"/>
  <c r="AP45" i="7"/>
  <c r="AQ45" i="7"/>
  <c r="AR45" i="7"/>
  <c r="AS45" i="7"/>
  <c r="AU45" i="7"/>
  <c r="AV45" i="7"/>
  <c r="AX45" i="7"/>
  <c r="AY45" i="7"/>
  <c r="BB45" i="7"/>
  <c r="BC45" i="7"/>
  <c r="BD45" i="7"/>
  <c r="BE45" i="7"/>
  <c r="BF45" i="7"/>
  <c r="BG45" i="7"/>
  <c r="BH45" i="7"/>
  <c r="BJ45" i="7"/>
  <c r="BL45" i="7"/>
  <c r="BM45" i="7"/>
  <c r="BO45" i="7"/>
  <c r="BP45" i="7"/>
  <c r="BR45" i="7"/>
  <c r="BS45" i="7"/>
  <c r="T46" i="7"/>
  <c r="U46" i="7"/>
  <c r="X46" i="7"/>
  <c r="Y46" i="7"/>
  <c r="AA46" i="7"/>
  <c r="AB46" i="7"/>
  <c r="AD46" i="7"/>
  <c r="AG46" i="7"/>
  <c r="AH46" i="7"/>
  <c r="AJ46" i="7"/>
  <c r="AK46" i="7"/>
  <c r="AL46" i="7"/>
  <c r="AM46" i="7"/>
  <c r="AN46" i="7"/>
  <c r="AO46" i="7"/>
  <c r="AP46" i="7"/>
  <c r="AQ46" i="7"/>
  <c r="AR46" i="7"/>
  <c r="AS46" i="7"/>
  <c r="AU46" i="7"/>
  <c r="AV46" i="7"/>
  <c r="BC46" i="7"/>
  <c r="BP46" i="7"/>
  <c r="BR46" i="7"/>
  <c r="T47" i="7"/>
  <c r="U47" i="7"/>
  <c r="X47" i="7"/>
  <c r="Y47" i="7"/>
  <c r="BR48" i="7"/>
  <c r="AA47" i="7"/>
  <c r="AB47" i="7"/>
  <c r="AM47" i="7"/>
  <c r="AN47" i="7"/>
  <c r="AP47" i="7"/>
  <c r="AU47" i="7"/>
  <c r="AV47" i="7"/>
  <c r="BG47" i="7"/>
  <c r="BI47" i="7"/>
  <c r="BJ47" i="7"/>
  <c r="BL47" i="7"/>
  <c r="T48" i="7"/>
  <c r="U48" i="7"/>
  <c r="X48" i="7"/>
  <c r="Y48" i="7"/>
  <c r="BP49" i="7"/>
  <c r="AA48" i="7"/>
  <c r="AB48" i="7"/>
  <c r="AE48" i="7"/>
  <c r="AG48" i="7"/>
  <c r="AH48" i="7"/>
  <c r="AJ48" i="7"/>
  <c r="AK48" i="7"/>
  <c r="AO48" i="7"/>
  <c r="AP48" i="7"/>
  <c r="AQ48" i="7"/>
  <c r="AR48" i="7"/>
  <c r="AS48" i="7"/>
  <c r="BC48" i="7"/>
  <c r="BD48" i="7"/>
  <c r="BE48" i="7"/>
  <c r="BF48" i="7"/>
  <c r="T49" i="7"/>
  <c r="U49" i="7"/>
  <c r="X49" i="7"/>
  <c r="AL50" i="7" s="1"/>
  <c r="Y49" i="7"/>
  <c r="AA49" i="7"/>
  <c r="AB49" i="7"/>
  <c r="AD49" i="7"/>
  <c r="AJ49" i="7"/>
  <c r="AK49" i="7"/>
  <c r="AL49" i="7"/>
  <c r="AX49" i="7"/>
  <c r="AY49" i="7"/>
  <c r="BA49" i="7"/>
  <c r="BE49" i="7"/>
  <c r="BL49" i="7"/>
  <c r="BM49" i="7"/>
  <c r="BO49" i="7"/>
  <c r="BR49" i="7"/>
  <c r="BS49" i="7"/>
  <c r="T50" i="7"/>
  <c r="U50" i="7"/>
  <c r="X50" i="7"/>
  <c r="Y50" i="7"/>
  <c r="BD51" i="7" s="1"/>
  <c r="BM51" i="7"/>
  <c r="AA50" i="7"/>
  <c r="AB50" i="7"/>
  <c r="AD50" i="7"/>
  <c r="AE50" i="7"/>
  <c r="AG50" i="7"/>
  <c r="AH50" i="7"/>
  <c r="AM50" i="7"/>
  <c r="AN50" i="7"/>
  <c r="AO50" i="7"/>
  <c r="AP50" i="7"/>
  <c r="AQ50" i="7"/>
  <c r="AR50" i="7"/>
  <c r="AY50" i="7"/>
  <c r="BA50" i="7"/>
  <c r="BB50" i="7"/>
  <c r="BC50" i="7"/>
  <c r="BD50" i="7"/>
  <c r="BI50" i="7"/>
  <c r="BJ50" i="7"/>
  <c r="BL50" i="7"/>
  <c r="BM50" i="7"/>
  <c r="BP50" i="7"/>
  <c r="T51" i="7"/>
  <c r="U51" i="7"/>
  <c r="X51" i="7"/>
  <c r="Y51" i="7"/>
  <c r="BI52" i="7" s="1"/>
  <c r="AA51" i="7"/>
  <c r="AB51" i="7"/>
  <c r="AG51" i="7"/>
  <c r="AH51" i="7"/>
  <c r="AJ51" i="7"/>
  <c r="AL51" i="7"/>
  <c r="AM51" i="7"/>
  <c r="AU51" i="7"/>
  <c r="AV51" i="7"/>
  <c r="AX51" i="7"/>
  <c r="AY51" i="7"/>
  <c r="BA51" i="7"/>
  <c r="BB51" i="7"/>
  <c r="BC51" i="7"/>
  <c r="BE51" i="7"/>
  <c r="BF51" i="7"/>
  <c r="BG51" i="7"/>
  <c r="BH51" i="7"/>
  <c r="BI51" i="7"/>
  <c r="BJ51" i="7"/>
  <c r="BL51" i="7"/>
  <c r="BO51" i="7"/>
  <c r="BP51" i="7"/>
  <c r="BR51" i="7"/>
  <c r="BS51" i="7"/>
  <c r="T52" i="7"/>
  <c r="U52" i="7"/>
  <c r="X52" i="7"/>
  <c r="Y52" i="7"/>
  <c r="AA52" i="7"/>
  <c r="AB52" i="7"/>
  <c r="AM52" i="7"/>
  <c r="AN52" i="7"/>
  <c r="BL52" i="7"/>
  <c r="BM52" i="7"/>
  <c r="BO52" i="7"/>
  <c r="BP52" i="7"/>
  <c r="BR52" i="7"/>
  <c r="BS52" i="7"/>
  <c r="T53" i="7"/>
  <c r="U53" i="7"/>
  <c r="X53" i="7"/>
  <c r="Y53" i="7"/>
  <c r="AA53" i="7"/>
  <c r="AB53" i="7"/>
  <c r="AD53" i="7"/>
  <c r="AE53" i="7"/>
  <c r="AG53" i="7"/>
  <c r="AJ53" i="7"/>
  <c r="AK53" i="7"/>
  <c r="AL53" i="7"/>
  <c r="AM53" i="7"/>
  <c r="AN53" i="7"/>
  <c r="AO53" i="7"/>
  <c r="AP53" i="7"/>
  <c r="AR53" i="7"/>
  <c r="AS53" i="7"/>
  <c r="AU53" i="7"/>
  <c r="AV53" i="7"/>
  <c r="AX53" i="7"/>
  <c r="AY53" i="7"/>
  <c r="BA53" i="7"/>
  <c r="BB53" i="7"/>
  <c r="BC53" i="7"/>
  <c r="BD53" i="7"/>
  <c r="BE53" i="7"/>
  <c r="BF53" i="7"/>
  <c r="BG53" i="7"/>
  <c r="BH53" i="7"/>
  <c r="BI53" i="7"/>
  <c r="BJ53" i="7"/>
  <c r="BL53" i="7"/>
  <c r="BM53" i="7"/>
  <c r="BS53" i="7"/>
  <c r="T54" i="7"/>
  <c r="U54" i="7"/>
  <c r="X54" i="7"/>
  <c r="AK55" i="7" s="1"/>
  <c r="Y54" i="7"/>
  <c r="BS55" i="7"/>
  <c r="AA54" i="7"/>
  <c r="AB54" i="7"/>
  <c r="AD54" i="7"/>
  <c r="AE54" i="7"/>
  <c r="AG54" i="7"/>
  <c r="AH54" i="7"/>
  <c r="AJ54" i="7"/>
  <c r="AK54" i="7"/>
  <c r="AL54" i="7"/>
  <c r="AM54" i="7"/>
  <c r="AN54" i="7"/>
  <c r="AO54" i="7"/>
  <c r="AP54" i="7"/>
  <c r="AQ54" i="7"/>
  <c r="AR54" i="7"/>
  <c r="AS54" i="7"/>
  <c r="AU54" i="7"/>
  <c r="AV54" i="7"/>
  <c r="AX54" i="7"/>
  <c r="AY54" i="7"/>
  <c r="BB54" i="7"/>
  <c r="BC54" i="7"/>
  <c r="BD54" i="7"/>
  <c r="BE54" i="7"/>
  <c r="BF54" i="7"/>
  <c r="BG54" i="7"/>
  <c r="BH54" i="7"/>
  <c r="BJ54" i="7"/>
  <c r="BL54" i="7"/>
  <c r="BM54" i="7"/>
  <c r="BO54" i="7"/>
  <c r="BP54" i="7"/>
  <c r="BR54" i="7"/>
  <c r="BS54" i="7"/>
  <c r="T55" i="7"/>
  <c r="U55" i="7"/>
  <c r="X55" i="7"/>
  <c r="Y55" i="7"/>
  <c r="AA55" i="7"/>
  <c r="AB55" i="7"/>
  <c r="AL55" i="7"/>
  <c r="AU55" i="7"/>
  <c r="AV55" i="7"/>
  <c r="BC55" i="7"/>
  <c r="BD55" i="7"/>
  <c r="BE55" i="7"/>
  <c r="BF55" i="7"/>
  <c r="BG55" i="7"/>
  <c r="BL55" i="7"/>
  <c r="BM55" i="7"/>
  <c r="BO55" i="7"/>
  <c r="BP55" i="7"/>
  <c r="BR55" i="7"/>
  <c r="T56" i="7"/>
  <c r="U56" i="7"/>
  <c r="X56" i="7"/>
  <c r="AM57" i="7" s="1"/>
  <c r="Y56" i="7"/>
  <c r="BP57" i="7"/>
  <c r="AA56" i="7"/>
  <c r="AB56" i="7"/>
  <c r="AE56" i="7"/>
  <c r="AG56" i="7"/>
  <c r="BA56" i="7"/>
  <c r="BL56" i="7"/>
  <c r="BM56" i="7"/>
  <c r="T57" i="7"/>
  <c r="U57" i="7"/>
  <c r="X57" i="7"/>
  <c r="Y57" i="7"/>
  <c r="AA57" i="7"/>
  <c r="AB57" i="7"/>
  <c r="AD57" i="7"/>
  <c r="AE57" i="7"/>
  <c r="AG57" i="7"/>
  <c r="AH57" i="7"/>
  <c r="AJ57" i="7"/>
  <c r="AK57" i="7"/>
  <c r="AL57" i="7"/>
  <c r="AN57" i="7"/>
  <c r="AO57" i="7"/>
  <c r="AP57" i="7"/>
  <c r="AQ57" i="7"/>
  <c r="AR57" i="7"/>
  <c r="AS57" i="7"/>
  <c r="AU57" i="7"/>
  <c r="BA57" i="7"/>
  <c r="BB57" i="7"/>
  <c r="BC57" i="7"/>
  <c r="BD57" i="7"/>
  <c r="BE57" i="7"/>
  <c r="BG57" i="7"/>
  <c r="BJ57" i="7"/>
  <c r="BL57" i="7"/>
  <c r="BM57" i="7"/>
  <c r="BO57" i="7"/>
  <c r="BR57" i="7"/>
  <c r="BS57" i="7"/>
  <c r="T58" i="7"/>
  <c r="U58" i="7"/>
  <c r="X58" i="7"/>
  <c r="Y58" i="7"/>
  <c r="AA58" i="7"/>
  <c r="AB58" i="7"/>
  <c r="AD58" i="7"/>
  <c r="AK58" i="7"/>
  <c r="AM58" i="7"/>
  <c r="AN58" i="7"/>
  <c r="AO58" i="7"/>
  <c r="AS58" i="7"/>
  <c r="AV58" i="7"/>
  <c r="AX58" i="7"/>
  <c r="BF58" i="7"/>
  <c r="BG58" i="7"/>
  <c r="BH58" i="7"/>
  <c r="BI58" i="7"/>
  <c r="BJ58" i="7"/>
  <c r="BR58" i="7"/>
  <c r="T59" i="7"/>
  <c r="U59" i="7"/>
  <c r="X59" i="7"/>
  <c r="Y59" i="7"/>
  <c r="BC60" i="7" s="1"/>
  <c r="AA59" i="7"/>
  <c r="AB59" i="7"/>
  <c r="AD59" i="7"/>
  <c r="AE59" i="7"/>
  <c r="AG59" i="7"/>
  <c r="AH59" i="7"/>
  <c r="AM59" i="7"/>
  <c r="AN59" i="7"/>
  <c r="AO59" i="7"/>
  <c r="AP59" i="7"/>
  <c r="AQ59" i="7"/>
  <c r="AR59" i="7"/>
  <c r="BA59" i="7"/>
  <c r="BB59" i="7"/>
  <c r="BC59" i="7"/>
  <c r="BE59" i="7"/>
  <c r="BI59" i="7"/>
  <c r="T60" i="7"/>
  <c r="U60" i="7"/>
  <c r="X60" i="7"/>
  <c r="Y60" i="7"/>
  <c r="AA60" i="7"/>
  <c r="AB60" i="7"/>
  <c r="AG60" i="7"/>
  <c r="AH60" i="7"/>
  <c r="AK60" i="7"/>
  <c r="AL60" i="7"/>
  <c r="AM60" i="7"/>
  <c r="AU60" i="7"/>
  <c r="AV60" i="7"/>
  <c r="AX60" i="7"/>
  <c r="AY60" i="7"/>
  <c r="BA60" i="7"/>
  <c r="BB60" i="7"/>
  <c r="BD60" i="7"/>
  <c r="BE60" i="7"/>
  <c r="BF60" i="7"/>
  <c r="BG60" i="7"/>
  <c r="BH60" i="7"/>
  <c r="BI60" i="7"/>
  <c r="BJ60" i="7"/>
  <c r="BL60" i="7"/>
  <c r="BM60" i="7"/>
  <c r="BO60" i="7"/>
  <c r="BP60" i="7"/>
  <c r="BR60" i="7"/>
  <c r="BS60" i="7"/>
  <c r="T61" i="7"/>
  <c r="U61" i="7"/>
  <c r="X61" i="7"/>
  <c r="Y61" i="7"/>
  <c r="AA61" i="7"/>
  <c r="AB61" i="7"/>
  <c r="AL61" i="7"/>
  <c r="AM61" i="7"/>
  <c r="AU61" i="7"/>
  <c r="AV61" i="7"/>
  <c r="AX61" i="7"/>
  <c r="AY61" i="7"/>
  <c r="BA61" i="7"/>
  <c r="BB61" i="7"/>
  <c r="BC61" i="7"/>
  <c r="BD61" i="7"/>
  <c r="BE61" i="7"/>
  <c r="BF61" i="7"/>
  <c r="BG61" i="7"/>
  <c r="BH61" i="7"/>
  <c r="BI61" i="7"/>
  <c r="BJ61" i="7"/>
  <c r="BO61" i="7"/>
  <c r="BP61" i="7"/>
  <c r="BR61" i="7"/>
  <c r="BS61" i="7"/>
  <c r="T62" i="7"/>
  <c r="U62" i="7"/>
  <c r="X62" i="7"/>
  <c r="Y62" i="7"/>
  <c r="AA62" i="7"/>
  <c r="AB62" i="7"/>
  <c r="AD62" i="7"/>
  <c r="AE62" i="7"/>
  <c r="AG62" i="7"/>
  <c r="AH62" i="7"/>
  <c r="AJ62" i="7"/>
  <c r="AK62" i="7"/>
  <c r="AL62" i="7"/>
  <c r="AM62" i="7"/>
  <c r="AN62" i="7"/>
  <c r="AO62" i="7"/>
  <c r="AP62" i="7"/>
  <c r="AQ62" i="7"/>
  <c r="AR62" i="7"/>
  <c r="AS62" i="7"/>
  <c r="AU62" i="7"/>
  <c r="AV62" i="7"/>
  <c r="AX62" i="7"/>
  <c r="AY62" i="7"/>
  <c r="BE62" i="7"/>
  <c r="BF62" i="7"/>
  <c r="BG62" i="7"/>
  <c r="BH62" i="7"/>
  <c r="BJ62" i="7"/>
  <c r="BP62" i="7"/>
  <c r="BR62" i="7"/>
  <c r="BS62" i="7"/>
  <c r="T63" i="7"/>
  <c r="U63" i="7"/>
  <c r="X63" i="7"/>
  <c r="Y63" i="7"/>
  <c r="BR64" i="7"/>
  <c r="AA63" i="7"/>
  <c r="AB63" i="7"/>
  <c r="AD63" i="7"/>
  <c r="AG63" i="7"/>
  <c r="AH63" i="7"/>
  <c r="AJ63" i="7"/>
  <c r="AK63" i="7"/>
  <c r="AL63" i="7"/>
  <c r="AM63" i="7"/>
  <c r="AN63" i="7"/>
  <c r="AP63" i="7"/>
  <c r="AQ63" i="7"/>
  <c r="AR63" i="7"/>
  <c r="AS63" i="7"/>
  <c r="AV63" i="7"/>
  <c r="AX63" i="7"/>
  <c r="BA63" i="7"/>
  <c r="BB63" i="7"/>
  <c r="BC63" i="7"/>
  <c r="BD63" i="7"/>
  <c r="BG63" i="7"/>
  <c r="BI63" i="7"/>
  <c r="BJ63" i="7"/>
  <c r="BL63" i="7"/>
  <c r="BM63" i="7"/>
  <c r="BO63" i="7"/>
  <c r="T64" i="7"/>
  <c r="U64" i="7"/>
  <c r="X64" i="7"/>
  <c r="Y64" i="7"/>
  <c r="BB65" i="7" s="1"/>
  <c r="AA64" i="7"/>
  <c r="AB64" i="7"/>
  <c r="AE64" i="7"/>
  <c r="AG64" i="7"/>
  <c r="AH64" i="7"/>
  <c r="AJ64" i="7"/>
  <c r="AK64" i="7"/>
  <c r="AL64" i="7"/>
  <c r="AM64" i="7"/>
  <c r="AO64" i="7"/>
  <c r="AP64" i="7"/>
  <c r="AQ64" i="7"/>
  <c r="AR64" i="7"/>
  <c r="AS64" i="7"/>
  <c r="AU64" i="7"/>
  <c r="AV64" i="7"/>
  <c r="AY64" i="7"/>
  <c r="BA64" i="7"/>
  <c r="BB64" i="7"/>
  <c r="BC64" i="7"/>
  <c r="BD64" i="7"/>
  <c r="BE64" i="7"/>
  <c r="BF64" i="7"/>
  <c r="BH64" i="7"/>
  <c r="BI64" i="7"/>
  <c r="BJ64" i="7"/>
  <c r="BM64" i="7"/>
  <c r="BO64" i="7"/>
  <c r="BP64" i="7"/>
  <c r="BS64" i="7"/>
  <c r="T65" i="7"/>
  <c r="U65" i="7"/>
  <c r="X65" i="7"/>
  <c r="AL66" i="7" s="1"/>
  <c r="Y65" i="7"/>
  <c r="BO66" i="7"/>
  <c r="AA65" i="7"/>
  <c r="AB65" i="7"/>
  <c r="AD65" i="7"/>
  <c r="AE65" i="7"/>
  <c r="AY65" i="7"/>
  <c r="BL65" i="7"/>
  <c r="BM65" i="7"/>
  <c r="T66" i="7"/>
  <c r="U66" i="7"/>
  <c r="X66" i="7"/>
  <c r="Y66" i="7"/>
  <c r="AA66" i="7"/>
  <c r="AB66" i="7"/>
  <c r="AD66" i="7"/>
  <c r="AE66" i="7"/>
  <c r="AG66" i="7"/>
  <c r="AH66" i="7"/>
  <c r="AJ66" i="7"/>
  <c r="AK66" i="7"/>
  <c r="AM66" i="7"/>
  <c r="AN66" i="7"/>
  <c r="AO66" i="7"/>
  <c r="AP66" i="7"/>
  <c r="AQ66" i="7"/>
  <c r="AR66" i="7"/>
  <c r="AS66" i="7"/>
  <c r="AV66" i="7"/>
  <c r="AX66" i="7"/>
  <c r="AY66" i="7"/>
  <c r="BA66" i="7"/>
  <c r="BB66" i="7"/>
  <c r="BC66" i="7"/>
  <c r="BD66" i="7"/>
  <c r="BF66" i="7"/>
  <c r="BG66" i="7"/>
  <c r="BH66" i="7"/>
  <c r="BI66" i="7"/>
  <c r="BJ66" i="7"/>
  <c r="BL66" i="7"/>
  <c r="BM66" i="7"/>
  <c r="BP66" i="7"/>
  <c r="BR66" i="7"/>
  <c r="BS66" i="7"/>
  <c r="T67" i="7"/>
  <c r="U67" i="7"/>
  <c r="X67" i="7"/>
  <c r="Y67" i="7"/>
  <c r="AA67" i="7"/>
  <c r="AB67" i="7"/>
  <c r="AD67" i="7"/>
  <c r="AJ67" i="7"/>
  <c r="AL67" i="7"/>
  <c r="AM67" i="7"/>
  <c r="AV67" i="7"/>
  <c r="AX67" i="7"/>
  <c r="AY67" i="7"/>
  <c r="BA67" i="7"/>
  <c r="BF67" i="7"/>
  <c r="BJ67" i="7"/>
  <c r="BR67" i="7"/>
  <c r="BS67" i="7"/>
  <c r="AX56" i="7" l="1"/>
  <c r="BG56" i="7"/>
  <c r="BD56" i="7"/>
  <c r="BE56" i="7"/>
  <c r="AU56" i="7"/>
  <c r="BF56" i="7"/>
  <c r="AY37" i="7"/>
  <c r="BH37" i="7"/>
  <c r="BA37" i="7"/>
  <c r="BI37" i="7"/>
  <c r="AX37" i="7"/>
  <c r="BB37" i="7"/>
  <c r="BC37" i="7"/>
  <c r="BD37" i="7"/>
  <c r="BE37" i="7"/>
  <c r="BF37" i="7"/>
  <c r="BG37" i="7"/>
  <c r="AD34" i="7"/>
  <c r="AN34" i="7"/>
  <c r="AE34" i="7"/>
  <c r="AO34" i="7"/>
  <c r="AG34" i="7"/>
  <c r="AR34" i="7"/>
  <c r="AH34" i="7"/>
  <c r="AS34" i="7"/>
  <c r="AM34" i="7"/>
  <c r="AP34" i="7"/>
  <c r="AQ34" i="7"/>
  <c r="BM29" i="7"/>
  <c r="BO29" i="7"/>
  <c r="BL29" i="7"/>
  <c r="BP29" i="7"/>
  <c r="BR29" i="7"/>
  <c r="AX65" i="7"/>
  <c r="AM65" i="7"/>
  <c r="AH65" i="7"/>
  <c r="AR65" i="7"/>
  <c r="AJ65" i="7"/>
  <c r="AS65" i="7"/>
  <c r="AK65" i="7"/>
  <c r="AY56" i="7"/>
  <c r="BB52" i="7"/>
  <c r="AV41" i="7"/>
  <c r="BF41" i="7"/>
  <c r="AX41" i="7"/>
  <c r="BG41" i="7"/>
  <c r="BB41" i="7"/>
  <c r="BC41" i="7"/>
  <c r="BD41" i="7"/>
  <c r="AY41" i="7"/>
  <c r="BA41" i="7"/>
  <c r="BE41" i="7"/>
  <c r="BH41" i="7"/>
  <c r="AJ34" i="7"/>
  <c r="AH14" i="7"/>
  <c r="AQ14" i="7"/>
  <c r="AJ14" i="7"/>
  <c r="AR14" i="7"/>
  <c r="AK14" i="7"/>
  <c r="AS14" i="7"/>
  <c r="AO14" i="7"/>
  <c r="AP14" i="7"/>
  <c r="AM14" i="7"/>
  <c r="AN14" i="7"/>
  <c r="AD14" i="7"/>
  <c r="AE14" i="7"/>
  <c r="AG14" i="7"/>
  <c r="AE55" i="7"/>
  <c r="AO55" i="7"/>
  <c r="AM55" i="7"/>
  <c r="AN55" i="7"/>
  <c r="AD55" i="7"/>
  <c r="AP55" i="7"/>
  <c r="BG52" i="7"/>
  <c r="AH61" i="7"/>
  <c r="AQ61" i="7"/>
  <c r="AE61" i="7"/>
  <c r="AP61" i="7"/>
  <c r="AG61" i="7"/>
  <c r="AR61" i="7"/>
  <c r="AJ61" i="7"/>
  <c r="AS61" i="7"/>
  <c r="AD56" i="7"/>
  <c r="AN56" i="7"/>
  <c r="AH56" i="7"/>
  <c r="AR56" i="7"/>
  <c r="AJ56" i="7"/>
  <c r="AS56" i="7"/>
  <c r="AK56" i="7"/>
  <c r="AJ52" i="7"/>
  <c r="AR52" i="7"/>
  <c r="AG52" i="7"/>
  <c r="AQ52" i="7"/>
  <c r="AH52" i="7"/>
  <c r="AS52" i="7"/>
  <c r="AK52" i="7"/>
  <c r="BJ37" i="7"/>
  <c r="BC30" i="7"/>
  <c r="BD30" i="7"/>
  <c r="AY30" i="7"/>
  <c r="BJ30" i="7"/>
  <c r="BA30" i="7"/>
  <c r="BF30" i="7"/>
  <c r="BG30" i="7"/>
  <c r="BH30" i="7"/>
  <c r="BI30" i="7"/>
  <c r="AU30" i="7"/>
  <c r="BR25" i="7"/>
  <c r="BS25" i="7"/>
  <c r="BM25" i="7"/>
  <c r="BO25" i="7"/>
  <c r="BJ65" i="7"/>
  <c r="AQ65" i="7"/>
  <c r="AK61" i="7"/>
  <c r="AV56" i="7"/>
  <c r="AJ55" i="7"/>
  <c r="BA52" i="7"/>
  <c r="AL52" i="7"/>
  <c r="BO46" i="7"/>
  <c r="BS47" i="7"/>
  <c r="BM47" i="7"/>
  <c r="BO47" i="7"/>
  <c r="BP47" i="7"/>
  <c r="BA46" i="7"/>
  <c r="BI46" i="7"/>
  <c r="AX46" i="7"/>
  <c r="BH46" i="7"/>
  <c r="AY46" i="7"/>
  <c r="BJ46" i="7"/>
  <c r="BB46" i="7"/>
  <c r="BO43" i="7"/>
  <c r="BL43" i="7"/>
  <c r="BS43" i="7"/>
  <c r="AV37" i="7"/>
  <c r="AJ30" i="7"/>
  <c r="AR30" i="7"/>
  <c r="AK30" i="7"/>
  <c r="AS30" i="7"/>
  <c r="AM30" i="7"/>
  <c r="AN30" i="7"/>
  <c r="AO30" i="7"/>
  <c r="AP30" i="7"/>
  <c r="AQ30" i="7"/>
  <c r="AG30" i="7"/>
  <c r="AH30" i="7"/>
  <c r="AL30" i="7"/>
  <c r="AV18" i="7"/>
  <c r="BF18" i="7"/>
  <c r="AX18" i="7"/>
  <c r="BG18" i="7"/>
  <c r="AY18" i="7"/>
  <c r="BH18" i="7"/>
  <c r="BI18" i="7"/>
  <c r="BJ18" i="7"/>
  <c r="AU18" i="7"/>
  <c r="BA18" i="7"/>
  <c r="BD18" i="7"/>
  <c r="BE18" i="7"/>
  <c r="BR17" i="7"/>
  <c r="BS17" i="7"/>
  <c r="BO17" i="7"/>
  <c r="BP17" i="7"/>
  <c r="BL17" i="7"/>
  <c r="BM17" i="7"/>
  <c r="BM67" i="7"/>
  <c r="BL67" i="7"/>
  <c r="BP67" i="7"/>
  <c r="BO67" i="7"/>
  <c r="BI65" i="7"/>
  <c r="AP65" i="7"/>
  <c r="AD61" i="7"/>
  <c r="BM59" i="7"/>
  <c r="BR59" i="7"/>
  <c r="BS59" i="7"/>
  <c r="BJ56" i="7"/>
  <c r="AQ56" i="7"/>
  <c r="AH55" i="7"/>
  <c r="AY52" i="7"/>
  <c r="AE52" i="7"/>
  <c r="BS48" i="7"/>
  <c r="AV49" i="7"/>
  <c r="BF49" i="7"/>
  <c r="BB49" i="7"/>
  <c r="BC49" i="7"/>
  <c r="BD49" i="7"/>
  <c r="AX48" i="7"/>
  <c r="BG48" i="7"/>
  <c r="AV48" i="7"/>
  <c r="BH48" i="7"/>
  <c r="AY48" i="7"/>
  <c r="BI48" i="7"/>
  <c r="BA48" i="7"/>
  <c r="BJ48" i="7"/>
  <c r="BM46" i="7"/>
  <c r="AY47" i="7"/>
  <c r="BH47" i="7"/>
  <c r="BC47" i="7"/>
  <c r="BD47" i="7"/>
  <c r="BE47" i="7"/>
  <c r="BR43" i="7"/>
  <c r="BD43" i="7"/>
  <c r="AU43" i="7"/>
  <c r="BE43" i="7"/>
  <c r="AY43" i="7"/>
  <c r="BJ43" i="7"/>
  <c r="BA43" i="7"/>
  <c r="BC43" i="7"/>
  <c r="BF43" i="7"/>
  <c r="BG43" i="7"/>
  <c r="BJ41" i="7"/>
  <c r="AU37" i="7"/>
  <c r="BE30" i="7"/>
  <c r="AM18" i="7"/>
  <c r="AD18" i="7"/>
  <c r="AN18" i="7"/>
  <c r="AE18" i="7"/>
  <c r="AO18" i="7"/>
  <c r="AR18" i="7"/>
  <c r="AG18" i="7"/>
  <c r="AS18" i="7"/>
  <c r="AQ18" i="7"/>
  <c r="AH18" i="7"/>
  <c r="AJ18" i="7"/>
  <c r="AK18" i="7"/>
  <c r="BL7" i="7"/>
  <c r="BM7" i="7"/>
  <c r="BR7" i="7"/>
  <c r="BS7" i="7"/>
  <c r="BO7" i="7"/>
  <c r="BD67" i="7"/>
  <c r="BB67" i="7"/>
  <c r="BC67" i="7"/>
  <c r="BE67" i="7"/>
  <c r="BH65" i="7"/>
  <c r="AO65" i="7"/>
  <c r="BP59" i="7"/>
  <c r="AJ60" i="7"/>
  <c r="AR60" i="7"/>
  <c r="AN60" i="7"/>
  <c r="AD60" i="7"/>
  <c r="AO60" i="7"/>
  <c r="AE60" i="7"/>
  <c r="AP60" i="7"/>
  <c r="BD59" i="7"/>
  <c r="AU59" i="7"/>
  <c r="BF59" i="7"/>
  <c r="AV59" i="7"/>
  <c r="BG59" i="7"/>
  <c r="AX59" i="7"/>
  <c r="BH59" i="7"/>
  <c r="BO58" i="7"/>
  <c r="BL58" i="7"/>
  <c r="BM58" i="7"/>
  <c r="BP58" i="7"/>
  <c r="BI56" i="7"/>
  <c r="AP56" i="7"/>
  <c r="AG55" i="7"/>
  <c r="AX52" i="7"/>
  <c r="AD52" i="7"/>
  <c r="AK51" i="7"/>
  <c r="AS51" i="7"/>
  <c r="AN51" i="7"/>
  <c r="AD51" i="7"/>
  <c r="AO51" i="7"/>
  <c r="AE51" i="7"/>
  <c r="AP51" i="7"/>
  <c r="BJ49" i="7"/>
  <c r="AU49" i="7"/>
  <c r="BP48" i="7"/>
  <c r="BB48" i="7"/>
  <c r="AM49" i="7"/>
  <c r="AE49" i="7"/>
  <c r="AP49" i="7"/>
  <c r="AG49" i="7"/>
  <c r="AQ49" i="7"/>
  <c r="AH49" i="7"/>
  <c r="AR49" i="7"/>
  <c r="BF47" i="7"/>
  <c r="BG46" i="7"/>
  <c r="AE47" i="7"/>
  <c r="AO47" i="7"/>
  <c r="AG47" i="7"/>
  <c r="AQ47" i="7"/>
  <c r="AH47" i="7"/>
  <c r="AR47" i="7"/>
  <c r="AJ47" i="7"/>
  <c r="AS47" i="7"/>
  <c r="BP43" i="7"/>
  <c r="AH44" i="7"/>
  <c r="AQ44" i="7"/>
  <c r="AJ44" i="7"/>
  <c r="AR44" i="7"/>
  <c r="AD44" i="7"/>
  <c r="AP44" i="7"/>
  <c r="AE44" i="7"/>
  <c r="AS44" i="7"/>
  <c r="AG44" i="7"/>
  <c r="AK43" i="7"/>
  <c r="AS43" i="7"/>
  <c r="AL43" i="7"/>
  <c r="AM43" i="7"/>
  <c r="AN43" i="7"/>
  <c r="AJ43" i="7"/>
  <c r="AO43" i="7"/>
  <c r="AP43" i="7"/>
  <c r="AQ43" i="7"/>
  <c r="BI41" i="7"/>
  <c r="BO42" i="7"/>
  <c r="BP42" i="7"/>
  <c r="BL42" i="7"/>
  <c r="BM42" i="7"/>
  <c r="BR42" i="7"/>
  <c r="BR38" i="7"/>
  <c r="BS38" i="7"/>
  <c r="BL38" i="7"/>
  <c r="BM38" i="7"/>
  <c r="BO38" i="7"/>
  <c r="BB30" i="7"/>
  <c r="AU19" i="7"/>
  <c r="BE19" i="7"/>
  <c r="AV19" i="7"/>
  <c r="BF19" i="7"/>
  <c r="AX19" i="7"/>
  <c r="BG19" i="7"/>
  <c r="BB19" i="7"/>
  <c r="BC19" i="7"/>
  <c r="AY19" i="7"/>
  <c r="BA19" i="7"/>
  <c r="BD19" i="7"/>
  <c r="BH19" i="7"/>
  <c r="BI19" i="7"/>
  <c r="AL14" i="7"/>
  <c r="AM10" i="7"/>
  <c r="AD10" i="7"/>
  <c r="AN10" i="7"/>
  <c r="AE10" i="7"/>
  <c r="AO10" i="7"/>
  <c r="AJ10" i="7"/>
  <c r="AK10" i="7"/>
  <c r="AH10" i="7"/>
  <c r="AL10" i="7"/>
  <c r="AP10" i="7"/>
  <c r="AG10" i="7"/>
  <c r="AQ10" i="7"/>
  <c r="AR10" i="7"/>
  <c r="AS10" i="7"/>
  <c r="BI67" i="7"/>
  <c r="AU67" i="7"/>
  <c r="AK67" i="7"/>
  <c r="AS67" i="7"/>
  <c r="AE67" i="7"/>
  <c r="AP67" i="7"/>
  <c r="AG67" i="7"/>
  <c r="AQ67" i="7"/>
  <c r="AH67" i="7"/>
  <c r="AR67" i="7"/>
  <c r="BC65" i="7"/>
  <c r="AN65" i="7"/>
  <c r="BO59" i="7"/>
  <c r="AY59" i="7"/>
  <c r="AU58" i="7"/>
  <c r="BE58" i="7"/>
  <c r="BB58" i="7"/>
  <c r="BC58" i="7"/>
  <c r="BD58" i="7"/>
  <c r="BH56" i="7"/>
  <c r="AO56" i="7"/>
  <c r="AS55" i="7"/>
  <c r="BJ52" i="7"/>
  <c r="AV52" i="7"/>
  <c r="BI49" i="7"/>
  <c r="AS49" i="7"/>
  <c r="BO48" i="7"/>
  <c r="AU48" i="7"/>
  <c r="BB47" i="7"/>
  <c r="AL47" i="7"/>
  <c r="BF46" i="7"/>
  <c r="BM43" i="7"/>
  <c r="AG43" i="7"/>
  <c r="AU41" i="7"/>
  <c r="AU42" i="7"/>
  <c r="BE42" i="7"/>
  <c r="AV42" i="7"/>
  <c r="BF42" i="7"/>
  <c r="BA42" i="7"/>
  <c r="BB42" i="7"/>
  <c r="BH42" i="7"/>
  <c r="BI42" i="7"/>
  <c r="BJ42" i="7"/>
  <c r="AX42" i="7"/>
  <c r="AL40" i="7"/>
  <c r="AM40" i="7"/>
  <c r="AK40" i="7"/>
  <c r="AN40" i="7"/>
  <c r="AO40" i="7"/>
  <c r="AD40" i="7"/>
  <c r="AS40" i="7"/>
  <c r="AE40" i="7"/>
  <c r="AG40" i="7"/>
  <c r="AX38" i="7"/>
  <c r="BG38" i="7"/>
  <c r="AY38" i="7"/>
  <c r="BH38" i="7"/>
  <c r="BA38" i="7"/>
  <c r="BB38" i="7"/>
  <c r="BC38" i="7"/>
  <c r="BE38" i="7"/>
  <c r="BF38" i="7"/>
  <c r="BI38" i="7"/>
  <c r="BJ38" i="7"/>
  <c r="AX30" i="7"/>
  <c r="BC18" i="7"/>
  <c r="AL19" i="7"/>
  <c r="AM19" i="7"/>
  <c r="AD19" i="7"/>
  <c r="AN19" i="7"/>
  <c r="AK19" i="7"/>
  <c r="AO19" i="7"/>
  <c r="AS19" i="7"/>
  <c r="AE19" i="7"/>
  <c r="AG19" i="7"/>
  <c r="AR19" i="7"/>
  <c r="BH67" i="7"/>
  <c r="AO67" i="7"/>
  <c r="AL65" i="7"/>
  <c r="AO61" i="7"/>
  <c r="BL62" i="7"/>
  <c r="BM62" i="7"/>
  <c r="BO62" i="7"/>
  <c r="AS60" i="7"/>
  <c r="BL59" i="7"/>
  <c r="BA58" i="7"/>
  <c r="AL58" i="7"/>
  <c r="AE58" i="7"/>
  <c r="AP58" i="7"/>
  <c r="AG58" i="7"/>
  <c r="AQ58" i="7"/>
  <c r="AH58" i="7"/>
  <c r="AR58" i="7"/>
  <c r="BC56" i="7"/>
  <c r="AM56" i="7"/>
  <c r="AR55" i="7"/>
  <c r="AP52" i="7"/>
  <c r="AR51" i="7"/>
  <c r="BH49" i="7"/>
  <c r="AO49" i="7"/>
  <c r="BO50" i="7"/>
  <c r="BR50" i="7"/>
  <c r="BS50" i="7"/>
  <c r="BM48" i="7"/>
  <c r="BA47" i="7"/>
  <c r="AK47" i="7"/>
  <c r="BE46" i="7"/>
  <c r="BI43" i="7"/>
  <c r="AE43" i="7"/>
  <c r="AL42" i="7"/>
  <c r="AM42" i="7"/>
  <c r="AN42" i="7"/>
  <c r="AO42" i="7"/>
  <c r="AQ42" i="7"/>
  <c r="AD42" i="7"/>
  <c r="AR42" i="7"/>
  <c r="AE42" i="7"/>
  <c r="AS42" i="7"/>
  <c r="AG42" i="7"/>
  <c r="AG36" i="7"/>
  <c r="AP36" i="7"/>
  <c r="AH36" i="7"/>
  <c r="AQ36" i="7"/>
  <c r="AE36" i="7"/>
  <c r="AS36" i="7"/>
  <c r="AJ36" i="7"/>
  <c r="AK36" i="7"/>
  <c r="AD36" i="7"/>
  <c r="AL36" i="7"/>
  <c r="AM36" i="7"/>
  <c r="AV30" i="7"/>
  <c r="BP25" i="7"/>
  <c r="BJ19" i="7"/>
  <c r="BB18" i="7"/>
  <c r="BO11" i="7"/>
  <c r="BP11" i="7"/>
  <c r="BR11" i="7"/>
  <c r="BL11" i="7"/>
  <c r="AV65" i="7"/>
  <c r="BF65" i="7"/>
  <c r="BD65" i="7"/>
  <c r="BE65" i="7"/>
  <c r="AU65" i="7"/>
  <c r="BG65" i="7"/>
  <c r="BC52" i="7"/>
  <c r="BD52" i="7"/>
  <c r="BE52" i="7"/>
  <c r="AU52" i="7"/>
  <c r="BF52" i="7"/>
  <c r="BG67" i="7"/>
  <c r="AN67" i="7"/>
  <c r="BA65" i="7"/>
  <c r="AG65" i="7"/>
  <c r="BP65" i="7"/>
  <c r="BO65" i="7"/>
  <c r="BR65" i="7"/>
  <c r="BS65" i="7"/>
  <c r="BS63" i="7"/>
  <c r="BP63" i="7"/>
  <c r="BR63" i="7"/>
  <c r="AN61" i="7"/>
  <c r="BA62" i="7"/>
  <c r="BI62" i="7"/>
  <c r="BB62" i="7"/>
  <c r="BC62" i="7"/>
  <c r="BD62" i="7"/>
  <c r="AQ60" i="7"/>
  <c r="BL61" i="7"/>
  <c r="BM61" i="7"/>
  <c r="BJ59" i="7"/>
  <c r="BS58" i="7"/>
  <c r="AY58" i="7"/>
  <c r="AJ58" i="7"/>
  <c r="BB56" i="7"/>
  <c r="AL56" i="7"/>
  <c r="AQ55" i="7"/>
  <c r="BR56" i="7"/>
  <c r="BO56" i="7"/>
  <c r="BP56" i="7"/>
  <c r="BS56" i="7"/>
  <c r="AY55" i="7"/>
  <c r="BH55" i="7"/>
  <c r="AX55" i="7"/>
  <c r="BI55" i="7"/>
  <c r="BA55" i="7"/>
  <c r="BJ55" i="7"/>
  <c r="BB55" i="7"/>
  <c r="BH52" i="7"/>
  <c r="AO52" i="7"/>
  <c r="BO53" i="7"/>
  <c r="BP53" i="7"/>
  <c r="BR53" i="7"/>
  <c r="AQ51" i="7"/>
  <c r="BG49" i="7"/>
  <c r="AN49" i="7"/>
  <c r="AU50" i="7"/>
  <c r="BE50" i="7"/>
  <c r="BF50" i="7"/>
  <c r="AV50" i="7"/>
  <c r="BG50" i="7"/>
  <c r="AX50" i="7"/>
  <c r="BH50" i="7"/>
  <c r="BL48" i="7"/>
  <c r="BR47" i="7"/>
  <c r="AX47" i="7"/>
  <c r="AD47" i="7"/>
  <c r="BS46" i="7"/>
  <c r="BD46" i="7"/>
  <c r="AO44" i="7"/>
  <c r="BH43" i="7"/>
  <c r="AD43" i="7"/>
  <c r="BS42" i="7"/>
  <c r="AH42" i="7"/>
  <c r="BS37" i="7"/>
  <c r="BL37" i="7"/>
  <c r="BM37" i="7"/>
  <c r="BO37" i="7"/>
  <c r="AL34" i="7"/>
  <c r="AE30" i="7"/>
  <c r="BL25" i="7"/>
  <c r="AQ19" i="7"/>
  <c r="AK20" i="7"/>
  <c r="AS20" i="7"/>
  <c r="AL20" i="7"/>
  <c r="AM20" i="7"/>
  <c r="AD20" i="7"/>
  <c r="AQ20" i="7"/>
  <c r="AE20" i="7"/>
  <c r="AR20" i="7"/>
  <c r="AG20" i="7"/>
  <c r="AH20" i="7"/>
  <c r="AJ20" i="7"/>
  <c r="AP20" i="7"/>
  <c r="AP18" i="7"/>
  <c r="BM11" i="7"/>
  <c r="AU11" i="7"/>
  <c r="BE11" i="7"/>
  <c r="AV11" i="7"/>
  <c r="BF11" i="7"/>
  <c r="AX11" i="7"/>
  <c r="BG11" i="7"/>
  <c r="BH11" i="7"/>
  <c r="BI11" i="7"/>
  <c r="BC11" i="7"/>
  <c r="BD11" i="7"/>
  <c r="BJ11" i="7"/>
  <c r="AY11" i="7"/>
  <c r="BA11" i="7"/>
  <c r="BB11" i="7"/>
  <c r="BP7" i="7"/>
  <c r="AM41" i="7"/>
  <c r="AD41" i="7"/>
  <c r="AN41" i="7"/>
  <c r="AO41" i="7"/>
  <c r="AP41" i="7"/>
  <c r="AE41" i="7"/>
  <c r="AQ41" i="7"/>
  <c r="AD38" i="7"/>
  <c r="AN38" i="7"/>
  <c r="AE38" i="7"/>
  <c r="AO38" i="7"/>
  <c r="AL38" i="7"/>
  <c r="AM38" i="7"/>
  <c r="AP38" i="7"/>
  <c r="BM32" i="7"/>
  <c r="BO32" i="7"/>
  <c r="BL32" i="7"/>
  <c r="BP32" i="7"/>
  <c r="BR32" i="7"/>
  <c r="AX25" i="7"/>
  <c r="BG25" i="7"/>
  <c r="AY25" i="7"/>
  <c r="BH25" i="7"/>
  <c r="BA25" i="7"/>
  <c r="BI25" i="7"/>
  <c r="AV25" i="7"/>
  <c r="BB25" i="7"/>
  <c r="BE25" i="7"/>
  <c r="BF25" i="7"/>
  <c r="BJ25" i="7"/>
  <c r="BS24" i="7"/>
  <c r="BP24" i="7"/>
  <c r="BR24" i="7"/>
  <c r="AY63" i="7"/>
  <c r="BH63" i="7"/>
  <c r="AK59" i="7"/>
  <c r="AS59" i="7"/>
  <c r="AV57" i="7"/>
  <c r="BF57" i="7"/>
  <c r="AD48" i="7"/>
  <c r="AN48" i="7"/>
  <c r="AJ41" i="7"/>
  <c r="AQ38" i="7"/>
  <c r="BS32" i="7"/>
  <c r="AM27" i="7"/>
  <c r="AD27" i="7"/>
  <c r="AN27" i="7"/>
  <c r="AP27" i="7"/>
  <c r="AE27" i="7"/>
  <c r="AQ27" i="7"/>
  <c r="AK27" i="7"/>
  <c r="AL27" i="7"/>
  <c r="AO27" i="7"/>
  <c r="BR26" i="7"/>
  <c r="BS26" i="7"/>
  <c r="BO26" i="7"/>
  <c r="BP26" i="7"/>
  <c r="BC21" i="7"/>
  <c r="BD21" i="7"/>
  <c r="AU21" i="7"/>
  <c r="BE21" i="7"/>
  <c r="AY21" i="7"/>
  <c r="BA21" i="7"/>
  <c r="AV21" i="7"/>
  <c r="AX21" i="7"/>
  <c r="BB21" i="7"/>
  <c r="AK12" i="7"/>
  <c r="AS12" i="7"/>
  <c r="AL12" i="7"/>
  <c r="AM12" i="7"/>
  <c r="AH12" i="7"/>
  <c r="AJ12" i="7"/>
  <c r="AN12" i="7"/>
  <c r="AO12" i="7"/>
  <c r="AP12" i="7"/>
  <c r="BG7" i="7"/>
  <c r="BS8" i="7"/>
  <c r="BP8" i="7"/>
  <c r="BR8" i="7"/>
  <c r="BL8" i="7"/>
  <c r="BM8" i="7"/>
  <c r="AU66" i="7"/>
  <c r="BE66" i="7"/>
  <c r="BL64" i="7"/>
  <c r="BF63" i="7"/>
  <c r="AU63" i="7"/>
  <c r="AX64" i="7"/>
  <c r="BG64" i="7"/>
  <c r="AE63" i="7"/>
  <c r="AO63" i="7"/>
  <c r="AL59" i="7"/>
  <c r="BI57" i="7"/>
  <c r="AY57" i="7"/>
  <c r="AH53" i="7"/>
  <c r="AQ53" i="7"/>
  <c r="AK50" i="7"/>
  <c r="AM48" i="7"/>
  <c r="AH41" i="7"/>
  <c r="AK38" i="7"/>
  <c r="AM39" i="7"/>
  <c r="AD39" i="7"/>
  <c r="AN39" i="7"/>
  <c r="AL39" i="7"/>
  <c r="AO39" i="7"/>
  <c r="AP39" i="7"/>
  <c r="AH31" i="7"/>
  <c r="AQ31" i="7"/>
  <c r="AJ31" i="7"/>
  <c r="AR31" i="7"/>
  <c r="AG31" i="7"/>
  <c r="AK31" i="7"/>
  <c r="AS31" i="7"/>
  <c r="AD31" i="7"/>
  <c r="AE31" i="7"/>
  <c r="AX26" i="7"/>
  <c r="BG26" i="7"/>
  <c r="AY26" i="7"/>
  <c r="BH26" i="7"/>
  <c r="BC26" i="7"/>
  <c r="BD26" i="7"/>
  <c r="BE26" i="7"/>
  <c r="BF26" i="7"/>
  <c r="BI26" i="7"/>
  <c r="BF21" i="7"/>
  <c r="AJ21" i="7"/>
  <c r="AR21" i="7"/>
  <c r="AK21" i="7"/>
  <c r="AS21" i="7"/>
  <c r="AL21" i="7"/>
  <c r="AH21" i="7"/>
  <c r="AM21" i="7"/>
  <c r="AD21" i="7"/>
  <c r="AE21" i="7"/>
  <c r="AR12" i="7"/>
  <c r="BR9" i="7"/>
  <c r="BS9" i="7"/>
  <c r="BA7" i="7"/>
  <c r="BI7" i="7"/>
  <c r="BB7" i="7"/>
  <c r="BJ7" i="7"/>
  <c r="BC7" i="7"/>
  <c r="AU7" i="7"/>
  <c r="BH7" i="7"/>
  <c r="AV7" i="7"/>
  <c r="AX7" i="7"/>
  <c r="AY7" i="7"/>
  <c r="BD7" i="7"/>
  <c r="BE63" i="7"/>
  <c r="AD64" i="7"/>
  <c r="AN64" i="7"/>
  <c r="AJ59" i="7"/>
  <c r="BH57" i="7"/>
  <c r="AX57" i="7"/>
  <c r="BA54" i="7"/>
  <c r="BI54" i="7"/>
  <c r="AS50" i="7"/>
  <c r="AJ50" i="7"/>
  <c r="AL48" i="7"/>
  <c r="BB44" i="7"/>
  <c r="BJ44" i="7"/>
  <c r="BC44" i="7"/>
  <c r="AG41" i="7"/>
  <c r="AK39" i="7"/>
  <c r="AU40" i="7"/>
  <c r="BE40" i="7"/>
  <c r="AV40" i="7"/>
  <c r="BF40" i="7"/>
  <c r="AY40" i="7"/>
  <c r="BJ40" i="7"/>
  <c r="BA40" i="7"/>
  <c r="BB40" i="7"/>
  <c r="AJ38" i="7"/>
  <c r="BR36" i="7"/>
  <c r="BA36" i="7"/>
  <c r="BI36" i="7"/>
  <c r="BB36" i="7"/>
  <c r="BJ36" i="7"/>
  <c r="BF36" i="7"/>
  <c r="AU36" i="7"/>
  <c r="BG36" i="7"/>
  <c r="AV36" i="7"/>
  <c r="BH36" i="7"/>
  <c r="AN31" i="7"/>
  <c r="BB26" i="7"/>
  <c r="AQ21" i="7"/>
  <c r="AQ12" i="7"/>
  <c r="AV10" i="7"/>
  <c r="BF10" i="7"/>
  <c r="AX10" i="7"/>
  <c r="BG10" i="7"/>
  <c r="AY10" i="7"/>
  <c r="BH10" i="7"/>
  <c r="BA10" i="7"/>
  <c r="BB10" i="7"/>
  <c r="BD10" i="7"/>
  <c r="BE10" i="7"/>
  <c r="BI10" i="7"/>
  <c r="BE7" i="7"/>
  <c r="BD29" i="7"/>
  <c r="AU29" i="7"/>
  <c r="BE29" i="7"/>
  <c r="BA29" i="7"/>
  <c r="BB29" i="7"/>
  <c r="BO28" i="7"/>
  <c r="BP28" i="7"/>
  <c r="BM28" i="7"/>
  <c r="BR28" i="7"/>
  <c r="AD26" i="7"/>
  <c r="AN26" i="7"/>
  <c r="AE26" i="7"/>
  <c r="AO26" i="7"/>
  <c r="AP26" i="7"/>
  <c r="AQ26" i="7"/>
  <c r="AX17" i="7"/>
  <c r="BG17" i="7"/>
  <c r="AY17" i="7"/>
  <c r="BH17" i="7"/>
  <c r="BA17" i="7"/>
  <c r="BI17" i="7"/>
  <c r="BB17" i="7"/>
  <c r="BC17" i="7"/>
  <c r="BS16" i="7"/>
  <c r="BM16" i="7"/>
  <c r="BO16" i="7"/>
  <c r="BP39" i="7"/>
  <c r="BR39" i="7"/>
  <c r="BB35" i="7"/>
  <c r="BJ35" i="7"/>
  <c r="BC35" i="7"/>
  <c r="BJ29" i="7"/>
  <c r="AV29" i="7"/>
  <c r="AK29" i="7"/>
  <c r="AS29" i="7"/>
  <c r="AL29" i="7"/>
  <c r="AN29" i="7"/>
  <c r="AO29" i="7"/>
  <c r="AU28" i="7"/>
  <c r="BE28" i="7"/>
  <c r="AV28" i="7"/>
  <c r="BF28" i="7"/>
  <c r="BB28" i="7"/>
  <c r="BC28" i="7"/>
  <c r="AM26" i="7"/>
  <c r="BP27" i="7"/>
  <c r="BR27" i="7"/>
  <c r="BO27" i="7"/>
  <c r="BS27" i="7"/>
  <c r="BJ17" i="7"/>
  <c r="BR16" i="7"/>
  <c r="BM12" i="7"/>
  <c r="BO12" i="7"/>
  <c r="BP12" i="7"/>
  <c r="BL12" i="7"/>
  <c r="BR12" i="7"/>
  <c r="BI45" i="7"/>
  <c r="BP41" i="7"/>
  <c r="BR41" i="7"/>
  <c r="BL39" i="7"/>
  <c r="BO40" i="7"/>
  <c r="BP40" i="7"/>
  <c r="AV39" i="7"/>
  <c r="BF39" i="7"/>
  <c r="AX39" i="7"/>
  <c r="BG39" i="7"/>
  <c r="BG35" i="7"/>
  <c r="AU35" i="7"/>
  <c r="AD35" i="7"/>
  <c r="AN35" i="7"/>
  <c r="AG35" i="7"/>
  <c r="AQ35" i="7"/>
  <c r="AH35" i="7"/>
  <c r="AR35" i="7"/>
  <c r="AY33" i="7"/>
  <c r="BH33" i="7"/>
  <c r="BA33" i="7"/>
  <c r="BI33" i="7"/>
  <c r="BE33" i="7"/>
  <c r="BF33" i="7"/>
  <c r="BI29" i="7"/>
  <c r="AR29" i="7"/>
  <c r="AD29" i="7"/>
  <c r="BS28" i="7"/>
  <c r="AY28" i="7"/>
  <c r="AL28" i="7"/>
  <c r="AM28" i="7"/>
  <c r="AO28" i="7"/>
  <c r="AD28" i="7"/>
  <c r="AP28" i="7"/>
  <c r="AL26" i="7"/>
  <c r="AV27" i="7"/>
  <c r="BF27" i="7"/>
  <c r="AX27" i="7"/>
  <c r="BG27" i="7"/>
  <c r="BC27" i="7"/>
  <c r="BD27" i="7"/>
  <c r="BO19" i="7"/>
  <c r="BP19" i="7"/>
  <c r="BR19" i="7"/>
  <c r="BS19" i="7"/>
  <c r="BF17" i="7"/>
  <c r="BP16" i="7"/>
  <c r="BD12" i="7"/>
  <c r="AU12" i="7"/>
  <c r="BE12" i="7"/>
  <c r="AV12" i="7"/>
  <c r="BF12" i="7"/>
  <c r="AY12" i="7"/>
  <c r="BA12" i="7"/>
  <c r="BP10" i="7"/>
  <c r="BR10" i="7"/>
  <c r="BS10" i="7"/>
  <c r="BM10" i="7"/>
  <c r="BO10" i="7"/>
  <c r="BR34" i="7"/>
  <c r="BS34" i="7"/>
  <c r="BM20" i="7"/>
  <c r="BO20" i="7"/>
  <c r="BP20" i="7"/>
  <c r="BC13" i="7"/>
  <c r="BD13" i="7"/>
  <c r="AU13" i="7"/>
  <c r="BE13" i="7"/>
  <c r="AL11" i="7"/>
  <c r="AM11" i="7"/>
  <c r="AD11" i="7"/>
  <c r="AN11" i="7"/>
  <c r="AX9" i="7"/>
  <c r="BG9" i="7"/>
  <c r="AY9" i="7"/>
  <c r="BH9" i="7"/>
  <c r="BA9" i="7"/>
  <c r="BI9" i="7"/>
  <c r="AX34" i="7"/>
  <c r="BG34" i="7"/>
  <c r="AY34" i="7"/>
  <c r="BH34" i="7"/>
  <c r="AH22" i="7"/>
  <c r="AQ22" i="7"/>
  <c r="AJ22" i="7"/>
  <c r="AR22" i="7"/>
  <c r="AK22" i="7"/>
  <c r="AS22" i="7"/>
  <c r="BD20" i="7"/>
  <c r="AU20" i="7"/>
  <c r="BE20" i="7"/>
  <c r="AV20" i="7"/>
  <c r="BF20" i="7"/>
  <c r="BP18" i="7"/>
  <c r="BR18" i="7"/>
  <c r="BS18" i="7"/>
  <c r="AJ13" i="7"/>
  <c r="AR13" i="7"/>
  <c r="AK13" i="7"/>
  <c r="AS13" i="7"/>
  <c r="AL13" i="7"/>
  <c r="AQ11" i="7"/>
  <c r="BE9" i="7"/>
  <c r="AE17" i="7"/>
  <c r="BA16" i="7"/>
  <c r="AO9" i="7"/>
  <c r="AE9" i="7"/>
  <c r="BI8" i="7"/>
  <c r="BA8" i="7"/>
  <c r="AQ7" i="7"/>
  <c r="AH7" i="7"/>
  <c r="AN17" i="7"/>
  <c r="BH16" i="7"/>
  <c r="AN9" i="7"/>
  <c r="BH8" i="7"/>
  <c r="AP7" i="7"/>
  <c r="BO66" i="2" l="1"/>
  <c r="BP66" i="2"/>
  <c r="BQ66" i="2"/>
  <c r="BR66" i="2"/>
  <c r="BS66" i="2"/>
  <c r="BT66" i="2"/>
  <c r="BU66" i="2"/>
  <c r="BV66" i="2"/>
  <c r="BW66" i="2"/>
  <c r="BX66" i="2"/>
  <c r="BY66" i="2"/>
  <c r="BM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C66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3" i="2"/>
  <c r="AX80" i="2"/>
  <c r="BM86" i="2" l="1"/>
  <c r="BM85" i="2"/>
  <c r="BM84" i="2"/>
  <c r="BM83" i="2"/>
  <c r="BM82" i="2"/>
  <c r="BM81" i="2"/>
  <c r="BM79" i="2"/>
  <c r="BM78" i="2"/>
  <c r="BM77" i="2"/>
  <c r="BM73" i="2"/>
  <c r="BM72" i="2"/>
  <c r="BM71" i="2"/>
  <c r="BM70" i="2"/>
  <c r="BM69" i="2"/>
  <c r="BM67" i="2"/>
  <c r="BM65" i="2"/>
  <c r="CY70" i="7" l="1"/>
  <c r="CV70" i="7"/>
  <c r="CH70" i="7" l="1"/>
  <c r="CE70" i="7"/>
  <c r="BQ70" i="7"/>
  <c r="BN70" i="7"/>
  <c r="AI70" i="7"/>
  <c r="AF70" i="7"/>
  <c r="AW70" i="7"/>
  <c r="AZ70" i="7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CA66" i="2" l="1"/>
  <c r="BP75" i="2"/>
  <c r="BQ75" i="2"/>
  <c r="BR75" i="2"/>
  <c r="BS75" i="2"/>
  <c r="BT75" i="2"/>
  <c r="BU75" i="2"/>
  <c r="BV75" i="2"/>
  <c r="BW75" i="2"/>
  <c r="BX75" i="2"/>
  <c r="BY75" i="2"/>
  <c r="BO75" i="2"/>
  <c r="D88" i="2"/>
  <c r="D89" i="2" s="1"/>
  <c r="E88" i="2"/>
  <c r="E89" i="2" s="1"/>
  <c r="F88" i="2"/>
  <c r="F89" i="2" s="1"/>
  <c r="G88" i="2"/>
  <c r="G89" i="2" s="1"/>
  <c r="H88" i="2"/>
  <c r="H89" i="2" s="1"/>
  <c r="I88" i="2"/>
  <c r="I89" i="2" s="1"/>
  <c r="J88" i="2"/>
  <c r="J89" i="2" s="1"/>
  <c r="K88" i="2"/>
  <c r="K89" i="2" s="1"/>
  <c r="L88" i="2"/>
  <c r="L89" i="2" s="1"/>
  <c r="M88" i="2"/>
  <c r="M89" i="2" s="1"/>
  <c r="N88" i="2"/>
  <c r="N89" i="2" s="1"/>
  <c r="O88" i="2"/>
  <c r="O89" i="2" s="1"/>
  <c r="P88" i="2"/>
  <c r="P89" i="2" s="1"/>
  <c r="Q88" i="2"/>
  <c r="Q89" i="2" s="1"/>
  <c r="R88" i="2"/>
  <c r="R89" i="2" s="1"/>
  <c r="S88" i="2"/>
  <c r="S89" i="2" s="1"/>
  <c r="T88" i="2"/>
  <c r="T89" i="2" s="1"/>
  <c r="U88" i="2"/>
  <c r="U89" i="2" s="1"/>
  <c r="V88" i="2"/>
  <c r="V89" i="2" s="1"/>
  <c r="W88" i="2"/>
  <c r="W89" i="2" s="1"/>
  <c r="X88" i="2"/>
  <c r="X89" i="2" s="1"/>
  <c r="Y88" i="2"/>
  <c r="Y89" i="2" s="1"/>
  <c r="Z88" i="2"/>
  <c r="Z89" i="2" s="1"/>
  <c r="AA88" i="2"/>
  <c r="AA89" i="2" s="1"/>
  <c r="AB88" i="2"/>
  <c r="AB89" i="2" s="1"/>
  <c r="AC88" i="2"/>
  <c r="AC89" i="2" s="1"/>
  <c r="AD88" i="2"/>
  <c r="AD89" i="2" s="1"/>
  <c r="AE88" i="2"/>
  <c r="AE89" i="2" s="1"/>
  <c r="AF88" i="2"/>
  <c r="AF89" i="2" s="1"/>
  <c r="AG88" i="2"/>
  <c r="AG89" i="2" s="1"/>
  <c r="AH88" i="2"/>
  <c r="AH89" i="2" s="1"/>
  <c r="AI88" i="2"/>
  <c r="AI89" i="2" s="1"/>
  <c r="AJ88" i="2"/>
  <c r="AJ89" i="2" s="1"/>
  <c r="AK88" i="2"/>
  <c r="AK89" i="2" s="1"/>
  <c r="AL88" i="2"/>
  <c r="AL89" i="2" s="1"/>
  <c r="AM88" i="2"/>
  <c r="AM89" i="2" s="1"/>
  <c r="AN88" i="2"/>
  <c r="AN89" i="2" s="1"/>
  <c r="AO88" i="2"/>
  <c r="AO89" i="2" s="1"/>
  <c r="AP88" i="2"/>
  <c r="AP89" i="2" s="1"/>
  <c r="AQ88" i="2"/>
  <c r="AQ89" i="2" s="1"/>
  <c r="AR88" i="2"/>
  <c r="AR89" i="2" s="1"/>
  <c r="AS88" i="2"/>
  <c r="AS89" i="2" s="1"/>
  <c r="AT88" i="2"/>
  <c r="AT89" i="2" s="1"/>
  <c r="AU88" i="2"/>
  <c r="AU89" i="2" s="1"/>
  <c r="AV88" i="2"/>
  <c r="AV89" i="2" s="1"/>
  <c r="AW88" i="2"/>
  <c r="AW89" i="2" s="1"/>
  <c r="AX88" i="2"/>
  <c r="AX89" i="2" s="1"/>
  <c r="AY88" i="2"/>
  <c r="AY89" i="2" s="1"/>
  <c r="AZ88" i="2"/>
  <c r="AZ89" i="2" s="1"/>
  <c r="BA88" i="2"/>
  <c r="BA89" i="2" s="1"/>
  <c r="BB88" i="2"/>
  <c r="BB89" i="2" s="1"/>
  <c r="BC88" i="2"/>
  <c r="BC89" i="2" s="1"/>
  <c r="BD88" i="2"/>
  <c r="BD89" i="2" s="1"/>
  <c r="BE88" i="2"/>
  <c r="BE89" i="2" s="1"/>
  <c r="BF88" i="2"/>
  <c r="BF89" i="2" s="1"/>
  <c r="BG88" i="2"/>
  <c r="BG89" i="2" s="1"/>
  <c r="BH88" i="2"/>
  <c r="BH89" i="2" s="1"/>
  <c r="BI88" i="2"/>
  <c r="BI89" i="2" s="1"/>
  <c r="BJ88" i="2"/>
  <c r="BJ89" i="2" s="1"/>
  <c r="BK88" i="2"/>
  <c r="BK89" i="2" s="1"/>
  <c r="BL88" i="2"/>
  <c r="BL89" i="2" s="1"/>
  <c r="BM88" i="2"/>
  <c r="BM89" i="2" s="1"/>
  <c r="C88" i="2"/>
  <c r="C89" i="2" s="1"/>
  <c r="A7" i="5" l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DC55" i="7" l="1"/>
  <c r="DD55" i="7"/>
  <c r="CW55" i="7"/>
  <c r="DG55" i="7"/>
  <c r="DF55" i="7"/>
  <c r="DI55" i="7"/>
  <c r="CX55" i="7"/>
  <c r="DE55" i="7"/>
  <c r="DH55" i="7"/>
  <c r="DB55" i="7"/>
  <c r="CT55" i="7"/>
  <c r="DA55" i="7"/>
  <c r="CZ55" i="7"/>
  <c r="CU55" i="7"/>
  <c r="DI52" i="7"/>
  <c r="DA52" i="7"/>
  <c r="DF52" i="7"/>
  <c r="DE52" i="7"/>
  <c r="DD52" i="7"/>
  <c r="CT52" i="7"/>
  <c r="CU52" i="7"/>
  <c r="DH52" i="7"/>
  <c r="DC52" i="7"/>
  <c r="DB52" i="7"/>
  <c r="DG52" i="7"/>
  <c r="CX52" i="7"/>
  <c r="CW52" i="7"/>
  <c r="CZ52" i="7"/>
  <c r="DC43" i="7"/>
  <c r="DE43" i="7"/>
  <c r="DA43" i="7"/>
  <c r="CZ43" i="7"/>
  <c r="CT43" i="7"/>
  <c r="DD43" i="7"/>
  <c r="DB43" i="7"/>
  <c r="CU43" i="7"/>
  <c r="DF43" i="7"/>
  <c r="DI43" i="7"/>
  <c r="CX43" i="7"/>
  <c r="DH43" i="7"/>
  <c r="CW43" i="7"/>
  <c r="DG43" i="7"/>
  <c r="DI60" i="7"/>
  <c r="DA60" i="7"/>
  <c r="DH60" i="7"/>
  <c r="CZ60" i="7"/>
  <c r="DC60" i="7"/>
  <c r="DB60" i="7"/>
  <c r="CU60" i="7"/>
  <c r="DE60" i="7"/>
  <c r="CX60" i="7"/>
  <c r="DD60" i="7"/>
  <c r="DF60" i="7"/>
  <c r="CW60" i="7"/>
  <c r="CT60" i="7"/>
  <c r="DG60" i="7"/>
  <c r="DE50" i="7"/>
  <c r="CX50" i="7"/>
  <c r="DH50" i="7"/>
  <c r="CW50" i="7"/>
  <c r="DD50" i="7"/>
  <c r="DC50" i="7"/>
  <c r="DB50" i="7"/>
  <c r="CZ50" i="7"/>
  <c r="DA50" i="7"/>
  <c r="CU50" i="7"/>
  <c r="DI50" i="7"/>
  <c r="DG50" i="7"/>
  <c r="DF50" i="7"/>
  <c r="CT50" i="7"/>
  <c r="DC11" i="7"/>
  <c r="DE11" i="7"/>
  <c r="DH11" i="7"/>
  <c r="DG11" i="7"/>
  <c r="CT11" i="7"/>
  <c r="DB11" i="7"/>
  <c r="CW11" i="7"/>
  <c r="CZ11" i="7"/>
  <c r="DA11" i="7"/>
  <c r="CU11" i="7"/>
  <c r="CX11" i="7"/>
  <c r="DI11" i="7"/>
  <c r="DF11" i="7"/>
  <c r="DD11" i="7"/>
  <c r="DG33" i="7"/>
  <c r="DD33" i="7"/>
  <c r="CW33" i="7"/>
  <c r="CU33" i="7"/>
  <c r="DH33" i="7"/>
  <c r="CT33" i="7"/>
  <c r="DF33" i="7"/>
  <c r="DE33" i="7"/>
  <c r="DB33" i="7"/>
  <c r="DC33" i="7"/>
  <c r="DA33" i="7"/>
  <c r="CX33" i="7"/>
  <c r="CZ33" i="7"/>
  <c r="DI33" i="7"/>
  <c r="AK68" i="7"/>
  <c r="AS68" i="7"/>
  <c r="AG68" i="7"/>
  <c r="AL68" i="7"/>
  <c r="AJ68" i="7"/>
  <c r="AM68" i="7"/>
  <c r="AN68" i="7"/>
  <c r="AO68" i="7"/>
  <c r="AP68" i="7"/>
  <c r="AH68" i="7"/>
  <c r="AQ68" i="7"/>
  <c r="AD68" i="7"/>
  <c r="AE68" i="7"/>
  <c r="AR68" i="7"/>
  <c r="BU19" i="7"/>
  <c r="BT19" i="7"/>
  <c r="CA19" i="7"/>
  <c r="BZ19" i="7"/>
  <c r="BW19" i="7"/>
  <c r="BV19" i="7"/>
  <c r="BY19" i="7"/>
  <c r="BX19" i="7"/>
  <c r="BU63" i="7"/>
  <c r="BT63" i="7"/>
  <c r="CA63" i="7"/>
  <c r="BY63" i="7"/>
  <c r="BX63" i="7"/>
  <c r="BZ63" i="7"/>
  <c r="BW63" i="7"/>
  <c r="BV63" i="7"/>
  <c r="CA56" i="7"/>
  <c r="BZ56" i="7"/>
  <c r="BW56" i="7"/>
  <c r="BU56" i="7"/>
  <c r="BT56" i="7"/>
  <c r="BV56" i="7"/>
  <c r="BY56" i="7"/>
  <c r="BX56" i="7"/>
  <c r="BU55" i="7"/>
  <c r="BT55" i="7"/>
  <c r="BW55" i="7"/>
  <c r="BV55" i="7"/>
  <c r="BY55" i="7"/>
  <c r="BX55" i="7"/>
  <c r="CA55" i="7"/>
  <c r="BZ55" i="7"/>
  <c r="CA8" i="7"/>
  <c r="BZ8" i="7"/>
  <c r="BW8" i="7"/>
  <c r="BU8" i="7"/>
  <c r="BT8" i="7"/>
  <c r="BV8" i="7"/>
  <c r="BY8" i="7"/>
  <c r="BX8" i="7"/>
  <c r="BY25" i="7"/>
  <c r="BX25" i="7"/>
  <c r="BW25" i="7"/>
  <c r="BU25" i="7"/>
  <c r="BT25" i="7"/>
  <c r="BV25" i="7"/>
  <c r="CA25" i="7"/>
  <c r="BZ25" i="7"/>
  <c r="BU31" i="7"/>
  <c r="BT31" i="7"/>
  <c r="CA31" i="7"/>
  <c r="BY31" i="7"/>
  <c r="BX31" i="7"/>
  <c r="BZ31" i="7"/>
  <c r="BW31" i="7"/>
  <c r="BV31" i="7"/>
  <c r="BU59" i="7"/>
  <c r="BT59" i="7"/>
  <c r="BY59" i="7"/>
  <c r="BW59" i="7"/>
  <c r="BV59" i="7"/>
  <c r="BX59" i="7"/>
  <c r="CA59" i="7"/>
  <c r="BZ59" i="7"/>
  <c r="CN49" i="7"/>
  <c r="CJ49" i="7"/>
  <c r="CR49" i="7"/>
  <c r="CI49" i="7"/>
  <c r="CL49" i="7"/>
  <c r="CQ49" i="7"/>
  <c r="CC49" i="7"/>
  <c r="CK49" i="7"/>
  <c r="CF49" i="7"/>
  <c r="CM49" i="7"/>
  <c r="CD49" i="7"/>
  <c r="CG49" i="7"/>
  <c r="CP49" i="7"/>
  <c r="CO49" i="7"/>
  <c r="CR35" i="7"/>
  <c r="CJ35" i="7"/>
  <c r="CM35" i="7"/>
  <c r="CG35" i="7"/>
  <c r="CC35" i="7"/>
  <c r="CL35" i="7"/>
  <c r="CF35" i="7"/>
  <c r="CD35" i="7"/>
  <c r="CQ35" i="7"/>
  <c r="CN35" i="7"/>
  <c r="CP35" i="7"/>
  <c r="CO35" i="7"/>
  <c r="CK35" i="7"/>
  <c r="CI35" i="7"/>
  <c r="CR15" i="7"/>
  <c r="CJ15" i="7"/>
  <c r="CL15" i="7"/>
  <c r="CG15" i="7"/>
  <c r="CC15" i="7"/>
  <c r="CK15" i="7"/>
  <c r="CF15" i="7"/>
  <c r="CD15" i="7"/>
  <c r="CI15" i="7"/>
  <c r="CP15" i="7"/>
  <c r="CQ15" i="7"/>
  <c r="CO15" i="7"/>
  <c r="CN15" i="7"/>
  <c r="CM15" i="7"/>
  <c r="CP20" i="7"/>
  <c r="CQ20" i="7"/>
  <c r="CO20" i="7"/>
  <c r="CJ20" i="7"/>
  <c r="CC20" i="7"/>
  <c r="CG20" i="7"/>
  <c r="CF20" i="7"/>
  <c r="CN20" i="7"/>
  <c r="CI20" i="7"/>
  <c r="CD20" i="7"/>
  <c r="CR20" i="7"/>
  <c r="CM20" i="7"/>
  <c r="CK20" i="7"/>
  <c r="CL20" i="7"/>
  <c r="CN17" i="7"/>
  <c r="CJ17" i="7"/>
  <c r="CR17" i="7"/>
  <c r="CI17" i="7"/>
  <c r="CO17" i="7"/>
  <c r="CM17" i="7"/>
  <c r="CL17" i="7"/>
  <c r="CK17" i="7"/>
  <c r="CC17" i="7"/>
  <c r="CQ17" i="7"/>
  <c r="CP17" i="7"/>
  <c r="CG17" i="7"/>
  <c r="CF17" i="7"/>
  <c r="CD17" i="7"/>
  <c r="CL26" i="7"/>
  <c r="CK26" i="7"/>
  <c r="CJ26" i="7"/>
  <c r="CI26" i="7"/>
  <c r="CG26" i="7"/>
  <c r="CC26" i="7"/>
  <c r="CD26" i="7"/>
  <c r="CP26" i="7"/>
  <c r="CF26" i="7"/>
  <c r="CR26" i="7"/>
  <c r="CQ26" i="7"/>
  <c r="CO26" i="7"/>
  <c r="CN26" i="7"/>
  <c r="CM26" i="7"/>
  <c r="CP24" i="7"/>
  <c r="CM24" i="7"/>
  <c r="CL24" i="7"/>
  <c r="CR24" i="7"/>
  <c r="CO24" i="7"/>
  <c r="CG24" i="7"/>
  <c r="CQ24" i="7"/>
  <c r="CN24" i="7"/>
  <c r="CK24" i="7"/>
  <c r="CF24" i="7"/>
  <c r="CC24" i="7"/>
  <c r="CD24" i="7"/>
  <c r="CJ24" i="7"/>
  <c r="CI24" i="7"/>
  <c r="DI64" i="7"/>
  <c r="DA64" i="7"/>
  <c r="DH64" i="7"/>
  <c r="CZ64" i="7"/>
  <c r="DE64" i="7"/>
  <c r="CW64" i="7"/>
  <c r="CT64" i="7"/>
  <c r="DG64" i="7"/>
  <c r="CU64" i="7"/>
  <c r="DC64" i="7"/>
  <c r="DF64" i="7"/>
  <c r="CX64" i="7"/>
  <c r="DD64" i="7"/>
  <c r="DB64" i="7"/>
  <c r="DG57" i="7"/>
  <c r="DB57" i="7"/>
  <c r="CU57" i="7"/>
  <c r="DH57" i="7"/>
  <c r="DF57" i="7"/>
  <c r="DC57" i="7"/>
  <c r="CZ57" i="7"/>
  <c r="DA57" i="7"/>
  <c r="DI57" i="7"/>
  <c r="CW57" i="7"/>
  <c r="DE57" i="7"/>
  <c r="DD57" i="7"/>
  <c r="CX57" i="7"/>
  <c r="CT57" i="7"/>
  <c r="DC63" i="7"/>
  <c r="DB63" i="7"/>
  <c r="DE63" i="7"/>
  <c r="DH63" i="7"/>
  <c r="DG63" i="7"/>
  <c r="DF63" i="7"/>
  <c r="CW63" i="7"/>
  <c r="DA63" i="7"/>
  <c r="DD63" i="7"/>
  <c r="CX63" i="7"/>
  <c r="CT63" i="7"/>
  <c r="CU63" i="7"/>
  <c r="CZ63" i="7"/>
  <c r="DI63" i="7"/>
  <c r="DC15" i="7"/>
  <c r="DA15" i="7"/>
  <c r="DI15" i="7"/>
  <c r="CT15" i="7"/>
  <c r="DH15" i="7"/>
  <c r="CU15" i="7"/>
  <c r="DE15" i="7"/>
  <c r="DB15" i="7"/>
  <c r="CX15" i="7"/>
  <c r="DD15" i="7"/>
  <c r="DF15" i="7"/>
  <c r="CZ15" i="7"/>
  <c r="DG15" i="7"/>
  <c r="CW15" i="7"/>
  <c r="DE10" i="7"/>
  <c r="DF10" i="7"/>
  <c r="DH10" i="7"/>
  <c r="CU10" i="7"/>
  <c r="DG10" i="7"/>
  <c r="CZ10" i="7"/>
  <c r="CX10" i="7"/>
  <c r="CT10" i="7"/>
  <c r="CW10" i="7"/>
  <c r="DI10" i="7"/>
  <c r="DA10" i="7"/>
  <c r="DD10" i="7"/>
  <c r="DC10" i="7"/>
  <c r="DB10" i="7"/>
  <c r="DC19" i="7"/>
  <c r="DG19" i="7"/>
  <c r="DA19" i="7"/>
  <c r="CU19" i="7"/>
  <c r="CZ19" i="7"/>
  <c r="DF19" i="7"/>
  <c r="DE19" i="7"/>
  <c r="DD19" i="7"/>
  <c r="DI19" i="7"/>
  <c r="CX19" i="7"/>
  <c r="DH19" i="7"/>
  <c r="CT19" i="7"/>
  <c r="DB19" i="7"/>
  <c r="CW19" i="7"/>
  <c r="DG41" i="7"/>
  <c r="DF41" i="7"/>
  <c r="CW41" i="7"/>
  <c r="CU41" i="7"/>
  <c r="DA41" i="7"/>
  <c r="CZ41" i="7"/>
  <c r="DI41" i="7"/>
  <c r="DE41" i="7"/>
  <c r="DH41" i="7"/>
  <c r="CX41" i="7"/>
  <c r="DC41" i="7"/>
  <c r="DB41" i="7"/>
  <c r="DD41" i="7"/>
  <c r="CT41" i="7"/>
  <c r="BI68" i="7"/>
  <c r="BA68" i="7"/>
  <c r="AV68" i="7"/>
  <c r="BH68" i="7"/>
  <c r="BC68" i="7"/>
  <c r="BJ68" i="7"/>
  <c r="BB68" i="7"/>
  <c r="BE68" i="7"/>
  <c r="BD68" i="7"/>
  <c r="AY68" i="7"/>
  <c r="AX68" i="7"/>
  <c r="AU68" i="7"/>
  <c r="BG68" i="7"/>
  <c r="BF68" i="7"/>
  <c r="BW22" i="7"/>
  <c r="BV22" i="7"/>
  <c r="BU22" i="7"/>
  <c r="BT22" i="7"/>
  <c r="CA22" i="7"/>
  <c r="BZ22" i="7"/>
  <c r="BY22" i="7"/>
  <c r="BX22" i="7"/>
  <c r="BY13" i="7"/>
  <c r="BX13" i="7"/>
  <c r="CA13" i="7"/>
  <c r="BW13" i="7"/>
  <c r="BV13" i="7"/>
  <c r="BZ13" i="7"/>
  <c r="BT13" i="7"/>
  <c r="BU13" i="7"/>
  <c r="CA12" i="7"/>
  <c r="BZ12" i="7"/>
  <c r="BY12" i="7"/>
  <c r="BW12" i="7"/>
  <c r="BV12" i="7"/>
  <c r="BX12" i="7"/>
  <c r="BU12" i="7"/>
  <c r="BT12" i="7"/>
  <c r="BW62" i="7"/>
  <c r="BV62" i="7"/>
  <c r="CA62" i="7"/>
  <c r="BY62" i="7"/>
  <c r="BX62" i="7"/>
  <c r="BZ62" i="7"/>
  <c r="BU62" i="7"/>
  <c r="BT62" i="7"/>
  <c r="CA16" i="7"/>
  <c r="BZ16" i="7"/>
  <c r="BX16" i="7"/>
  <c r="BY16" i="7"/>
  <c r="BW16" i="7"/>
  <c r="BV16" i="7"/>
  <c r="BU16" i="7"/>
  <c r="BT16" i="7"/>
  <c r="BY33" i="7"/>
  <c r="BX33" i="7"/>
  <c r="CA33" i="7"/>
  <c r="BZ33" i="7"/>
  <c r="BW33" i="7"/>
  <c r="BV33" i="7"/>
  <c r="BU33" i="7"/>
  <c r="BT33" i="7"/>
  <c r="BU39" i="7"/>
  <c r="BT39" i="7"/>
  <c r="BW39" i="7"/>
  <c r="BV39" i="7"/>
  <c r="CA39" i="7"/>
  <c r="BZ39" i="7"/>
  <c r="BY39" i="7"/>
  <c r="BX39" i="7"/>
  <c r="BU67" i="7"/>
  <c r="BT67" i="7"/>
  <c r="CA67" i="7"/>
  <c r="BZ67" i="7"/>
  <c r="BY67" i="7"/>
  <c r="BX67" i="7"/>
  <c r="BW67" i="7"/>
  <c r="BV67" i="7"/>
  <c r="CL14" i="7"/>
  <c r="CM14" i="7"/>
  <c r="CK14" i="7"/>
  <c r="CC14" i="7"/>
  <c r="CQ14" i="7"/>
  <c r="CG14" i="7"/>
  <c r="CP14" i="7"/>
  <c r="CR14" i="7"/>
  <c r="CD14" i="7"/>
  <c r="CF14" i="7"/>
  <c r="CO14" i="7"/>
  <c r="CI14" i="7"/>
  <c r="CN14" i="7"/>
  <c r="CJ14" i="7"/>
  <c r="CR43" i="7"/>
  <c r="CJ43" i="7"/>
  <c r="CO43" i="7"/>
  <c r="CG43" i="7"/>
  <c r="CC43" i="7"/>
  <c r="CD43" i="7"/>
  <c r="CN43" i="7"/>
  <c r="CF43" i="7"/>
  <c r="CK43" i="7"/>
  <c r="CI43" i="7"/>
  <c r="CQ43" i="7"/>
  <c r="CP43" i="7"/>
  <c r="CM43" i="7"/>
  <c r="CL43" i="7"/>
  <c r="CN21" i="7"/>
  <c r="CP21" i="7"/>
  <c r="CO21" i="7"/>
  <c r="CK21" i="7"/>
  <c r="CG21" i="7"/>
  <c r="CR21" i="7"/>
  <c r="CJ21" i="7"/>
  <c r="CF21" i="7"/>
  <c r="CI21" i="7"/>
  <c r="CC21" i="7"/>
  <c r="CD21" i="7"/>
  <c r="CM21" i="7"/>
  <c r="CQ21" i="7"/>
  <c r="CL21" i="7"/>
  <c r="CR31" i="7"/>
  <c r="CJ31" i="7"/>
  <c r="CP31" i="7"/>
  <c r="CG31" i="7"/>
  <c r="CC31" i="7"/>
  <c r="CD31" i="7"/>
  <c r="CO31" i="7"/>
  <c r="CF31" i="7"/>
  <c r="CI31" i="7"/>
  <c r="CN31" i="7"/>
  <c r="CQ31" i="7"/>
  <c r="CM31" i="7"/>
  <c r="CL31" i="7"/>
  <c r="CK31" i="7"/>
  <c r="CN25" i="7"/>
  <c r="CL25" i="7"/>
  <c r="CK25" i="7"/>
  <c r="CC25" i="7"/>
  <c r="CP25" i="7"/>
  <c r="CO25" i="7"/>
  <c r="CR25" i="7"/>
  <c r="CD25" i="7"/>
  <c r="CQ25" i="7"/>
  <c r="CG25" i="7"/>
  <c r="CF25" i="7"/>
  <c r="CM25" i="7"/>
  <c r="CJ25" i="7"/>
  <c r="CI25" i="7"/>
  <c r="CL34" i="7"/>
  <c r="CN34" i="7"/>
  <c r="CM34" i="7"/>
  <c r="CP34" i="7"/>
  <c r="CI34" i="7"/>
  <c r="CG34" i="7"/>
  <c r="CO34" i="7"/>
  <c r="CK34" i="7"/>
  <c r="CJ34" i="7"/>
  <c r="CF34" i="7"/>
  <c r="CR34" i="7"/>
  <c r="CC34" i="7"/>
  <c r="CQ34" i="7"/>
  <c r="CD34" i="7"/>
  <c r="CP32" i="7"/>
  <c r="CO32" i="7"/>
  <c r="CN32" i="7"/>
  <c r="CK32" i="7"/>
  <c r="CG32" i="7"/>
  <c r="CI32" i="7"/>
  <c r="CC32" i="7"/>
  <c r="CR32" i="7"/>
  <c r="CJ32" i="7"/>
  <c r="CF32" i="7"/>
  <c r="CD32" i="7"/>
  <c r="CL32" i="7"/>
  <c r="CQ32" i="7"/>
  <c r="CM32" i="7"/>
  <c r="DI8" i="7"/>
  <c r="DA8" i="7"/>
  <c r="DG8" i="7"/>
  <c r="DF8" i="7"/>
  <c r="CX8" i="7"/>
  <c r="DE8" i="7"/>
  <c r="CW8" i="7"/>
  <c r="DD8" i="7"/>
  <c r="DB8" i="7"/>
  <c r="DC8" i="7"/>
  <c r="CU8" i="7"/>
  <c r="DH8" i="7"/>
  <c r="CZ8" i="7"/>
  <c r="CT8" i="7"/>
  <c r="DE66" i="7"/>
  <c r="CX66" i="7"/>
  <c r="DD66" i="7"/>
  <c r="DG66" i="7"/>
  <c r="DB66" i="7"/>
  <c r="DA66" i="7"/>
  <c r="CW66" i="7"/>
  <c r="CT66" i="7"/>
  <c r="DI66" i="7"/>
  <c r="DH66" i="7"/>
  <c r="DF66" i="7"/>
  <c r="DC66" i="7"/>
  <c r="CZ66" i="7"/>
  <c r="CU66" i="7"/>
  <c r="DC59" i="7"/>
  <c r="DB59" i="7"/>
  <c r="DA59" i="7"/>
  <c r="CX59" i="7"/>
  <c r="DI59" i="7"/>
  <c r="DH59" i="7"/>
  <c r="CT59" i="7"/>
  <c r="CU59" i="7"/>
  <c r="DD59" i="7"/>
  <c r="DG59" i="7"/>
  <c r="DF59" i="7"/>
  <c r="DE59" i="7"/>
  <c r="CZ59" i="7"/>
  <c r="CW59" i="7"/>
  <c r="DC67" i="7"/>
  <c r="DB67" i="7"/>
  <c r="DG67" i="7"/>
  <c r="DE67" i="7"/>
  <c r="CW67" i="7"/>
  <c r="DD67" i="7"/>
  <c r="DI67" i="7"/>
  <c r="CU67" i="7"/>
  <c r="DA67" i="7"/>
  <c r="DH67" i="7"/>
  <c r="DF67" i="7"/>
  <c r="CZ67" i="7"/>
  <c r="CX67" i="7"/>
  <c r="CT67" i="7"/>
  <c r="DG21" i="7"/>
  <c r="DE21" i="7"/>
  <c r="CW21" i="7"/>
  <c r="CU21" i="7"/>
  <c r="DB21" i="7"/>
  <c r="DA21" i="7"/>
  <c r="CZ21" i="7"/>
  <c r="CX21" i="7"/>
  <c r="DI21" i="7"/>
  <c r="DC21" i="7"/>
  <c r="DH21" i="7"/>
  <c r="DF21" i="7"/>
  <c r="DD21" i="7"/>
  <c r="CT21" i="7"/>
  <c r="DE18" i="7"/>
  <c r="DH18" i="7"/>
  <c r="DA18" i="7"/>
  <c r="CW18" i="7"/>
  <c r="CZ18" i="7"/>
  <c r="DC18" i="7"/>
  <c r="DB18" i="7"/>
  <c r="CU18" i="7"/>
  <c r="DG18" i="7"/>
  <c r="DI18" i="7"/>
  <c r="DF18" i="7"/>
  <c r="CT18" i="7"/>
  <c r="DD18" i="7"/>
  <c r="CX18" i="7"/>
  <c r="DC27" i="7"/>
  <c r="DI27" i="7"/>
  <c r="CZ27" i="7"/>
  <c r="DE27" i="7"/>
  <c r="CW27" i="7"/>
  <c r="DD27" i="7"/>
  <c r="CU27" i="7"/>
  <c r="DG27" i="7"/>
  <c r="DH27" i="7"/>
  <c r="CT27" i="7"/>
  <c r="DF27" i="7"/>
  <c r="DB27" i="7"/>
  <c r="DA27" i="7"/>
  <c r="CX27" i="7"/>
  <c r="DC47" i="7"/>
  <c r="DA47" i="7"/>
  <c r="DD47" i="7"/>
  <c r="CT47" i="7"/>
  <c r="DB47" i="7"/>
  <c r="CU47" i="7"/>
  <c r="DF47" i="7"/>
  <c r="CZ47" i="7"/>
  <c r="CX47" i="7"/>
  <c r="DE47" i="7"/>
  <c r="DI47" i="7"/>
  <c r="DH47" i="7"/>
  <c r="DG47" i="7"/>
  <c r="CW47" i="7"/>
  <c r="BU27" i="7"/>
  <c r="BT27" i="7"/>
  <c r="BY27" i="7"/>
  <c r="BW27" i="7"/>
  <c r="BV27" i="7"/>
  <c r="BX27" i="7"/>
  <c r="CA27" i="7"/>
  <c r="BZ27" i="7"/>
  <c r="BW18" i="7"/>
  <c r="BV18" i="7"/>
  <c r="CA18" i="7"/>
  <c r="BZ18" i="7"/>
  <c r="BY18" i="7"/>
  <c r="BX18" i="7"/>
  <c r="BU18" i="7"/>
  <c r="BT18" i="7"/>
  <c r="BY29" i="7"/>
  <c r="BX29" i="7"/>
  <c r="CA29" i="7"/>
  <c r="BW29" i="7"/>
  <c r="BV29" i="7"/>
  <c r="BZ29" i="7"/>
  <c r="BU29" i="7"/>
  <c r="BT29" i="7"/>
  <c r="BW66" i="7"/>
  <c r="BV66" i="7"/>
  <c r="CA66" i="7"/>
  <c r="BZ66" i="7"/>
  <c r="BU66" i="7"/>
  <c r="BT66" i="7"/>
  <c r="BY66" i="7"/>
  <c r="BX66" i="7"/>
  <c r="CA24" i="7"/>
  <c r="BZ24" i="7"/>
  <c r="BW24" i="7"/>
  <c r="BU24" i="7"/>
  <c r="BT24" i="7"/>
  <c r="BV24" i="7"/>
  <c r="BY24" i="7"/>
  <c r="BX24" i="7"/>
  <c r="BY41" i="7"/>
  <c r="BX41" i="7"/>
  <c r="BW41" i="7"/>
  <c r="BU41" i="7"/>
  <c r="BT41" i="7"/>
  <c r="BV41" i="7"/>
  <c r="CA41" i="7"/>
  <c r="BZ41" i="7"/>
  <c r="BY45" i="7"/>
  <c r="BX45" i="7"/>
  <c r="CA45" i="7"/>
  <c r="BW45" i="7"/>
  <c r="BV45" i="7"/>
  <c r="BZ45" i="7"/>
  <c r="BU45" i="7"/>
  <c r="BT45" i="7"/>
  <c r="CR39" i="7"/>
  <c r="CJ39" i="7"/>
  <c r="CI39" i="7"/>
  <c r="CG39" i="7"/>
  <c r="CC39" i="7"/>
  <c r="CQ39" i="7"/>
  <c r="CF39" i="7"/>
  <c r="CD39" i="7"/>
  <c r="CN39" i="7"/>
  <c r="CM39" i="7"/>
  <c r="CL39" i="7"/>
  <c r="CK39" i="7"/>
  <c r="CP39" i="7"/>
  <c r="CO39" i="7"/>
  <c r="CP36" i="7"/>
  <c r="CL36" i="7"/>
  <c r="CK36" i="7"/>
  <c r="CC36" i="7"/>
  <c r="CG36" i="7"/>
  <c r="CN36" i="7"/>
  <c r="CR36" i="7"/>
  <c r="CD36" i="7"/>
  <c r="CQ36" i="7"/>
  <c r="CO36" i="7"/>
  <c r="CF36" i="7"/>
  <c r="CJ36" i="7"/>
  <c r="CI36" i="7"/>
  <c r="CM36" i="7"/>
  <c r="CR63" i="7"/>
  <c r="CJ63" i="7"/>
  <c r="CP63" i="7"/>
  <c r="CG63" i="7"/>
  <c r="CC63" i="7"/>
  <c r="CD63" i="7"/>
  <c r="CO63" i="7"/>
  <c r="CF63" i="7"/>
  <c r="CQ63" i="7"/>
  <c r="CN63" i="7"/>
  <c r="CM63" i="7"/>
  <c r="CL63" i="7"/>
  <c r="CI63" i="7"/>
  <c r="CK63" i="7"/>
  <c r="CL42" i="7"/>
  <c r="CP42" i="7"/>
  <c r="CO42" i="7"/>
  <c r="CI42" i="7"/>
  <c r="CG42" i="7"/>
  <c r="CC42" i="7"/>
  <c r="CD42" i="7"/>
  <c r="CN42" i="7"/>
  <c r="CF42" i="7"/>
  <c r="CR42" i="7"/>
  <c r="CQ42" i="7"/>
  <c r="CJ42" i="7"/>
  <c r="CM42" i="7"/>
  <c r="CK42" i="7"/>
  <c r="CN37" i="7"/>
  <c r="CK37" i="7"/>
  <c r="CJ37" i="7"/>
  <c r="CI37" i="7"/>
  <c r="CG37" i="7"/>
  <c r="CC37" i="7"/>
  <c r="CF37" i="7"/>
  <c r="CR37" i="7"/>
  <c r="CQ37" i="7"/>
  <c r="CD37" i="7"/>
  <c r="CP37" i="7"/>
  <c r="CO37" i="7"/>
  <c r="CM37" i="7"/>
  <c r="CL37" i="7"/>
  <c r="CN33" i="7"/>
  <c r="CO33" i="7"/>
  <c r="CM33" i="7"/>
  <c r="CL33" i="7"/>
  <c r="CC33" i="7"/>
  <c r="CK33" i="7"/>
  <c r="CJ33" i="7"/>
  <c r="CI33" i="7"/>
  <c r="CD33" i="7"/>
  <c r="CR33" i="7"/>
  <c r="CQ33" i="7"/>
  <c r="CF33" i="7"/>
  <c r="CG33" i="7"/>
  <c r="CP33" i="7"/>
  <c r="CP48" i="7"/>
  <c r="CK48" i="7"/>
  <c r="CJ48" i="7"/>
  <c r="CI48" i="7"/>
  <c r="CG48" i="7"/>
  <c r="CC48" i="7"/>
  <c r="CQ48" i="7"/>
  <c r="CF48" i="7"/>
  <c r="CR48" i="7"/>
  <c r="CD48" i="7"/>
  <c r="CO48" i="7"/>
  <c r="CM48" i="7"/>
  <c r="CL48" i="7"/>
  <c r="CN48" i="7"/>
  <c r="CP40" i="7"/>
  <c r="CR40" i="7"/>
  <c r="CI40" i="7"/>
  <c r="CQ40" i="7"/>
  <c r="CO40" i="7"/>
  <c r="CL40" i="7"/>
  <c r="CN40" i="7"/>
  <c r="CM40" i="7"/>
  <c r="CK40" i="7"/>
  <c r="CG40" i="7"/>
  <c r="CF40" i="7"/>
  <c r="CJ40" i="7"/>
  <c r="CC40" i="7"/>
  <c r="CD40" i="7"/>
  <c r="DI28" i="7"/>
  <c r="DA28" i="7"/>
  <c r="DH28" i="7"/>
  <c r="DE28" i="7"/>
  <c r="CU28" i="7"/>
  <c r="DD28" i="7"/>
  <c r="CZ28" i="7"/>
  <c r="CX28" i="7"/>
  <c r="CT28" i="7"/>
  <c r="CW28" i="7"/>
  <c r="DG28" i="7"/>
  <c r="DB28" i="7"/>
  <c r="DF28" i="7"/>
  <c r="DC28" i="7"/>
  <c r="DC39" i="7"/>
  <c r="DH39" i="7"/>
  <c r="CZ39" i="7"/>
  <c r="DI39" i="7"/>
  <c r="DB39" i="7"/>
  <c r="DA39" i="7"/>
  <c r="CX39" i="7"/>
  <c r="DG39" i="7"/>
  <c r="DF39" i="7"/>
  <c r="DE39" i="7"/>
  <c r="DD39" i="7"/>
  <c r="CW39" i="7"/>
  <c r="CT39" i="7"/>
  <c r="CU39" i="7"/>
  <c r="DE22" i="7"/>
  <c r="DD22" i="7"/>
  <c r="DB22" i="7"/>
  <c r="CX22" i="7"/>
  <c r="DA22" i="7"/>
  <c r="CW22" i="7"/>
  <c r="DF22" i="7"/>
  <c r="CT22" i="7"/>
  <c r="CZ22" i="7"/>
  <c r="DC22" i="7"/>
  <c r="CU22" i="7"/>
  <c r="DI22" i="7"/>
  <c r="DG22" i="7"/>
  <c r="DH22" i="7"/>
  <c r="DG13" i="7"/>
  <c r="DC13" i="7"/>
  <c r="CW13" i="7"/>
  <c r="CU13" i="7"/>
  <c r="DI13" i="7"/>
  <c r="CX13" i="7"/>
  <c r="DH13" i="7"/>
  <c r="DF13" i="7"/>
  <c r="DB13" i="7"/>
  <c r="DA13" i="7"/>
  <c r="CZ13" i="7"/>
  <c r="CT13" i="7"/>
  <c r="DE13" i="7"/>
  <c r="DD13" i="7"/>
  <c r="DE42" i="7"/>
  <c r="CX42" i="7"/>
  <c r="DF42" i="7"/>
  <c r="DA42" i="7"/>
  <c r="CU42" i="7"/>
  <c r="CZ42" i="7"/>
  <c r="CW42" i="7"/>
  <c r="DI42" i="7"/>
  <c r="DC42" i="7"/>
  <c r="DB42" i="7"/>
  <c r="DH42" i="7"/>
  <c r="DG42" i="7"/>
  <c r="DD42" i="7"/>
  <c r="CT42" i="7"/>
  <c r="DE26" i="7"/>
  <c r="DA26" i="7"/>
  <c r="DD26" i="7"/>
  <c r="DC26" i="7"/>
  <c r="CX26" i="7"/>
  <c r="DG26" i="7"/>
  <c r="DB26" i="7"/>
  <c r="DF26" i="7"/>
  <c r="DH26" i="7"/>
  <c r="CU26" i="7"/>
  <c r="CZ26" i="7"/>
  <c r="DI26" i="7"/>
  <c r="CW26" i="7"/>
  <c r="CT26" i="7"/>
  <c r="DC35" i="7"/>
  <c r="DB35" i="7"/>
  <c r="DH35" i="7"/>
  <c r="DG35" i="7"/>
  <c r="CX35" i="7"/>
  <c r="CZ35" i="7"/>
  <c r="CW35" i="7"/>
  <c r="CT35" i="7"/>
  <c r="DE35" i="7"/>
  <c r="CU35" i="7"/>
  <c r="DD35" i="7"/>
  <c r="DA35" i="7"/>
  <c r="DI35" i="7"/>
  <c r="DF35" i="7"/>
  <c r="DG65" i="7"/>
  <c r="DF65" i="7"/>
  <c r="DE65" i="7"/>
  <c r="CU65" i="7"/>
  <c r="DA65" i="7"/>
  <c r="CT65" i="7"/>
  <c r="CZ65" i="7"/>
  <c r="DC65" i="7"/>
  <c r="DB65" i="7"/>
  <c r="DH65" i="7"/>
  <c r="CX65" i="7"/>
  <c r="DD65" i="7"/>
  <c r="CW65" i="7"/>
  <c r="DI65" i="7"/>
  <c r="BW10" i="7"/>
  <c r="BV10" i="7"/>
  <c r="BY10" i="7"/>
  <c r="BU10" i="7"/>
  <c r="BT10" i="7"/>
  <c r="BX10" i="7"/>
  <c r="CA10" i="7"/>
  <c r="BZ10" i="7"/>
  <c r="BW38" i="7"/>
  <c r="BV38" i="7"/>
  <c r="BU38" i="7"/>
  <c r="BT38" i="7"/>
  <c r="BY38" i="7"/>
  <c r="BX38" i="7"/>
  <c r="CA38" i="7"/>
  <c r="BZ38" i="7"/>
  <c r="BW34" i="7"/>
  <c r="BV34" i="7"/>
  <c r="CA34" i="7"/>
  <c r="BZ34" i="7"/>
  <c r="BU34" i="7"/>
  <c r="BT34" i="7"/>
  <c r="BY34" i="7"/>
  <c r="BX34" i="7"/>
  <c r="BU11" i="7"/>
  <c r="BT11" i="7"/>
  <c r="BY11" i="7"/>
  <c r="BW11" i="7"/>
  <c r="BV11" i="7"/>
  <c r="BX11" i="7"/>
  <c r="CA11" i="7"/>
  <c r="BZ11" i="7"/>
  <c r="CA32" i="7"/>
  <c r="BZ32" i="7"/>
  <c r="BY32" i="7"/>
  <c r="BX32" i="7"/>
  <c r="BU32" i="7"/>
  <c r="BT32" i="7"/>
  <c r="BW32" i="7"/>
  <c r="BV32" i="7"/>
  <c r="BU47" i="7"/>
  <c r="BT47" i="7"/>
  <c r="CA47" i="7"/>
  <c r="BY47" i="7"/>
  <c r="BX47" i="7"/>
  <c r="BZ47" i="7"/>
  <c r="BW47" i="7"/>
  <c r="BV47" i="7"/>
  <c r="BY53" i="7"/>
  <c r="BX53" i="7"/>
  <c r="BU53" i="7"/>
  <c r="BT53" i="7"/>
  <c r="BW53" i="7"/>
  <c r="BV53" i="7"/>
  <c r="CA53" i="7"/>
  <c r="BZ53" i="7"/>
  <c r="CR19" i="7"/>
  <c r="CJ19" i="7"/>
  <c r="CQ19" i="7"/>
  <c r="CG19" i="7"/>
  <c r="CC19" i="7"/>
  <c r="CD19" i="7"/>
  <c r="CP19" i="7"/>
  <c r="CF19" i="7"/>
  <c r="CN19" i="7"/>
  <c r="CO19" i="7"/>
  <c r="CM19" i="7"/>
  <c r="CK19" i="7"/>
  <c r="CI19" i="7"/>
  <c r="CL19" i="7"/>
  <c r="CP52" i="7"/>
  <c r="CQ52" i="7"/>
  <c r="CO52" i="7"/>
  <c r="CC52" i="7"/>
  <c r="CF52" i="7"/>
  <c r="CR52" i="7"/>
  <c r="CD52" i="7"/>
  <c r="CN52" i="7"/>
  <c r="CG52" i="7"/>
  <c r="CM52" i="7"/>
  <c r="CL52" i="7"/>
  <c r="CI52" i="7"/>
  <c r="CK52" i="7"/>
  <c r="CJ52" i="7"/>
  <c r="CR67" i="7"/>
  <c r="CJ67" i="7"/>
  <c r="CM67" i="7"/>
  <c r="CG67" i="7"/>
  <c r="CC67" i="7"/>
  <c r="CD67" i="7"/>
  <c r="CL67" i="7"/>
  <c r="CF67" i="7"/>
  <c r="CO67" i="7"/>
  <c r="CN67" i="7"/>
  <c r="CK67" i="7"/>
  <c r="CI67" i="7"/>
  <c r="CQ67" i="7"/>
  <c r="CP67" i="7"/>
  <c r="CP56" i="7"/>
  <c r="CM56" i="7"/>
  <c r="CL56" i="7"/>
  <c r="CO56" i="7"/>
  <c r="CI56" i="7"/>
  <c r="CN56" i="7"/>
  <c r="CK56" i="7"/>
  <c r="CJ56" i="7"/>
  <c r="CG56" i="7"/>
  <c r="CF56" i="7"/>
  <c r="CD56" i="7"/>
  <c r="CR56" i="7"/>
  <c r="CQ56" i="7"/>
  <c r="CC56" i="7"/>
  <c r="CR55" i="7"/>
  <c r="CJ55" i="7"/>
  <c r="CN55" i="7"/>
  <c r="CG55" i="7"/>
  <c r="CC55" i="7"/>
  <c r="CM55" i="7"/>
  <c r="CF55" i="7"/>
  <c r="CD55" i="7"/>
  <c r="CL55" i="7"/>
  <c r="CK55" i="7"/>
  <c r="CI55" i="7"/>
  <c r="CP55" i="7"/>
  <c r="CO55" i="7"/>
  <c r="CQ55" i="7"/>
  <c r="CN41" i="7"/>
  <c r="CQ41" i="7"/>
  <c r="CP41" i="7"/>
  <c r="CC41" i="7"/>
  <c r="CG41" i="7"/>
  <c r="CF41" i="7"/>
  <c r="CR41" i="7"/>
  <c r="CD41" i="7"/>
  <c r="CO41" i="7"/>
  <c r="CM41" i="7"/>
  <c r="CL41" i="7"/>
  <c r="CI41" i="7"/>
  <c r="CK41" i="7"/>
  <c r="CJ41" i="7"/>
  <c r="CL54" i="7"/>
  <c r="CO54" i="7"/>
  <c r="CN54" i="7"/>
  <c r="CJ54" i="7"/>
  <c r="CI54" i="7"/>
  <c r="CR54" i="7"/>
  <c r="CQ54" i="7"/>
  <c r="CC54" i="7"/>
  <c r="CP54" i="7"/>
  <c r="CF54" i="7"/>
  <c r="CG54" i="7"/>
  <c r="CM54" i="7"/>
  <c r="CK54" i="7"/>
  <c r="CD54" i="7"/>
  <c r="CL46" i="7"/>
  <c r="CM46" i="7"/>
  <c r="CK46" i="7"/>
  <c r="CQ46" i="7"/>
  <c r="CC46" i="7"/>
  <c r="CG46" i="7"/>
  <c r="CJ46" i="7"/>
  <c r="CP46" i="7"/>
  <c r="CD46" i="7"/>
  <c r="CO46" i="7"/>
  <c r="CN46" i="7"/>
  <c r="CF46" i="7"/>
  <c r="CR46" i="7"/>
  <c r="CI46" i="7"/>
  <c r="DI44" i="7"/>
  <c r="DA44" i="7"/>
  <c r="DD44" i="7"/>
  <c r="DB44" i="7"/>
  <c r="CZ44" i="7"/>
  <c r="DG44" i="7"/>
  <c r="DE44" i="7"/>
  <c r="DF44" i="7"/>
  <c r="DC44" i="7"/>
  <c r="CW44" i="7"/>
  <c r="CT44" i="7"/>
  <c r="CU44" i="7"/>
  <c r="DH44" i="7"/>
  <c r="CX44" i="7"/>
  <c r="DE46" i="7"/>
  <c r="CX46" i="7"/>
  <c r="DB46" i="7"/>
  <c r="DC46" i="7"/>
  <c r="CW46" i="7"/>
  <c r="DA46" i="7"/>
  <c r="CZ46" i="7"/>
  <c r="CT46" i="7"/>
  <c r="CU46" i="7"/>
  <c r="DG46" i="7"/>
  <c r="DF46" i="7"/>
  <c r="DD46" i="7"/>
  <c r="DI46" i="7"/>
  <c r="DH46" i="7"/>
  <c r="DI24" i="7"/>
  <c r="DA24" i="7"/>
  <c r="DC24" i="7"/>
  <c r="DD24" i="7"/>
  <c r="CT24" i="7"/>
  <c r="DB24" i="7"/>
  <c r="CU24" i="7"/>
  <c r="DH24" i="7"/>
  <c r="DE24" i="7"/>
  <c r="CX24" i="7"/>
  <c r="CZ24" i="7"/>
  <c r="CW24" i="7"/>
  <c r="DG24" i="7"/>
  <c r="DF24" i="7"/>
  <c r="DE38" i="7"/>
  <c r="DI38" i="7"/>
  <c r="CZ38" i="7"/>
  <c r="CT38" i="7"/>
  <c r="DH38" i="7"/>
  <c r="CU38" i="7"/>
  <c r="DG38" i="7"/>
  <c r="DA38" i="7"/>
  <c r="DF38" i="7"/>
  <c r="CX38" i="7"/>
  <c r="DD38" i="7"/>
  <c r="DC38" i="7"/>
  <c r="DB38" i="7"/>
  <c r="CW38" i="7"/>
  <c r="DI56" i="7"/>
  <c r="DA56" i="7"/>
  <c r="DC56" i="7"/>
  <c r="DG56" i="7"/>
  <c r="CX56" i="7"/>
  <c r="CT56" i="7"/>
  <c r="DF56" i="7"/>
  <c r="CW56" i="7"/>
  <c r="CU56" i="7"/>
  <c r="DH56" i="7"/>
  <c r="DE56" i="7"/>
  <c r="DD56" i="7"/>
  <c r="DB56" i="7"/>
  <c r="CZ56" i="7"/>
  <c r="DE34" i="7"/>
  <c r="DC34" i="7"/>
  <c r="DH34" i="7"/>
  <c r="DG34" i="7"/>
  <c r="CT34" i="7"/>
  <c r="CU34" i="7"/>
  <c r="DF34" i="7"/>
  <c r="CW34" i="7"/>
  <c r="DI34" i="7"/>
  <c r="CX34" i="7"/>
  <c r="DD34" i="7"/>
  <c r="DB34" i="7"/>
  <c r="DA34" i="7"/>
  <c r="CZ34" i="7"/>
  <c r="DG49" i="7"/>
  <c r="DI49" i="7"/>
  <c r="CZ49" i="7"/>
  <c r="CU49" i="7"/>
  <c r="DD49" i="7"/>
  <c r="DC49" i="7"/>
  <c r="DA49" i="7"/>
  <c r="DH49" i="7"/>
  <c r="CX49" i="7"/>
  <c r="DF49" i="7"/>
  <c r="DB49" i="7"/>
  <c r="CT49" i="7"/>
  <c r="CW49" i="7"/>
  <c r="DE49" i="7"/>
  <c r="DE54" i="7"/>
  <c r="CX54" i="7"/>
  <c r="DD54" i="7"/>
  <c r="DG54" i="7"/>
  <c r="DF54" i="7"/>
  <c r="DC54" i="7"/>
  <c r="DA54" i="7"/>
  <c r="DB54" i="7"/>
  <c r="CW54" i="7"/>
  <c r="CU54" i="7"/>
  <c r="DH54" i="7"/>
  <c r="CT54" i="7"/>
  <c r="DI54" i="7"/>
  <c r="CZ54" i="7"/>
  <c r="CA36" i="7"/>
  <c r="BZ36" i="7"/>
  <c r="BU36" i="7"/>
  <c r="BT36" i="7"/>
  <c r="BW36" i="7"/>
  <c r="BV36" i="7"/>
  <c r="BY36" i="7"/>
  <c r="BX36" i="7"/>
  <c r="BW30" i="7"/>
  <c r="BV30" i="7"/>
  <c r="CA30" i="7"/>
  <c r="BY30" i="7"/>
  <c r="BX30" i="7"/>
  <c r="BZ30" i="7"/>
  <c r="BU30" i="7"/>
  <c r="BT30" i="7"/>
  <c r="BU51" i="7"/>
  <c r="BT51" i="7"/>
  <c r="CA51" i="7"/>
  <c r="BZ51" i="7"/>
  <c r="BW51" i="7"/>
  <c r="BV51" i="7"/>
  <c r="BY51" i="7"/>
  <c r="BX51" i="7"/>
  <c r="BW50" i="7"/>
  <c r="BV50" i="7"/>
  <c r="CA50" i="7"/>
  <c r="BZ50" i="7"/>
  <c r="BY50" i="7"/>
  <c r="BX50" i="7"/>
  <c r="BU50" i="7"/>
  <c r="BT50" i="7"/>
  <c r="CA28" i="7"/>
  <c r="BZ28" i="7"/>
  <c r="BY28" i="7"/>
  <c r="BW28" i="7"/>
  <c r="BV28" i="7"/>
  <c r="BX28" i="7"/>
  <c r="BU28" i="7"/>
  <c r="BT28" i="7"/>
  <c r="CA40" i="7"/>
  <c r="BZ40" i="7"/>
  <c r="BW40" i="7"/>
  <c r="BU40" i="7"/>
  <c r="BT40" i="7"/>
  <c r="BV40" i="7"/>
  <c r="BY40" i="7"/>
  <c r="BX40" i="7"/>
  <c r="BY61" i="7"/>
  <c r="BX61" i="7"/>
  <c r="CA61" i="7"/>
  <c r="BW61" i="7"/>
  <c r="BV61" i="7"/>
  <c r="BZ61" i="7"/>
  <c r="BU61" i="7"/>
  <c r="BT61" i="7"/>
  <c r="BY57" i="7"/>
  <c r="BX57" i="7"/>
  <c r="BW57" i="7"/>
  <c r="BU57" i="7"/>
  <c r="BT57" i="7"/>
  <c r="BV57" i="7"/>
  <c r="CA57" i="7"/>
  <c r="BZ57" i="7"/>
  <c r="CN57" i="7"/>
  <c r="CL57" i="7"/>
  <c r="CK57" i="7"/>
  <c r="CQ57" i="7"/>
  <c r="CC57" i="7"/>
  <c r="CG57" i="7"/>
  <c r="CP57" i="7"/>
  <c r="CD57" i="7"/>
  <c r="CO57" i="7"/>
  <c r="CM57" i="7"/>
  <c r="CF57" i="7"/>
  <c r="CJ57" i="7"/>
  <c r="CR57" i="7"/>
  <c r="CI57" i="7"/>
  <c r="CR59" i="7"/>
  <c r="CJ59" i="7"/>
  <c r="CK59" i="7"/>
  <c r="CG59" i="7"/>
  <c r="CC59" i="7"/>
  <c r="CD59" i="7"/>
  <c r="CI59" i="7"/>
  <c r="CF59" i="7"/>
  <c r="CP59" i="7"/>
  <c r="CQ59" i="7"/>
  <c r="CO59" i="7"/>
  <c r="CN59" i="7"/>
  <c r="CL59" i="7"/>
  <c r="CM59" i="7"/>
  <c r="CN13" i="7"/>
  <c r="CM13" i="7"/>
  <c r="CL13" i="7"/>
  <c r="CR13" i="7"/>
  <c r="CK13" i="7"/>
  <c r="CG13" i="7"/>
  <c r="CQ13" i="7"/>
  <c r="CP13" i="7"/>
  <c r="CO13" i="7"/>
  <c r="CJ13" i="7"/>
  <c r="CF13" i="7"/>
  <c r="CD13" i="7"/>
  <c r="CC13" i="7"/>
  <c r="CI13" i="7"/>
  <c r="CP12" i="7"/>
  <c r="CN12" i="7"/>
  <c r="CM12" i="7"/>
  <c r="CQ12" i="7"/>
  <c r="CJ12" i="7"/>
  <c r="CC12" i="7"/>
  <c r="CO12" i="7"/>
  <c r="CL12" i="7"/>
  <c r="CK12" i="7"/>
  <c r="CR12" i="7"/>
  <c r="CF12" i="7"/>
  <c r="CG12" i="7"/>
  <c r="CI12" i="7"/>
  <c r="CD12" i="7"/>
  <c r="CL62" i="7"/>
  <c r="CQ62" i="7"/>
  <c r="CP62" i="7"/>
  <c r="CO62" i="7"/>
  <c r="CC62" i="7"/>
  <c r="CG62" i="7"/>
  <c r="CJ62" i="7"/>
  <c r="CN62" i="7"/>
  <c r="CD62" i="7"/>
  <c r="CM62" i="7"/>
  <c r="CK62" i="7"/>
  <c r="CF62" i="7"/>
  <c r="CR62" i="7"/>
  <c r="CI62" i="7"/>
  <c r="CR47" i="7"/>
  <c r="CJ47" i="7"/>
  <c r="CL47" i="7"/>
  <c r="CG47" i="7"/>
  <c r="CC47" i="7"/>
  <c r="CK47" i="7"/>
  <c r="CF47" i="7"/>
  <c r="CD47" i="7"/>
  <c r="CQ47" i="7"/>
  <c r="CP47" i="7"/>
  <c r="CO47" i="7"/>
  <c r="CN47" i="7"/>
  <c r="CI47" i="7"/>
  <c r="CM47" i="7"/>
  <c r="CL58" i="7"/>
  <c r="CK58" i="7"/>
  <c r="CJ58" i="7"/>
  <c r="CR58" i="7"/>
  <c r="CG58" i="7"/>
  <c r="CC58" i="7"/>
  <c r="CD58" i="7"/>
  <c r="CN58" i="7"/>
  <c r="CQ58" i="7"/>
  <c r="CF58" i="7"/>
  <c r="CP58" i="7"/>
  <c r="CO58" i="7"/>
  <c r="CI58" i="7"/>
  <c r="CM58" i="7"/>
  <c r="CN53" i="7"/>
  <c r="CP53" i="7"/>
  <c r="CO53" i="7"/>
  <c r="CI53" i="7"/>
  <c r="CG53" i="7"/>
  <c r="CQ53" i="7"/>
  <c r="CD53" i="7"/>
  <c r="CM53" i="7"/>
  <c r="CF53" i="7"/>
  <c r="CR53" i="7"/>
  <c r="CC53" i="7"/>
  <c r="CL53" i="7"/>
  <c r="CK53" i="7"/>
  <c r="CJ53" i="7"/>
  <c r="DI20" i="7"/>
  <c r="DA20" i="7"/>
  <c r="DF20" i="7"/>
  <c r="DB20" i="7"/>
  <c r="CZ20" i="7"/>
  <c r="CT20" i="7"/>
  <c r="DG20" i="7"/>
  <c r="DH20" i="7"/>
  <c r="CX20" i="7"/>
  <c r="CU20" i="7"/>
  <c r="CW20" i="7"/>
  <c r="DE20" i="7"/>
  <c r="DD20" i="7"/>
  <c r="DC20" i="7"/>
  <c r="DE14" i="7"/>
  <c r="DB14" i="7"/>
  <c r="DI14" i="7"/>
  <c r="DH14" i="7"/>
  <c r="DA14" i="7"/>
  <c r="CZ14" i="7"/>
  <c r="CX14" i="7"/>
  <c r="DF14" i="7"/>
  <c r="DD14" i="7"/>
  <c r="CW14" i="7"/>
  <c r="DG14" i="7"/>
  <c r="CT14" i="7"/>
  <c r="DC14" i="7"/>
  <c r="CU14" i="7"/>
  <c r="DC7" i="7"/>
  <c r="DH7" i="7"/>
  <c r="CT7" i="7"/>
  <c r="DF7" i="7"/>
  <c r="DE7" i="7"/>
  <c r="DA7" i="7"/>
  <c r="CZ7" i="7"/>
  <c r="DG7" i="7"/>
  <c r="DI7" i="7"/>
  <c r="CU7" i="7"/>
  <c r="DB7" i="7"/>
  <c r="CX7" i="7"/>
  <c r="DD7" i="7"/>
  <c r="CW7" i="7"/>
  <c r="DI40" i="7"/>
  <c r="DA40" i="7"/>
  <c r="DG40" i="7"/>
  <c r="CZ40" i="7"/>
  <c r="CX40" i="7"/>
  <c r="CW40" i="7"/>
  <c r="DE40" i="7"/>
  <c r="CT40" i="7"/>
  <c r="DD40" i="7"/>
  <c r="CU40" i="7"/>
  <c r="DC40" i="7"/>
  <c r="DH40" i="7"/>
  <c r="DB40" i="7"/>
  <c r="DF40" i="7"/>
  <c r="DI12" i="7"/>
  <c r="DA12" i="7"/>
  <c r="DD12" i="7"/>
  <c r="DH12" i="7"/>
  <c r="DG12" i="7"/>
  <c r="CX12" i="7"/>
  <c r="DF12" i="7"/>
  <c r="DC12" i="7"/>
  <c r="DE12" i="7"/>
  <c r="CT12" i="7"/>
  <c r="CW12" i="7"/>
  <c r="CU12" i="7"/>
  <c r="DB12" i="7"/>
  <c r="CZ12" i="7"/>
  <c r="DI48" i="7"/>
  <c r="DA48" i="7"/>
  <c r="CZ48" i="7"/>
  <c r="DD48" i="7"/>
  <c r="DC48" i="7"/>
  <c r="DH48" i="7"/>
  <c r="CX48" i="7"/>
  <c r="DG48" i="7"/>
  <c r="CW48" i="7"/>
  <c r="DF48" i="7"/>
  <c r="CT48" i="7"/>
  <c r="DE48" i="7"/>
  <c r="DB48" i="7"/>
  <c r="CU48" i="7"/>
  <c r="DG9" i="7"/>
  <c r="DF9" i="7"/>
  <c r="CW9" i="7"/>
  <c r="CU9" i="7"/>
  <c r="DH9" i="7"/>
  <c r="DE9" i="7"/>
  <c r="CT9" i="7"/>
  <c r="DI9" i="7"/>
  <c r="DD9" i="7"/>
  <c r="CZ9" i="7"/>
  <c r="CX9" i="7"/>
  <c r="DA9" i="7"/>
  <c r="DC9" i="7"/>
  <c r="DB9" i="7"/>
  <c r="DE62" i="7"/>
  <c r="CX62" i="7"/>
  <c r="DD62" i="7"/>
  <c r="DC62" i="7"/>
  <c r="DG62" i="7"/>
  <c r="DF62" i="7"/>
  <c r="CZ62" i="7"/>
  <c r="CW62" i="7"/>
  <c r="DI62" i="7"/>
  <c r="DA62" i="7"/>
  <c r="DH62" i="7"/>
  <c r="DB62" i="7"/>
  <c r="CT62" i="7"/>
  <c r="CU62" i="7"/>
  <c r="CA52" i="7"/>
  <c r="BZ52" i="7"/>
  <c r="BU52" i="7"/>
  <c r="BT52" i="7"/>
  <c r="BY52" i="7"/>
  <c r="BX52" i="7"/>
  <c r="BW52" i="7"/>
  <c r="BV52" i="7"/>
  <c r="BU35" i="7"/>
  <c r="BT35" i="7"/>
  <c r="CA35" i="7"/>
  <c r="BZ35" i="7"/>
  <c r="BY35" i="7"/>
  <c r="BX35" i="7"/>
  <c r="BW35" i="7"/>
  <c r="BV35" i="7"/>
  <c r="BY21" i="7"/>
  <c r="BX21" i="7"/>
  <c r="BU21" i="7"/>
  <c r="BT21" i="7"/>
  <c r="BW21" i="7"/>
  <c r="BV21" i="7"/>
  <c r="CA21" i="7"/>
  <c r="BZ21" i="7"/>
  <c r="BW58" i="7"/>
  <c r="BV58" i="7"/>
  <c r="BY58" i="7"/>
  <c r="BU58" i="7"/>
  <c r="BT58" i="7"/>
  <c r="BX58" i="7"/>
  <c r="CA58" i="7"/>
  <c r="BZ58" i="7"/>
  <c r="CA44" i="7"/>
  <c r="BZ44" i="7"/>
  <c r="BY44" i="7"/>
  <c r="BW44" i="7"/>
  <c r="BV44" i="7"/>
  <c r="BX44" i="7"/>
  <c r="BU44" i="7"/>
  <c r="BT44" i="7"/>
  <c r="BW46" i="7"/>
  <c r="BV46" i="7"/>
  <c r="CA46" i="7"/>
  <c r="BY46" i="7"/>
  <c r="BX46" i="7"/>
  <c r="BZ46" i="7"/>
  <c r="BU46" i="7"/>
  <c r="BT46" i="7"/>
  <c r="BY65" i="7"/>
  <c r="BX65" i="7"/>
  <c r="CA65" i="7"/>
  <c r="BZ65" i="7"/>
  <c r="BW65" i="7"/>
  <c r="BV65" i="7"/>
  <c r="BU65" i="7"/>
  <c r="BT65" i="7"/>
  <c r="CA64" i="7"/>
  <c r="BZ64" i="7"/>
  <c r="BY64" i="7"/>
  <c r="BX64" i="7"/>
  <c r="BU64" i="7"/>
  <c r="BT64" i="7"/>
  <c r="BW64" i="7"/>
  <c r="BV64" i="7"/>
  <c r="CR11" i="7"/>
  <c r="CJ11" i="7"/>
  <c r="CO11" i="7"/>
  <c r="CG11" i="7"/>
  <c r="CC11" i="7"/>
  <c r="CN11" i="7"/>
  <c r="CF11" i="7"/>
  <c r="CD11" i="7"/>
  <c r="CM11" i="7"/>
  <c r="CK11" i="7"/>
  <c r="CL11" i="7"/>
  <c r="CI11" i="7"/>
  <c r="CQ11" i="7"/>
  <c r="CP11" i="7"/>
  <c r="CL22" i="7"/>
  <c r="CO22" i="7"/>
  <c r="CN22" i="7"/>
  <c r="CM22" i="7"/>
  <c r="CC22" i="7"/>
  <c r="CK22" i="7"/>
  <c r="CJ22" i="7"/>
  <c r="CI22" i="7"/>
  <c r="CP22" i="7"/>
  <c r="CR22" i="7"/>
  <c r="CQ22" i="7"/>
  <c r="CG22" i="7"/>
  <c r="CF22" i="7"/>
  <c r="CD22" i="7"/>
  <c r="CL38" i="7"/>
  <c r="CJ38" i="7"/>
  <c r="CR38" i="7"/>
  <c r="CI38" i="7"/>
  <c r="CM38" i="7"/>
  <c r="CQ38" i="7"/>
  <c r="CC38" i="7"/>
  <c r="CK38" i="7"/>
  <c r="CO38" i="7"/>
  <c r="CG38" i="7"/>
  <c r="CN38" i="7"/>
  <c r="CF38" i="7"/>
  <c r="CD38" i="7"/>
  <c r="CP38" i="7"/>
  <c r="CR23" i="7"/>
  <c r="CJ23" i="7"/>
  <c r="CN23" i="7"/>
  <c r="CG23" i="7"/>
  <c r="CC23" i="7"/>
  <c r="CM23" i="7"/>
  <c r="CF23" i="7"/>
  <c r="CD23" i="7"/>
  <c r="CP23" i="7"/>
  <c r="CI23" i="7"/>
  <c r="CO23" i="7"/>
  <c r="CL23" i="7"/>
  <c r="CK23" i="7"/>
  <c r="CQ23" i="7"/>
  <c r="CP64" i="7"/>
  <c r="CO64" i="7"/>
  <c r="CN64" i="7"/>
  <c r="CI64" i="7"/>
  <c r="CG64" i="7"/>
  <c r="CC64" i="7"/>
  <c r="CQ64" i="7"/>
  <c r="CM64" i="7"/>
  <c r="CF64" i="7"/>
  <c r="CR64" i="7"/>
  <c r="CD64" i="7"/>
  <c r="CL64" i="7"/>
  <c r="CK64" i="7"/>
  <c r="CJ64" i="7"/>
  <c r="CN65" i="7"/>
  <c r="CO65" i="7"/>
  <c r="CM65" i="7"/>
  <c r="CJ65" i="7"/>
  <c r="CQ65" i="7"/>
  <c r="CI65" i="7"/>
  <c r="CR65" i="7"/>
  <c r="CC65" i="7"/>
  <c r="CL65" i="7"/>
  <c r="CG65" i="7"/>
  <c r="CF65" i="7"/>
  <c r="CD65" i="7"/>
  <c r="CP65" i="7"/>
  <c r="CK65" i="7"/>
  <c r="CN7" i="7"/>
  <c r="CG7" i="7"/>
  <c r="CM7" i="7"/>
  <c r="CF7" i="7"/>
  <c r="CJ7" i="7"/>
  <c r="CD7" i="7"/>
  <c r="CC7" i="7"/>
  <c r="CP7" i="7"/>
  <c r="CI7" i="7"/>
  <c r="CR7" i="7"/>
  <c r="CQ7" i="7"/>
  <c r="CL7" i="7"/>
  <c r="CO7" i="7"/>
  <c r="CK7" i="7"/>
  <c r="CN61" i="7"/>
  <c r="CR61" i="7"/>
  <c r="CI61" i="7"/>
  <c r="CQ61" i="7"/>
  <c r="CM61" i="7"/>
  <c r="CG61" i="7"/>
  <c r="CL61" i="7"/>
  <c r="CK61" i="7"/>
  <c r="CJ61" i="7"/>
  <c r="CO61" i="7"/>
  <c r="CC61" i="7"/>
  <c r="CP61" i="7"/>
  <c r="CD61" i="7"/>
  <c r="CF61" i="7"/>
  <c r="DC31" i="7"/>
  <c r="DF31" i="7"/>
  <c r="DG31" i="7"/>
  <c r="CX31" i="7"/>
  <c r="DE31" i="7"/>
  <c r="CW31" i="7"/>
  <c r="DI31" i="7"/>
  <c r="DA31" i="7"/>
  <c r="CT31" i="7"/>
  <c r="CZ31" i="7"/>
  <c r="DH31" i="7"/>
  <c r="DB31" i="7"/>
  <c r="CU31" i="7"/>
  <c r="DD31" i="7"/>
  <c r="DI16" i="7"/>
  <c r="DA16" i="7"/>
  <c r="CZ16" i="7"/>
  <c r="DH16" i="7"/>
  <c r="DG16" i="7"/>
  <c r="CX16" i="7"/>
  <c r="CT16" i="7"/>
  <c r="DE16" i="7"/>
  <c r="DF16" i="7"/>
  <c r="CW16" i="7"/>
  <c r="CU16" i="7"/>
  <c r="DD16" i="7"/>
  <c r="DC16" i="7"/>
  <c r="DB16" i="7"/>
  <c r="DE30" i="7"/>
  <c r="DG30" i="7"/>
  <c r="DF30" i="7"/>
  <c r="DD30" i="7"/>
  <c r="DI30" i="7"/>
  <c r="DC30" i="7"/>
  <c r="DH30" i="7"/>
  <c r="CZ30" i="7"/>
  <c r="CW30" i="7"/>
  <c r="DB30" i="7"/>
  <c r="CT30" i="7"/>
  <c r="DA30" i="7"/>
  <c r="CX30" i="7"/>
  <c r="CU30" i="7"/>
  <c r="DG45" i="7"/>
  <c r="DC45" i="7"/>
  <c r="CX45" i="7"/>
  <c r="CU45" i="7"/>
  <c r="DB45" i="7"/>
  <c r="DA45" i="7"/>
  <c r="CW45" i="7"/>
  <c r="DH45" i="7"/>
  <c r="DI45" i="7"/>
  <c r="DE45" i="7"/>
  <c r="DF45" i="7"/>
  <c r="CT45" i="7"/>
  <c r="DD45" i="7"/>
  <c r="CZ45" i="7"/>
  <c r="DC23" i="7"/>
  <c r="DD23" i="7"/>
  <c r="DB23" i="7"/>
  <c r="DA23" i="7"/>
  <c r="DH23" i="7"/>
  <c r="CX23" i="7"/>
  <c r="DF23" i="7"/>
  <c r="DG23" i="7"/>
  <c r="CW23" i="7"/>
  <c r="DE23" i="7"/>
  <c r="CZ23" i="7"/>
  <c r="CT23" i="7"/>
  <c r="DI23" i="7"/>
  <c r="CU23" i="7"/>
  <c r="DE58" i="7"/>
  <c r="CX58" i="7"/>
  <c r="DD58" i="7"/>
  <c r="DA58" i="7"/>
  <c r="DI58" i="7"/>
  <c r="DH58" i="7"/>
  <c r="DG58" i="7"/>
  <c r="CU58" i="7"/>
  <c r="DC58" i="7"/>
  <c r="DF58" i="7"/>
  <c r="CZ58" i="7"/>
  <c r="CW58" i="7"/>
  <c r="DB58" i="7"/>
  <c r="CT58" i="7"/>
  <c r="DG17" i="7"/>
  <c r="DI17" i="7"/>
  <c r="CZ17" i="7"/>
  <c r="CW17" i="7"/>
  <c r="CU17" i="7"/>
  <c r="DA17" i="7"/>
  <c r="CX17" i="7"/>
  <c r="DH17" i="7"/>
  <c r="DE17" i="7"/>
  <c r="DD17" i="7"/>
  <c r="DC17" i="7"/>
  <c r="DB17" i="7"/>
  <c r="CT17" i="7"/>
  <c r="DF17" i="7"/>
  <c r="DG53" i="7"/>
  <c r="DE53" i="7"/>
  <c r="CU53" i="7"/>
  <c r="DF53" i="7"/>
  <c r="DD53" i="7"/>
  <c r="DA53" i="7"/>
  <c r="CZ53" i="7"/>
  <c r="CT53" i="7"/>
  <c r="CX53" i="7"/>
  <c r="DC53" i="7"/>
  <c r="DB53" i="7"/>
  <c r="CW53" i="7"/>
  <c r="DI53" i="7"/>
  <c r="DH53" i="7"/>
  <c r="BW54" i="7"/>
  <c r="BV54" i="7"/>
  <c r="BU54" i="7"/>
  <c r="BT54" i="7"/>
  <c r="CA54" i="7"/>
  <c r="BZ54" i="7"/>
  <c r="BY54" i="7"/>
  <c r="BX54" i="7"/>
  <c r="BU43" i="7"/>
  <c r="BT43" i="7"/>
  <c r="BY43" i="7"/>
  <c r="BW43" i="7"/>
  <c r="BV43" i="7"/>
  <c r="BX43" i="7"/>
  <c r="CA43" i="7"/>
  <c r="BZ43" i="7"/>
  <c r="BW26" i="7"/>
  <c r="BV26" i="7"/>
  <c r="BY26" i="7"/>
  <c r="BU26" i="7"/>
  <c r="BT26" i="7"/>
  <c r="BX26" i="7"/>
  <c r="CA26" i="7"/>
  <c r="BZ26" i="7"/>
  <c r="CA20" i="7"/>
  <c r="BZ20" i="7"/>
  <c r="BU20" i="7"/>
  <c r="BT20" i="7"/>
  <c r="BY20" i="7"/>
  <c r="BX20" i="7"/>
  <c r="BW20" i="7"/>
  <c r="BV20" i="7"/>
  <c r="BY49" i="7"/>
  <c r="BX49" i="7"/>
  <c r="CA49" i="7"/>
  <c r="BZ49" i="7"/>
  <c r="BU49" i="7"/>
  <c r="BT49" i="7"/>
  <c r="BW49" i="7"/>
  <c r="BV49" i="7"/>
  <c r="BY9" i="7"/>
  <c r="BX9" i="7"/>
  <c r="BW9" i="7"/>
  <c r="BU9" i="7"/>
  <c r="BT9" i="7"/>
  <c r="BV9" i="7"/>
  <c r="CA9" i="7"/>
  <c r="BZ9" i="7"/>
  <c r="BU15" i="7"/>
  <c r="BT15" i="7"/>
  <c r="CA15" i="7"/>
  <c r="BY15" i="7"/>
  <c r="BX15" i="7"/>
  <c r="BZ15" i="7"/>
  <c r="BV15" i="7"/>
  <c r="BW15" i="7"/>
  <c r="CA60" i="7"/>
  <c r="BZ60" i="7"/>
  <c r="BY60" i="7"/>
  <c r="BW60" i="7"/>
  <c r="BV60" i="7"/>
  <c r="BX60" i="7"/>
  <c r="BU60" i="7"/>
  <c r="BT60" i="7"/>
  <c r="CP28" i="7"/>
  <c r="CJ28" i="7"/>
  <c r="CR28" i="7"/>
  <c r="CI28" i="7"/>
  <c r="CN28" i="7"/>
  <c r="CM28" i="7"/>
  <c r="CL28" i="7"/>
  <c r="CK28" i="7"/>
  <c r="CC28" i="7"/>
  <c r="CQ28" i="7"/>
  <c r="CD28" i="7"/>
  <c r="CO28" i="7"/>
  <c r="CG28" i="7"/>
  <c r="CF28" i="7"/>
  <c r="CR27" i="7"/>
  <c r="CJ27" i="7"/>
  <c r="CK27" i="7"/>
  <c r="CG27" i="7"/>
  <c r="CC27" i="7"/>
  <c r="CI27" i="7"/>
  <c r="CF27" i="7"/>
  <c r="CD27" i="7"/>
  <c r="CM27" i="7"/>
  <c r="CQ27" i="7"/>
  <c r="CL27" i="7"/>
  <c r="CO27" i="7"/>
  <c r="CP27" i="7"/>
  <c r="CN27" i="7"/>
  <c r="CN45" i="7"/>
  <c r="CM45" i="7"/>
  <c r="CL45" i="7"/>
  <c r="CP45" i="7"/>
  <c r="CJ45" i="7"/>
  <c r="CG45" i="7"/>
  <c r="CO45" i="7"/>
  <c r="CK45" i="7"/>
  <c r="CI45" i="7"/>
  <c r="CD45" i="7"/>
  <c r="CR45" i="7"/>
  <c r="CQ45" i="7"/>
  <c r="CF45" i="7"/>
  <c r="CC45" i="7"/>
  <c r="CN29" i="7"/>
  <c r="CR29" i="7"/>
  <c r="CI29" i="7"/>
  <c r="CQ29" i="7"/>
  <c r="CP29" i="7"/>
  <c r="CK29" i="7"/>
  <c r="CG29" i="7"/>
  <c r="CO29" i="7"/>
  <c r="CM29" i="7"/>
  <c r="CL29" i="7"/>
  <c r="CC29" i="7"/>
  <c r="CD29" i="7"/>
  <c r="CF29" i="7"/>
  <c r="CJ29" i="7"/>
  <c r="CL66" i="7"/>
  <c r="CN66" i="7"/>
  <c r="CM66" i="7"/>
  <c r="CK66" i="7"/>
  <c r="CG66" i="7"/>
  <c r="CJ66" i="7"/>
  <c r="CI66" i="7"/>
  <c r="CR66" i="7"/>
  <c r="CF66" i="7"/>
  <c r="CP66" i="7"/>
  <c r="CD66" i="7"/>
  <c r="CQ66" i="7"/>
  <c r="CC66" i="7"/>
  <c r="CO66" i="7"/>
  <c r="CP10" i="7"/>
  <c r="CO10" i="7"/>
  <c r="CL10" i="7"/>
  <c r="CG10" i="7"/>
  <c r="CC10" i="7"/>
  <c r="CI10" i="7"/>
  <c r="CR10" i="7"/>
  <c r="CK10" i="7"/>
  <c r="CF10" i="7"/>
  <c r="CJ10" i="7"/>
  <c r="CD10" i="7"/>
  <c r="CM10" i="7"/>
  <c r="CQ10" i="7"/>
  <c r="CN10" i="7"/>
  <c r="CL8" i="7"/>
  <c r="CK8" i="7"/>
  <c r="CJ8" i="7"/>
  <c r="CR8" i="7"/>
  <c r="CI8" i="7"/>
  <c r="CQ8" i="7"/>
  <c r="CP8" i="7"/>
  <c r="CG8" i="7"/>
  <c r="CN8" i="7"/>
  <c r="CM8" i="7"/>
  <c r="CF8" i="7"/>
  <c r="CO8" i="7"/>
  <c r="CC8" i="7"/>
  <c r="CD8" i="7"/>
  <c r="CP60" i="7"/>
  <c r="CJ60" i="7"/>
  <c r="CR60" i="7"/>
  <c r="CI60" i="7"/>
  <c r="CL60" i="7"/>
  <c r="CQ60" i="7"/>
  <c r="CK60" i="7"/>
  <c r="CC60" i="7"/>
  <c r="CM60" i="7"/>
  <c r="CD60" i="7"/>
  <c r="CO60" i="7"/>
  <c r="CN60" i="7"/>
  <c r="CG60" i="7"/>
  <c r="CF60" i="7"/>
  <c r="DG37" i="7"/>
  <c r="DA37" i="7"/>
  <c r="CW37" i="7"/>
  <c r="CU37" i="7"/>
  <c r="DI37" i="7"/>
  <c r="DH37" i="7"/>
  <c r="DF37" i="7"/>
  <c r="DD37" i="7"/>
  <c r="DE37" i="7"/>
  <c r="DC37" i="7"/>
  <c r="DB37" i="7"/>
  <c r="CZ37" i="7"/>
  <c r="CT37" i="7"/>
  <c r="CX37" i="7"/>
  <c r="DI36" i="7"/>
  <c r="DA36" i="7"/>
  <c r="DB36" i="7"/>
  <c r="DH36" i="7"/>
  <c r="CW36" i="7"/>
  <c r="DG36" i="7"/>
  <c r="DD36" i="7"/>
  <c r="CZ36" i="7"/>
  <c r="DC36" i="7"/>
  <c r="DF36" i="7"/>
  <c r="CT36" i="7"/>
  <c r="CU36" i="7"/>
  <c r="DE36" i="7"/>
  <c r="CX36" i="7"/>
  <c r="DI32" i="7"/>
  <c r="DA32" i="7"/>
  <c r="DE32" i="7"/>
  <c r="DG32" i="7"/>
  <c r="DF32" i="7"/>
  <c r="DB32" i="7"/>
  <c r="CZ32" i="7"/>
  <c r="DC32" i="7"/>
  <c r="CX32" i="7"/>
  <c r="DH32" i="7"/>
  <c r="CW32" i="7"/>
  <c r="DD32" i="7"/>
  <c r="CT32" i="7"/>
  <c r="CU32" i="7"/>
  <c r="DC51" i="7"/>
  <c r="DG51" i="7"/>
  <c r="DE51" i="7"/>
  <c r="CX51" i="7"/>
  <c r="CU51" i="7"/>
  <c r="DD51" i="7"/>
  <c r="CW51" i="7"/>
  <c r="DH51" i="7"/>
  <c r="DB51" i="7"/>
  <c r="DF51" i="7"/>
  <c r="CZ51" i="7"/>
  <c r="CT51" i="7"/>
  <c r="DI51" i="7"/>
  <c r="DA51" i="7"/>
  <c r="DG29" i="7"/>
  <c r="DH29" i="7"/>
  <c r="CW29" i="7"/>
  <c r="CU29" i="7"/>
  <c r="DE29" i="7"/>
  <c r="DD29" i="7"/>
  <c r="CT29" i="7"/>
  <c r="DC29" i="7"/>
  <c r="CX29" i="7"/>
  <c r="DA29" i="7"/>
  <c r="DB29" i="7"/>
  <c r="DI29" i="7"/>
  <c r="DF29" i="7"/>
  <c r="CZ29" i="7"/>
  <c r="DI68" i="7"/>
  <c r="DA68" i="7"/>
  <c r="DH68" i="7"/>
  <c r="CZ68" i="7"/>
  <c r="DG68" i="7"/>
  <c r="CX68" i="7"/>
  <c r="DF68" i="7"/>
  <c r="DE68" i="7"/>
  <c r="DD68" i="7"/>
  <c r="DB68" i="7"/>
  <c r="DC68" i="7"/>
  <c r="CW68" i="7"/>
  <c r="CT68" i="7"/>
  <c r="CU68" i="7"/>
  <c r="DG25" i="7"/>
  <c r="DB25" i="7"/>
  <c r="CW25" i="7"/>
  <c r="CU25" i="7"/>
  <c r="DD25" i="7"/>
  <c r="DC25" i="7"/>
  <c r="DA25" i="7"/>
  <c r="CZ25" i="7"/>
  <c r="DF25" i="7"/>
  <c r="DI25" i="7"/>
  <c r="DH25" i="7"/>
  <c r="DE25" i="7"/>
  <c r="CT25" i="7"/>
  <c r="CX25" i="7"/>
  <c r="DG61" i="7"/>
  <c r="DF61" i="7"/>
  <c r="DC61" i="7"/>
  <c r="CU61" i="7"/>
  <c r="DD61" i="7"/>
  <c r="CX61" i="7"/>
  <c r="DB61" i="7"/>
  <c r="CW61" i="7"/>
  <c r="CT61" i="7"/>
  <c r="DH61" i="7"/>
  <c r="DI61" i="7"/>
  <c r="DE61" i="7"/>
  <c r="DA61" i="7"/>
  <c r="CZ61" i="7"/>
  <c r="BW14" i="7"/>
  <c r="BV14" i="7"/>
  <c r="CA14" i="7"/>
  <c r="BY14" i="7"/>
  <c r="BX14" i="7"/>
  <c r="BZ14" i="7"/>
  <c r="BU14" i="7"/>
  <c r="BT14" i="7"/>
  <c r="CA48" i="7"/>
  <c r="BZ48" i="7"/>
  <c r="BY48" i="7"/>
  <c r="BX48" i="7"/>
  <c r="BW48" i="7"/>
  <c r="BV48" i="7"/>
  <c r="BU48" i="7"/>
  <c r="BT48" i="7"/>
  <c r="BW42" i="7"/>
  <c r="BV42" i="7"/>
  <c r="BY42" i="7"/>
  <c r="BU42" i="7"/>
  <c r="BT42" i="7"/>
  <c r="BX42" i="7"/>
  <c r="CA42" i="7"/>
  <c r="BZ42" i="7"/>
  <c r="BY37" i="7"/>
  <c r="BX37" i="7"/>
  <c r="BU37" i="7"/>
  <c r="BT37" i="7"/>
  <c r="CA37" i="7"/>
  <c r="BZ37" i="7"/>
  <c r="BW37" i="7"/>
  <c r="BV37" i="7"/>
  <c r="BU7" i="7"/>
  <c r="BT7" i="7"/>
  <c r="BW7" i="7"/>
  <c r="BP70" i="7"/>
  <c r="G71" i="7" s="1"/>
  <c r="BV7" i="7"/>
  <c r="CA7" i="7"/>
  <c r="BZ7" i="7"/>
  <c r="BL70" i="7"/>
  <c r="C71" i="7" s="1"/>
  <c r="BY7" i="7"/>
  <c r="BX7" i="7"/>
  <c r="BY17" i="7"/>
  <c r="BX17" i="7"/>
  <c r="CA17" i="7"/>
  <c r="BZ17" i="7"/>
  <c r="BU17" i="7"/>
  <c r="BT17" i="7"/>
  <c r="BW17" i="7"/>
  <c r="BV17" i="7"/>
  <c r="BU23" i="7"/>
  <c r="BT23" i="7"/>
  <c r="BW23" i="7"/>
  <c r="BV23" i="7"/>
  <c r="BY23" i="7"/>
  <c r="BX23" i="7"/>
  <c r="CA23" i="7"/>
  <c r="BZ23" i="7"/>
  <c r="CA68" i="7"/>
  <c r="BS68" i="7"/>
  <c r="BL68" i="7"/>
  <c r="BZ68" i="7"/>
  <c r="BR68" i="7"/>
  <c r="BM68" i="7"/>
  <c r="BU68" i="7"/>
  <c r="BT68" i="7"/>
  <c r="BW68" i="7"/>
  <c r="BO68" i="7"/>
  <c r="BV68" i="7"/>
  <c r="BY68" i="7"/>
  <c r="BX68" i="7"/>
  <c r="BP68" i="7"/>
  <c r="CP44" i="7"/>
  <c r="CN44" i="7"/>
  <c r="CM44" i="7"/>
  <c r="CL44" i="7"/>
  <c r="CK44" i="7"/>
  <c r="CJ44" i="7"/>
  <c r="CI44" i="7"/>
  <c r="CC44" i="7"/>
  <c r="CR44" i="7"/>
  <c r="CG44" i="7"/>
  <c r="CF44" i="7"/>
  <c r="CD44" i="7"/>
  <c r="CQ44" i="7"/>
  <c r="CO44" i="7"/>
  <c r="CL30" i="7"/>
  <c r="CQ30" i="7"/>
  <c r="CP30" i="7"/>
  <c r="CC30" i="7"/>
  <c r="CG30" i="7"/>
  <c r="CN30" i="7"/>
  <c r="CF30" i="7"/>
  <c r="CR30" i="7"/>
  <c r="CD30" i="7"/>
  <c r="CO30" i="7"/>
  <c r="CM30" i="7"/>
  <c r="CI30" i="7"/>
  <c r="CK30" i="7"/>
  <c r="CJ30" i="7"/>
  <c r="CR51" i="7"/>
  <c r="CJ51" i="7"/>
  <c r="CQ51" i="7"/>
  <c r="CG51" i="7"/>
  <c r="CC51" i="7"/>
  <c r="CD51" i="7"/>
  <c r="CP51" i="7"/>
  <c r="CF51" i="7"/>
  <c r="CO51" i="7"/>
  <c r="CM51" i="7"/>
  <c r="CN51" i="7"/>
  <c r="CL51" i="7"/>
  <c r="CK51" i="7"/>
  <c r="CI51" i="7"/>
  <c r="CL50" i="7"/>
  <c r="CR50" i="7"/>
  <c r="CI50" i="7"/>
  <c r="CQ50" i="7"/>
  <c r="CN50" i="7"/>
  <c r="CG50" i="7"/>
  <c r="CM50" i="7"/>
  <c r="CK50" i="7"/>
  <c r="CJ50" i="7"/>
  <c r="CC50" i="7"/>
  <c r="CD50" i="7"/>
  <c r="CF50" i="7"/>
  <c r="CP50" i="7"/>
  <c r="CO50" i="7"/>
  <c r="CR9" i="7"/>
  <c r="CJ9" i="7"/>
  <c r="CQ9" i="7"/>
  <c r="CI9" i="7"/>
  <c r="CL9" i="7"/>
  <c r="CC9" i="7"/>
  <c r="CG9" i="7"/>
  <c r="CF9" i="7"/>
  <c r="CP9" i="7"/>
  <c r="CK9" i="7"/>
  <c r="CD9" i="7"/>
  <c r="CN9" i="7"/>
  <c r="CO9" i="7"/>
  <c r="CM9" i="7"/>
  <c r="CL18" i="7"/>
  <c r="CR18" i="7"/>
  <c r="CI18" i="7"/>
  <c r="CQ18" i="7"/>
  <c r="CP18" i="7"/>
  <c r="CN18" i="7"/>
  <c r="CK18" i="7"/>
  <c r="CO18" i="7"/>
  <c r="CM18" i="7"/>
  <c r="CG18" i="7"/>
  <c r="CC18" i="7"/>
  <c r="CF18" i="7"/>
  <c r="CD18" i="7"/>
  <c r="CJ18" i="7"/>
  <c r="CP16" i="7"/>
  <c r="CK16" i="7"/>
  <c r="CJ16" i="7"/>
  <c r="CM16" i="7"/>
  <c r="CG16" i="7"/>
  <c r="CC16" i="7"/>
  <c r="CD16" i="7"/>
  <c r="CR16" i="7"/>
  <c r="CL16" i="7"/>
  <c r="CF16" i="7"/>
  <c r="CI16" i="7"/>
  <c r="CO16" i="7"/>
  <c r="CN16" i="7"/>
  <c r="CQ16" i="7"/>
  <c r="CP68" i="7"/>
  <c r="CM68" i="7"/>
  <c r="CL68" i="7"/>
  <c r="CK68" i="7"/>
  <c r="CR68" i="7"/>
  <c r="CC68" i="7"/>
  <c r="CG68" i="7"/>
  <c r="CF68" i="7"/>
  <c r="CJ68" i="7"/>
  <c r="CQ68" i="7"/>
  <c r="CD68" i="7"/>
  <c r="CO68" i="7"/>
  <c r="CN68" i="7"/>
  <c r="CI68" i="7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BY70" i="7" l="1"/>
  <c r="P71" i="7" s="1"/>
  <c r="BS70" i="7"/>
  <c r="J71" i="7" s="1"/>
  <c r="BV70" i="7"/>
  <c r="M71" i="7" s="1"/>
  <c r="BR70" i="7"/>
  <c r="I71" i="7" s="1"/>
  <c r="BM70" i="7"/>
  <c r="D71" i="7" s="1"/>
  <c r="CF70" i="7"/>
  <c r="BG70" i="7"/>
  <c r="CQ70" i="7"/>
  <c r="DH70" i="7"/>
  <c r="AG70" i="7"/>
  <c r="BH70" i="7"/>
  <c r="BC70" i="7"/>
  <c r="CG70" i="7"/>
  <c r="CX70" i="7"/>
  <c r="AE70" i="7"/>
  <c r="BZ70" i="7"/>
  <c r="Q71" i="7" s="1"/>
  <c r="CN70" i="7"/>
  <c r="CW70" i="7"/>
  <c r="CT70" i="7"/>
  <c r="AJ70" i="7"/>
  <c r="AD70" i="7"/>
  <c r="BA70" i="7"/>
  <c r="CP70" i="7"/>
  <c r="AM70" i="7"/>
  <c r="AH70" i="7"/>
  <c r="BI70" i="7"/>
  <c r="BE70" i="7"/>
  <c r="BT70" i="7"/>
  <c r="K71" i="7" s="1"/>
  <c r="CD70" i="7"/>
  <c r="DG70" i="7"/>
  <c r="BX70" i="7"/>
  <c r="O71" i="7" s="1"/>
  <c r="AL70" i="7"/>
  <c r="AQ70" i="7"/>
  <c r="AY70" i="7"/>
  <c r="AV70" i="7"/>
  <c r="DC70" i="7"/>
  <c r="BU70" i="7"/>
  <c r="L71" i="7" s="1"/>
  <c r="CL70" i="7"/>
  <c r="DA70" i="7"/>
  <c r="AO70" i="7"/>
  <c r="BJ70" i="7"/>
  <c r="CM70" i="7"/>
  <c r="DD70" i="7"/>
  <c r="DE70" i="7"/>
  <c r="CR70" i="7"/>
  <c r="DF70" i="7"/>
  <c r="AR70" i="7"/>
  <c r="BD70" i="7"/>
  <c r="CI70" i="7"/>
  <c r="CA70" i="7"/>
  <c r="R71" i="7" s="1"/>
  <c r="CU70" i="7"/>
  <c r="AS70" i="7"/>
  <c r="AN70" i="7"/>
  <c r="BW70" i="7"/>
  <c r="N71" i="7" s="1"/>
  <c r="AU70" i="7"/>
  <c r="AX70" i="7"/>
  <c r="BO70" i="7"/>
  <c r="F71" i="7" s="1"/>
  <c r="CC70" i="7"/>
  <c r="DI70" i="7"/>
  <c r="CK70" i="7"/>
  <c r="CO70" i="7"/>
  <c r="CJ70" i="7"/>
  <c r="CZ70" i="7"/>
  <c r="AK70" i="7"/>
  <c r="AP70" i="7"/>
  <c r="BF70" i="7"/>
  <c r="BB70" i="7"/>
  <c r="DB70" i="7"/>
  <c r="CA67" i="2"/>
  <c r="CA75" i="2" s="1"/>
</calcChain>
</file>

<file path=xl/sharedStrings.xml><?xml version="1.0" encoding="utf-8"?>
<sst xmlns="http://schemas.openxmlformats.org/spreadsheetml/2006/main" count="1257" uniqueCount="204">
  <si>
    <t>type 1</t>
  </si>
  <si>
    <t>type 2</t>
  </si>
  <si>
    <t>Commercial fishing</t>
  </si>
  <si>
    <t>Mining</t>
  </si>
  <si>
    <t>Air transportation</t>
  </si>
  <si>
    <t>Wholesale trade</t>
  </si>
  <si>
    <t>Owner-occupied dwellings</t>
  </si>
  <si>
    <t>Real estate</t>
  </si>
  <si>
    <t>Legal services</t>
  </si>
  <si>
    <t>Architectural and engineering services</t>
  </si>
  <si>
    <t>Computer systems design services</t>
  </si>
  <si>
    <t>Other professional services</t>
  </si>
  <si>
    <t>Hospitals</t>
  </si>
  <si>
    <t>State and local government</t>
  </si>
  <si>
    <t>PCE</t>
  </si>
  <si>
    <t>Gross private investment</t>
  </si>
  <si>
    <t>Industry</t>
  </si>
  <si>
    <t>Telecommunications</t>
  </si>
  <si>
    <t>Water transportation</t>
  </si>
  <si>
    <t>Support activities for agriculture</t>
  </si>
  <si>
    <t>Nursing and residential care facilities</t>
  </si>
  <si>
    <t>Social assistance</t>
  </si>
  <si>
    <t>Organizations</t>
  </si>
  <si>
    <t>Imports</t>
  </si>
  <si>
    <t>Intermediate demand</t>
  </si>
  <si>
    <t>Compensation of employees</t>
  </si>
  <si>
    <t>Proprietor's income</t>
  </si>
  <si>
    <t>Other capital costs</t>
  </si>
  <si>
    <t>Value added</t>
  </si>
  <si>
    <t>Output</t>
  </si>
  <si>
    <t>Wage and salary jobs</t>
  </si>
  <si>
    <t>Proprietor's jobs</t>
  </si>
  <si>
    <t>Total jobs</t>
  </si>
  <si>
    <t>Interindustry demand</t>
  </si>
  <si>
    <t>Visitor's expenditures</t>
  </si>
  <si>
    <t>Change in inventories</t>
  </si>
  <si>
    <t>State and local gov't investment</t>
  </si>
  <si>
    <t>State and local gov't consumption</t>
  </si>
  <si>
    <t>Federal military consumption</t>
  </si>
  <si>
    <t>Federal civilian consumption</t>
  </si>
  <si>
    <t>Exports</t>
  </si>
  <si>
    <t xml:space="preserve">PCE </t>
  </si>
  <si>
    <t>State and local government consumption</t>
  </si>
  <si>
    <t>Earnings</t>
  </si>
  <si>
    <t>Final demand multipliers</t>
  </si>
  <si>
    <t>Direct effect multipliers</t>
  </si>
  <si>
    <t>Output multipliers</t>
  </si>
  <si>
    <t>Earnings multipliers</t>
  </si>
  <si>
    <t>State tax multipliers</t>
  </si>
  <si>
    <t>Earnings/earnings multipliers</t>
  </si>
  <si>
    <t>W&amp;S job multipliers</t>
  </si>
  <si>
    <t>Total jobs multipliers</t>
  </si>
  <si>
    <t>Type 1</t>
  </si>
  <si>
    <t>Type 2</t>
  </si>
  <si>
    <t xml:space="preserve">Note: The jobs per $million of final demand multipliers change every year because of inflation and increases in productivity. </t>
  </si>
  <si>
    <t>w&amp;s job/w&amp;s job multipliers</t>
  </si>
  <si>
    <t>total job/total job multipliers</t>
  </si>
  <si>
    <t>State taxes (for multiplier calculations)</t>
  </si>
  <si>
    <t>NA</t>
  </si>
  <si>
    <t>Accommodation</t>
  </si>
  <si>
    <t xml:space="preserve">     are calculated using the purchase of those final demand sectors by industry and the multipliers of those industries to yield a total multiplier.</t>
  </si>
  <si>
    <t xml:space="preserve">     The direct effect w&amp;s job multipliers do not necessarily change because of this.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</si>
  <si>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</si>
  <si>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</si>
  <si>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</si>
  <si>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</si>
  <si>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</si>
  <si>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</si>
  <si>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</si>
  <si>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</si>
  <si>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</si>
  <si>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</si>
  <si>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</si>
  <si>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</si>
  <si>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</si>
  <si>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</si>
  <si>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</si>
  <si>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</si>
  <si>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</si>
  <si>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</si>
  <si>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</si>
  <si>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</si>
  <si>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</si>
  <si>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</si>
  <si>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</si>
  <si>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</si>
  <si>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</si>
  <si>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</si>
  <si>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</si>
  <si>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</si>
  <si>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</si>
  <si>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</si>
  <si>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</si>
  <si>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</si>
  <si>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</si>
  <si>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</si>
  <si>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</si>
  <si>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</si>
  <si>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</si>
  <si>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</si>
  <si>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</si>
  <si>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</si>
  <si>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</si>
  <si>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</si>
  <si>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</si>
  <si>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</si>
  <si>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</si>
  <si>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</si>
  <si>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</si>
  <si>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</si>
  <si>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</si>
  <si>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</si>
  <si>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</si>
  <si>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</si>
  <si>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</si>
  <si>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</si>
  <si>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</si>
  <si>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</si>
  <si>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</si>
  <si>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</si>
  <si>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</si>
  <si>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</si>
  <si>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</si>
  <si>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</si>
  <si>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Other crops</t>
  </si>
  <si>
    <t>Animal production</t>
  </si>
  <si>
    <t>Forestry &amp; logging</t>
  </si>
  <si>
    <t xml:space="preserve">Single family construction </t>
  </si>
  <si>
    <t>Construction of other buildings</t>
  </si>
  <si>
    <t>Heavy and civil engineering construction</t>
  </si>
  <si>
    <t>Maintenance &amp; repairs</t>
  </si>
  <si>
    <t>Food processing</t>
  </si>
  <si>
    <t>Beverage manufacturing</t>
  </si>
  <si>
    <t>Apparel and textile manufacturing</t>
  </si>
  <si>
    <t>Petroleum manufacturing</t>
  </si>
  <si>
    <t>Other manufacturing</t>
  </si>
  <si>
    <t>Truck and rail transportation</t>
  </si>
  <si>
    <t>Transit and ground passenger transportation</t>
  </si>
  <si>
    <t>Scenic and support activities for transportation</t>
  </si>
  <si>
    <t>Couriers and messengers</t>
  </si>
  <si>
    <t>Warehousing and storage</t>
  </si>
  <si>
    <t>Publishing (include Internet)</t>
  </si>
  <si>
    <t>Motion picture and sound recording industries</t>
  </si>
  <si>
    <t>Broadcasting (Radio, TV, Cable)</t>
  </si>
  <si>
    <t>Internet providers, web, and data processing</t>
  </si>
  <si>
    <t>Other information service</t>
  </si>
  <si>
    <t>Retail trade</t>
  </si>
  <si>
    <t>Credit intermediation and related activities</t>
  </si>
  <si>
    <t>Insurance carriers and related activities</t>
  </si>
  <si>
    <t>Other finance and insurance</t>
  </si>
  <si>
    <t>Rental &amp; leasing and others</t>
  </si>
  <si>
    <t>R&amp;D in the physical, engineering, &amp; life sciences</t>
  </si>
  <si>
    <t>Management of companies and enterprises</t>
  </si>
  <si>
    <t>Travel arrangement and reservation services</t>
  </si>
  <si>
    <t>Administrative and support services</t>
  </si>
  <si>
    <t>Waste management and remediation services</t>
  </si>
  <si>
    <t>Colleges, universities, and professional schools</t>
  </si>
  <si>
    <t>Other Educational services</t>
  </si>
  <si>
    <t>Ambulatory health care services</t>
  </si>
  <si>
    <t>Arts and entertainment</t>
  </si>
  <si>
    <t>Eating and drinking</t>
  </si>
  <si>
    <t>Repair and maintenance</t>
  </si>
  <si>
    <t>Personal and laundry services</t>
  </si>
  <si>
    <t>Federal government military</t>
  </si>
  <si>
    <t>Federal government: civilian</t>
  </si>
  <si>
    <t>Output Multipliers type 1</t>
  </si>
  <si>
    <t>Output Multipliers type 2</t>
  </si>
  <si>
    <t>VE</t>
  </si>
  <si>
    <t>Taxes on Production and Imports less Subsidies</t>
  </si>
  <si>
    <t>Electricity</t>
  </si>
  <si>
    <t>Other utilities</t>
  </si>
  <si>
    <t>Earnings (RIMS II for multiplier calculations)</t>
  </si>
  <si>
    <t>State individual income tax</t>
  </si>
  <si>
    <t>State GET</t>
  </si>
  <si>
    <t>State TAT</t>
  </si>
  <si>
    <t>State other taxes</t>
  </si>
  <si>
    <t>State income tax multipliers</t>
  </si>
  <si>
    <t>State GET multipliers</t>
  </si>
  <si>
    <t>State TAT multipliers</t>
  </si>
  <si>
    <t>State Other Taxes multipliers</t>
  </si>
  <si>
    <t>Earnings (Labor Income)</t>
  </si>
  <si>
    <t>Earnings (Labor Income)/Output Ratio</t>
  </si>
  <si>
    <t>Crop production</t>
  </si>
  <si>
    <t>2022 Input-Output transactions table</t>
  </si>
  <si>
    <t>2022 Direct requirements table (A)</t>
  </si>
  <si>
    <t>2022 Type 1 total requirements table</t>
  </si>
  <si>
    <t>State tax/Output ratio (for multiplier calculation)</t>
  </si>
  <si>
    <t>2022 Type 2 total requirements table</t>
  </si>
  <si>
    <t>Earnings Multiplier (2022 Type II)</t>
  </si>
  <si>
    <t>Earnings Multiplier (2022 Type I)</t>
  </si>
  <si>
    <t>2022Detailed Output, Earnings, Employment, and Tax Multipliers for Hawaii</t>
  </si>
  <si>
    <t>Direct Earning Coefficient</t>
  </si>
  <si>
    <t>FD Shares</t>
  </si>
  <si>
    <t>S&amp;LG</t>
  </si>
  <si>
    <t>Federal defense consumption</t>
  </si>
  <si>
    <t>Federal defense investment</t>
  </si>
  <si>
    <t>Federal nondefense consumption</t>
  </si>
  <si>
    <t>Federal nondefense investment</t>
  </si>
  <si>
    <t>FDC</t>
  </si>
  <si>
    <t>Job multipliers for years 2022-2032</t>
  </si>
  <si>
    <t>The multipliers for PCE, Visitor's expenditures, and the S&amp;L, federal defense, and federal nondefense government consumption</t>
  </si>
  <si>
    <t>Federal government defense</t>
  </si>
  <si>
    <t>FNDC</t>
  </si>
  <si>
    <t>Federal government: non-defense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</si>
</sst>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#,##0.000"/>
    <numFmt numFmtId="168" formatCode="_(* #,##0.00000_);_(* \(#,##0.00000\);_(* &quot;-&quot;??_);_(@_)"/>
    <numFmt numFmtId="169" formatCode="_(* #,##0.000_);_(* \(#,##0.000\);_(* &quot;-&quot;??_);_(@_)"/>
    <numFmt numFmtId="170" formatCode="_(* #,##0.0000_);_(* \(#,##0.000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0" xfId="0" applyNumberFormat="1"/>
    <xf numFmtId="165" fontId="0" fillId="0" borderId="0" xfId="0" applyNumberFormat="1"/>
    <xf numFmtId="0" fontId="0" fillId="0" borderId="3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0" xfId="0" applyNumberFormat="1"/>
    <xf numFmtId="0" fontId="2" fillId="0" borderId="9" xfId="0" applyFont="1" applyBorder="1" applyAlignment="1">
      <alignment horizontal="right"/>
    </xf>
    <xf numFmtId="0" fontId="0" fillId="0" borderId="1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11" xfId="0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 wrapText="1"/>
    </xf>
    <xf numFmtId="0" fontId="4" fillId="0" borderId="11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 wrapText="1"/>
    </xf>
    <xf numFmtId="0" fontId="4" fillId="0" borderId="11" xfId="0" applyFont="1" applyBorder="1" applyAlignment="1">
      <alignment horizontal="right" wrapText="1"/>
    </xf>
    <xf numFmtId="0" fontId="4" fillId="0" borderId="3" xfId="0" applyFont="1" applyBorder="1"/>
    <xf numFmtId="0" fontId="4" fillId="0" borderId="1" xfId="0" applyFont="1" applyBorder="1" applyAlignment="1">
      <alignment horizontal="justify"/>
    </xf>
    <xf numFmtId="4" fontId="4" fillId="0" borderId="0" xfId="0" applyNumberFormat="1" applyFont="1"/>
    <xf numFmtId="4" fontId="4" fillId="0" borderId="3" xfId="0" applyNumberFormat="1" applyFont="1" applyBorder="1"/>
    <xf numFmtId="3" fontId="4" fillId="0" borderId="0" xfId="0" applyNumberFormat="1" applyFont="1"/>
    <xf numFmtId="0" fontId="4" fillId="0" borderId="1" xfId="0" applyFont="1" applyBorder="1"/>
    <xf numFmtId="0" fontId="4" fillId="0" borderId="12" xfId="0" applyFont="1" applyBorder="1"/>
    <xf numFmtId="0" fontId="4" fillId="0" borderId="8" xfId="0" applyFont="1" applyBorder="1"/>
    <xf numFmtId="4" fontId="4" fillId="0" borderId="8" xfId="0" applyNumberFormat="1" applyFont="1" applyBorder="1"/>
    <xf numFmtId="0" fontId="4" fillId="0" borderId="13" xfId="0" applyFont="1" applyBorder="1"/>
    <xf numFmtId="4" fontId="4" fillId="0" borderId="2" xfId="0" applyNumberFormat="1" applyFont="1" applyBorder="1"/>
    <xf numFmtId="4" fontId="4" fillId="0" borderId="14" xfId="0" applyNumberFormat="1" applyFont="1" applyBorder="1"/>
    <xf numFmtId="4" fontId="4" fillId="0" borderId="13" xfId="0" applyNumberFormat="1" applyFont="1" applyBorder="1"/>
    <xf numFmtId="0" fontId="4" fillId="0" borderId="14" xfId="0" applyFont="1" applyBorder="1"/>
    <xf numFmtId="3" fontId="4" fillId="0" borderId="13" xfId="0" applyNumberFormat="1" applyFont="1" applyBorder="1"/>
    <xf numFmtId="3" fontId="4" fillId="0" borderId="3" xfId="0" applyNumberFormat="1" applyFont="1" applyBorder="1"/>
    <xf numFmtId="0" fontId="4" fillId="0" borderId="4" xfId="0" applyFont="1" applyBorder="1"/>
    <xf numFmtId="0" fontId="4" fillId="0" borderId="2" xfId="0" applyFont="1" applyBorder="1"/>
    <xf numFmtId="43" fontId="4" fillId="0" borderId="6" xfId="1" applyFont="1" applyBorder="1"/>
    <xf numFmtId="43" fontId="4" fillId="0" borderId="0" xfId="1" applyFont="1"/>
    <xf numFmtId="0" fontId="1" fillId="0" borderId="0" xfId="0" applyFont="1"/>
    <xf numFmtId="0" fontId="1" fillId="0" borderId="15" xfId="0" applyFont="1" applyBorder="1" applyAlignment="1">
      <alignment horizontal="right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1" xfId="0" applyFont="1" applyBorder="1" applyAlignment="1">
      <alignment horizontal="justify"/>
    </xf>
    <xf numFmtId="168" fontId="1" fillId="0" borderId="0" xfId="1" applyNumberFormat="1" applyFont="1"/>
    <xf numFmtId="0" fontId="1" fillId="0" borderId="1" xfId="0" applyFont="1" applyBorder="1"/>
    <xf numFmtId="0" fontId="1" fillId="0" borderId="11" xfId="0" applyFont="1" applyBorder="1" applyAlignment="1">
      <alignment horizontal="right" wrapText="1"/>
    </xf>
    <xf numFmtId="0" fontId="1" fillId="0" borderId="15" xfId="0" applyFont="1" applyBorder="1"/>
    <xf numFmtId="0" fontId="1" fillId="0" borderId="7" xfId="0" applyFont="1" applyBorder="1"/>
    <xf numFmtId="168" fontId="1" fillId="0" borderId="7" xfId="1" applyNumberFormat="1" applyFont="1" applyBorder="1"/>
    <xf numFmtId="168" fontId="1" fillId="0" borderId="9" xfId="1" applyNumberFormat="1" applyFont="1" applyBorder="1"/>
    <xf numFmtId="0" fontId="2" fillId="0" borderId="6" xfId="0" applyFont="1" applyBorder="1"/>
    <xf numFmtId="0" fontId="2" fillId="0" borderId="0" xfId="0" applyFont="1" applyAlignment="1">
      <alignment horizontal="justify"/>
    </xf>
    <xf numFmtId="168" fontId="2" fillId="0" borderId="0" xfId="1" applyNumberFormat="1" applyFont="1" applyFill="1" applyBorder="1"/>
    <xf numFmtId="168" fontId="2" fillId="0" borderId="0" xfId="1" applyNumberFormat="1" applyFont="1" applyFill="1" applyBorder="1" applyAlignment="1">
      <alignment horizontal="justify"/>
    </xf>
    <xf numFmtId="0" fontId="0" fillId="0" borderId="8" xfId="0" applyBorder="1"/>
    <xf numFmtId="168" fontId="1" fillId="0" borderId="3" xfId="1" applyNumberFormat="1" applyFont="1" applyBorder="1"/>
    <xf numFmtId="168" fontId="1" fillId="0" borderId="11" xfId="1" applyNumberFormat="1" applyFont="1" applyBorder="1"/>
    <xf numFmtId="0" fontId="0" fillId="0" borderId="13" xfId="0" applyBorder="1"/>
    <xf numFmtId="0" fontId="0" fillId="0" borderId="6" xfId="0" applyBorder="1" applyAlignment="1">
      <alignment horizontal="right"/>
    </xf>
    <xf numFmtId="0" fontId="2" fillId="0" borderId="15" xfId="0" applyFont="1" applyBorder="1" applyAlignment="1">
      <alignment horizontal="right"/>
    </xf>
    <xf numFmtId="0" fontId="1" fillId="0" borderId="8" xfId="0" applyFont="1" applyBorder="1"/>
    <xf numFmtId="168" fontId="1" fillId="0" borderId="8" xfId="1" applyNumberFormat="1" applyFont="1" applyBorder="1"/>
    <xf numFmtId="0" fontId="1" fillId="0" borderId="2" xfId="0" applyFont="1" applyBorder="1"/>
    <xf numFmtId="168" fontId="1" fillId="0" borderId="2" xfId="1" applyNumberFormat="1" applyFont="1" applyBorder="1"/>
    <xf numFmtId="0" fontId="1" fillId="0" borderId="13" xfId="0" applyFont="1" applyBorder="1"/>
    <xf numFmtId="0" fontId="1" fillId="0" borderId="14" xfId="0" applyFont="1" applyBorder="1"/>
    <xf numFmtId="2" fontId="0" fillId="0" borderId="12" xfId="0" applyNumberFormat="1" applyBorder="1"/>
    <xf numFmtId="2" fontId="0" fillId="0" borderId="10" xfId="0" applyNumberFormat="1" applyBorder="1"/>
    <xf numFmtId="2" fontId="0" fillId="2" borderId="8" xfId="0" applyNumberFormat="1" applyFill="1" applyBorder="1"/>
    <xf numFmtId="164" fontId="0" fillId="2" borderId="10" xfId="0" applyNumberFormat="1" applyFill="1" applyBorder="1"/>
    <xf numFmtId="0" fontId="0" fillId="0" borderId="14" xfId="0" applyBorder="1"/>
    <xf numFmtId="43" fontId="2" fillId="0" borderId="0" xfId="1" applyFont="1" applyFill="1" applyBorder="1"/>
    <xf numFmtId="0" fontId="5" fillId="0" borderId="7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2" fillId="0" borderId="0" xfId="0" applyFont="1"/>
    <xf numFmtId="0" fontId="0" fillId="0" borderId="8" xfId="0" applyBorder="1" applyAlignment="1">
      <alignment wrapText="1"/>
    </xf>
    <xf numFmtId="167" fontId="4" fillId="0" borderId="3" xfId="0" applyNumberFormat="1" applyFont="1" applyBorder="1"/>
    <xf numFmtId="166" fontId="1" fillId="0" borderId="13" xfId="1" applyNumberFormat="1" applyFont="1" applyBorder="1"/>
    <xf numFmtId="166" fontId="1" fillId="0" borderId="3" xfId="1" applyNumberFormat="1" applyFont="1" applyBorder="1"/>
    <xf numFmtId="166" fontId="1" fillId="0" borderId="0" xfId="0" applyNumberFormat="1" applyFont="1"/>
    <xf numFmtId="168" fontId="2" fillId="3" borderId="11" xfId="1" applyNumberFormat="1" applyFont="1" applyFill="1" applyBorder="1"/>
    <xf numFmtId="43" fontId="5" fillId="0" borderId="0" xfId="0" applyNumberFormat="1" applyFont="1"/>
    <xf numFmtId="2" fontId="5" fillId="0" borderId="0" xfId="0" applyNumberFormat="1" applyFont="1"/>
    <xf numFmtId="43" fontId="5" fillId="0" borderId="2" xfId="1" applyFont="1" applyFill="1" applyBorder="1"/>
    <xf numFmtId="43" fontId="5" fillId="0" borderId="2" xfId="0" applyNumberFormat="1" applyFont="1" applyBorder="1"/>
    <xf numFmtId="2" fontId="5" fillId="0" borderId="2" xfId="0" applyNumberFormat="1" applyFont="1" applyBorder="1"/>
    <xf numFmtId="164" fontId="0" fillId="0" borderId="5" xfId="0" applyNumberFormat="1" applyBorder="1"/>
    <xf numFmtId="3" fontId="3" fillId="0" borderId="8" xfId="1" applyNumberFormat="1" applyFont="1" applyFill="1" applyBorder="1"/>
    <xf numFmtId="3" fontId="3" fillId="0" borderId="0" xfId="1" applyNumberFormat="1" applyFont="1" applyFill="1" applyBorder="1"/>
    <xf numFmtId="3" fontId="3" fillId="0" borderId="0" xfId="1" applyNumberFormat="1" applyFont="1" applyFill="1" applyBorder="1" applyAlignment="1"/>
    <xf numFmtId="3" fontId="4" fillId="0" borderId="2" xfId="1" applyNumberFormat="1" applyFont="1" applyFill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6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5" fillId="0" borderId="15" xfId="0" applyFont="1" applyBorder="1"/>
    <xf numFmtId="0" fontId="5" fillId="0" borderId="7" xfId="0" applyFont="1" applyBorder="1" applyAlignment="1">
      <alignment horizontal="justify"/>
    </xf>
    <xf numFmtId="43" fontId="5" fillId="0" borderId="7" xfId="1" applyFont="1" applyFill="1" applyBorder="1"/>
    <xf numFmtId="168" fontId="5" fillId="0" borderId="15" xfId="1" applyNumberFormat="1" applyFont="1" applyFill="1" applyBorder="1"/>
    <xf numFmtId="168" fontId="5" fillId="0" borderId="7" xfId="1" applyNumberFormat="1" applyFont="1" applyFill="1" applyBorder="1" applyAlignment="1">
      <alignment horizontal="justify"/>
    </xf>
    <xf numFmtId="168" fontId="5" fillId="0" borderId="7" xfId="1" applyNumberFormat="1" applyFont="1" applyFill="1" applyBorder="1"/>
    <xf numFmtId="168" fontId="5" fillId="0" borderId="9" xfId="1" applyNumberFormat="1" applyFont="1" applyFill="1" applyBorder="1"/>
    <xf numFmtId="0" fontId="0" fillId="2" borderId="12" xfId="0" applyFill="1" applyBorder="1"/>
    <xf numFmtId="2" fontId="0" fillId="0" borderId="5" xfId="0" applyNumberFormat="1" applyBorder="1"/>
    <xf numFmtId="0" fontId="5" fillId="0" borderId="15" xfId="0" applyFont="1" applyBorder="1" applyAlignment="1">
      <alignment horizontal="right"/>
    </xf>
    <xf numFmtId="2" fontId="0" fillId="2" borderId="12" xfId="0" applyNumberFormat="1" applyFill="1" applyBorder="1"/>
    <xf numFmtId="43" fontId="5" fillId="0" borderId="6" xfId="1" applyFont="1" applyFill="1" applyBorder="1"/>
    <xf numFmtId="43" fontId="5" fillId="0" borderId="0" xfId="1" applyFont="1" applyFill="1" applyBorder="1"/>
    <xf numFmtId="43" fontId="5" fillId="0" borderId="4" xfId="1" applyFont="1" applyFill="1" applyBorder="1"/>
    <xf numFmtId="0" fontId="3" fillId="0" borderId="0" xfId="0" applyFont="1"/>
    <xf numFmtId="0" fontId="4" fillId="0" borderId="15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4" fontId="4" fillId="0" borderId="6" xfId="0" applyNumberFormat="1" applyFont="1" applyBorder="1"/>
    <xf numFmtId="4" fontId="4" fillId="0" borderId="1" xfId="0" applyNumberFormat="1" applyFont="1" applyBorder="1"/>
    <xf numFmtId="0" fontId="4" fillId="0" borderId="10" xfId="0" applyFont="1" applyBorder="1"/>
    <xf numFmtId="4" fontId="4" fillId="0" borderId="4" xfId="0" applyNumberFormat="1" applyFont="1" applyBorder="1"/>
    <xf numFmtId="4" fontId="4" fillId="0" borderId="5" xfId="0" applyNumberFormat="1" applyFont="1" applyBorder="1"/>
    <xf numFmtId="0" fontId="4" fillId="0" borderId="5" xfId="0" applyFont="1" applyBorder="1"/>
    <xf numFmtId="168" fontId="1" fillId="0" borderId="13" xfId="1" applyNumberFormat="1" applyFont="1" applyBorder="1"/>
    <xf numFmtId="168" fontId="1" fillId="0" borderId="14" xfId="1" applyNumberFormat="1" applyFont="1" applyBorder="1"/>
    <xf numFmtId="43" fontId="0" fillId="0" borderId="0" xfId="1" applyFont="1" applyAlignment="1">
      <alignment wrapText="1"/>
    </xf>
    <xf numFmtId="43" fontId="0" fillId="0" borderId="0" xfId="1" applyFont="1"/>
    <xf numFmtId="0" fontId="3" fillId="0" borderId="1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0" xfId="1" applyFont="1" applyBorder="1"/>
    <xf numFmtId="43" fontId="3" fillId="0" borderId="2" xfId="1" applyFont="1" applyBorder="1"/>
    <xf numFmtId="43" fontId="4" fillId="0" borderId="8" xfId="1" applyFont="1" applyBorder="1"/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2" fontId="0" fillId="0" borderId="8" xfId="0" applyNumberFormat="1" applyBorder="1"/>
    <xf numFmtId="164" fontId="0" fillId="0" borderId="6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0" fontId="5" fillId="0" borderId="4" xfId="0" applyFont="1" applyBorder="1" applyAlignment="1">
      <alignment horizontal="right"/>
    </xf>
    <xf numFmtId="164" fontId="0" fillId="0" borderId="12" xfId="0" applyNumberFormat="1" applyBorder="1"/>
    <xf numFmtId="164" fontId="5" fillId="0" borderId="6" xfId="0" applyNumberFormat="1" applyFont="1" applyBorder="1"/>
    <xf numFmtId="164" fontId="5" fillId="0" borderId="4" xfId="0" applyNumberFormat="1" applyFont="1" applyBorder="1"/>
    <xf numFmtId="166" fontId="4" fillId="0" borderId="0" xfId="0" applyNumberFormat="1" applyFont="1"/>
    <xf numFmtId="168" fontId="0" fillId="0" borderId="0" xfId="0" applyNumberFormat="1"/>
    <xf numFmtId="2" fontId="0" fillId="2" borderId="6" xfId="0" applyNumberFormat="1" applyFill="1" applyBorder="1"/>
    <xf numFmtId="2" fontId="0" fillId="2" borderId="0" xfId="0" applyNumberFormat="1" applyFill="1"/>
    <xf numFmtId="169" fontId="0" fillId="0" borderId="0" xfId="0" applyNumberFormat="1"/>
    <xf numFmtId="169" fontId="1" fillId="0" borderId="0" xfId="1" applyNumberFormat="1" applyFont="1" applyFill="1" applyBorder="1"/>
    <xf numFmtId="169" fontId="5" fillId="0" borderId="12" xfId="1" applyNumberFormat="1" applyFont="1" applyFill="1" applyBorder="1"/>
    <xf numFmtId="169" fontId="5" fillId="0" borderId="6" xfId="1" applyNumberFormat="1" applyFont="1" applyFill="1" applyBorder="1"/>
    <xf numFmtId="169" fontId="5" fillId="0" borderId="4" xfId="1" applyNumberFormat="1" applyFont="1" applyFill="1" applyBorder="1"/>
    <xf numFmtId="169" fontId="1" fillId="0" borderId="12" xfId="1" applyNumberFormat="1" applyFont="1" applyFill="1" applyBorder="1"/>
    <xf numFmtId="169" fontId="1" fillId="0" borderId="10" xfId="1" applyNumberFormat="1" applyFont="1" applyFill="1" applyBorder="1"/>
    <xf numFmtId="169" fontId="1" fillId="0" borderId="6" xfId="1" applyNumberFormat="1" applyFont="1" applyFill="1" applyBorder="1"/>
    <xf numFmtId="169" fontId="1" fillId="0" borderId="1" xfId="1" applyNumberFormat="1" applyFont="1" applyFill="1" applyBorder="1"/>
    <xf numFmtId="169" fontId="1" fillId="0" borderId="4" xfId="1" applyNumberFormat="1" applyFont="1" applyFill="1" applyBorder="1"/>
    <xf numFmtId="0" fontId="5" fillId="0" borderId="5" xfId="0" applyFont="1" applyBorder="1" applyAlignment="1">
      <alignment horizontal="right"/>
    </xf>
    <xf numFmtId="43" fontId="0" fillId="0" borderId="0" xfId="0" applyNumberFormat="1"/>
    <xf numFmtId="169" fontId="0" fillId="0" borderId="0" xfId="1" applyNumberFormat="1" applyFont="1"/>
    <xf numFmtId="170" fontId="0" fillId="0" borderId="0" xfId="1" applyNumberFormat="1" applyFont="1"/>
    <xf numFmtId="170" fontId="0" fillId="0" borderId="0" xfId="0" applyNumberFormat="1"/>
    <xf numFmtId="43" fontId="0" fillId="0" borderId="0" xfId="1" applyFont="1" applyAlignment="1">
      <alignment horizontal="center" wrapText="1"/>
    </xf>
    <xf numFmtId="2" fontId="0" fillId="0" borderId="4" xfId="0" applyNumberFormat="1" applyBorder="1"/>
    <xf numFmtId="2" fontId="0" fillId="0" borderId="0" xfId="1" applyNumberFormat="1" applyFont="1"/>
    <xf numFmtId="164" fontId="5" fillId="0" borderId="0" xfId="0" applyNumberFormat="1" applyFont="1"/>
    <xf numFmtId="0" fontId="0" fillId="2" borderId="8" xfId="0" applyFill="1" applyBorder="1"/>
    <xf numFmtId="164" fontId="0" fillId="2" borderId="8" xfId="0" applyNumberFormat="1" applyFill="1" applyBorder="1"/>
    <xf numFmtId="164" fontId="5" fillId="0" borderId="2" xfId="0" applyNumberFormat="1" applyFont="1" applyBorder="1"/>
    <xf numFmtId="164" fontId="0" fillId="2" borderId="12" xfId="0" applyNumberFormat="1" applyFill="1" applyBorder="1"/>
    <xf numFmtId="164" fontId="0" fillId="0" borderId="10" xfId="0" applyNumberFormat="1" applyBorder="1"/>
    <xf numFmtId="164" fontId="0" fillId="0" borderId="6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2" xfId="0" applyNumberFormat="1" applyBorder="1"/>
    <xf numFmtId="2" fontId="5" fillId="0" borderId="6" xfId="0" applyNumberFormat="1" applyFont="1" applyBorder="1"/>
    <xf numFmtId="2" fontId="5" fillId="0" borderId="4" xfId="0" applyNumberFormat="1" applyFont="1" applyBorder="1"/>
    <xf numFmtId="3" fontId="3" fillId="0" borderId="3" xfId="0" applyNumberFormat="1" applyFont="1" applyBorder="1"/>
    <xf numFmtId="3" fontId="4" fillId="0" borderId="14" xfId="0" applyNumberFormat="1" applyFont="1" applyBorder="1"/>
    <xf numFmtId="3" fontId="3" fillId="0" borderId="13" xfId="0" applyNumberFormat="1" applyFont="1" applyBorder="1"/>
    <xf numFmtId="4" fontId="4" fillId="0" borderId="12" xfId="0" applyNumberFormat="1" applyFont="1" applyBorder="1"/>
    <xf numFmtId="4" fontId="4" fillId="0" borderId="10" xfId="0" applyNumberFormat="1" applyFont="1" applyBorder="1"/>
    <xf numFmtId="43" fontId="4" fillId="0" borderId="0" xfId="0" applyNumberFormat="1" applyFont="1"/>
    <xf numFmtId="43" fontId="5" fillId="0" borderId="12" xfId="1" applyFont="1" applyFill="1" applyBorder="1"/>
    <xf numFmtId="43" fontId="5" fillId="0" borderId="10" xfId="1" applyFont="1" applyFill="1" applyBorder="1"/>
    <xf numFmtId="43" fontId="5" fillId="0" borderId="1" xfId="1" applyFont="1" applyFill="1" applyBorder="1"/>
    <xf numFmtId="0" fontId="3" fillId="0" borderId="1" xfId="0" applyFont="1" applyBorder="1"/>
    <xf numFmtId="0" fontId="2" fillId="0" borderId="15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4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"/>
  <sheetViews>
    <sheetView zoomScale="130" zoomScaleNormal="130" workbookViewId="0">
      <pane xSplit="2" ySplit="2" topLeftCell="X39" activePane="bottomRight" state="frozen"/>
      <selection pane="topRight" activeCell="B1" sqref="B1"/>
      <selection pane="bottomLeft" activeCell="A3" sqref="A3"/>
      <selection pane="bottomRight" activeCell="B80" sqref="B80"/>
    </sheetView>
  </sheetViews>
  <sheetFormatPr defaultColWidth="9.1796875" defaultRowHeight="10" x14ac:dyDescent="0.2"/>
  <cols>
    <col min="1" max="1" width="9.1796875" style="22"/>
    <col min="2" max="2" width="36.7265625" style="22" customWidth="1"/>
    <col min="3" max="64" width="8" style="22" customWidth="1"/>
    <col min="65" max="65" width="11.1796875" style="22" customWidth="1"/>
    <col min="66" max="66" width="3.453125" style="22" customWidth="1"/>
    <col min="67" max="77" width="9.7265625" style="22" customWidth="1"/>
    <col min="78" max="78" width="1.453125" style="22" customWidth="1"/>
    <col min="79" max="79" width="9.453125" style="22" customWidth="1"/>
    <col min="80" max="80" width="11.26953125" style="22" customWidth="1"/>
    <col min="81" max="16384" width="9.1796875" style="22"/>
  </cols>
  <sheetData>
    <row r="1" spans="1:81" x14ac:dyDescent="0.2">
      <c r="B1" s="122" t="s">
        <v>183</v>
      </c>
    </row>
    <row r="2" spans="1:81" s="23" customFormat="1" ht="30" x14ac:dyDescent="0.2">
      <c r="A2" s="27"/>
      <c r="B2" s="24" t="s">
        <v>16</v>
      </c>
      <c r="C2" s="25" t="s">
        <v>62</v>
      </c>
      <c r="D2" s="25" t="s">
        <v>63</v>
      </c>
      <c r="E2" s="25" t="s">
        <v>64</v>
      </c>
      <c r="F2" s="25" t="s">
        <v>65</v>
      </c>
      <c r="G2" s="25" t="s">
        <v>66</v>
      </c>
      <c r="H2" s="25" t="s">
        <v>67</v>
      </c>
      <c r="I2" s="25" t="s">
        <v>68</v>
      </c>
      <c r="J2" s="25" t="s">
        <v>69</v>
      </c>
      <c r="K2" s="25" t="s">
        <v>70</v>
      </c>
      <c r="L2" s="25" t="s">
        <v>71</v>
      </c>
      <c r="M2" s="25" t="s">
        <v>72</v>
      </c>
      <c r="N2" s="25" t="s">
        <v>73</v>
      </c>
      <c r="O2" s="25" t="s">
        <v>74</v>
      </c>
      <c r="P2" s="25" t="s">
        <v>75</v>
      </c>
      <c r="Q2" s="25" t="s">
        <v>76</v>
      </c>
      <c r="R2" s="25" t="s">
        <v>77</v>
      </c>
      <c r="S2" s="25" t="s">
        <v>78</v>
      </c>
      <c r="T2" s="25" t="s">
        <v>79</v>
      </c>
      <c r="U2" s="25" t="s">
        <v>80</v>
      </c>
      <c r="V2" s="25" t="s">
        <v>81</v>
      </c>
      <c r="W2" s="25" t="s">
        <v>82</v>
      </c>
      <c r="X2" s="25" t="s">
        <v>83</v>
      </c>
      <c r="Y2" s="25" t="s">
        <v>84</v>
      </c>
      <c r="Z2" s="25" t="s">
        <v>85</v>
      </c>
      <c r="AA2" s="25" t="s">
        <v>86</v>
      </c>
      <c r="AB2" s="25" t="s">
        <v>87</v>
      </c>
      <c r="AC2" s="25" t="s">
        <v>88</v>
      </c>
      <c r="AD2" s="25" t="s">
        <v>89</v>
      </c>
      <c r="AE2" s="25" t="s">
        <v>90</v>
      </c>
      <c r="AF2" s="25" t="s">
        <v>91</v>
      </c>
      <c r="AG2" s="25" t="s">
        <v>92</v>
      </c>
      <c r="AH2" s="25" t="s">
        <v>93</v>
      </c>
      <c r="AI2" s="25" t="s">
        <v>94</v>
      </c>
      <c r="AJ2" s="25" t="s">
        <v>95</v>
      </c>
      <c r="AK2" s="25" t="s">
        <v>96</v>
      </c>
      <c r="AL2" s="25" t="s">
        <v>97</v>
      </c>
      <c r="AM2" s="25" t="s">
        <v>98</v>
      </c>
      <c r="AN2" s="25" t="s">
        <v>99</v>
      </c>
      <c r="AO2" s="25" t="s">
        <v>100</v>
      </c>
      <c r="AP2" s="25" t="s">
        <v>101</v>
      </c>
      <c r="AQ2" s="25" t="s">
        <v>102</v>
      </c>
      <c r="AR2" s="25" t="s">
        <v>103</v>
      </c>
      <c r="AS2" s="25" t="s">
        <v>104</v>
      </c>
      <c r="AT2" s="25" t="s">
        <v>105</v>
      </c>
      <c r="AU2" s="25" t="s">
        <v>106</v>
      </c>
      <c r="AV2" s="25" t="s">
        <v>107</v>
      </c>
      <c r="AW2" s="25" t="s">
        <v>108</v>
      </c>
      <c r="AX2" s="25" t="s">
        <v>109</v>
      </c>
      <c r="AY2" s="25" t="s">
        <v>110</v>
      </c>
      <c r="AZ2" s="25" t="s">
        <v>111</v>
      </c>
      <c r="BA2" s="25" t="s">
        <v>112</v>
      </c>
      <c r="BB2" s="25" t="s">
        <v>113</v>
      </c>
      <c r="BC2" s="25" t="s">
        <v>114</v>
      </c>
      <c r="BD2" s="25" t="s">
        <v>115</v>
      </c>
      <c r="BE2" s="25" t="s">
        <v>116</v>
      </c>
      <c r="BF2" s="25" t="s">
        <v>117</v>
      </c>
      <c r="BG2" s="25" t="s">
        <v>118</v>
      </c>
      <c r="BH2" s="25" t="s">
        <v>119</v>
      </c>
      <c r="BI2" s="25" t="s">
        <v>120</v>
      </c>
      <c r="BJ2" s="25" t="s">
        <v>121</v>
      </c>
      <c r="BK2" s="25" t="s">
        <v>122</v>
      </c>
      <c r="BL2" s="25" t="s">
        <v>123</v>
      </c>
      <c r="BM2" s="27" t="s">
        <v>33</v>
      </c>
      <c r="BN2" s="22"/>
      <c r="BO2" s="123" t="s">
        <v>14</v>
      </c>
      <c r="BP2" s="26" t="s">
        <v>167</v>
      </c>
      <c r="BQ2" s="26" t="s">
        <v>35</v>
      </c>
      <c r="BR2" s="26" t="s">
        <v>15</v>
      </c>
      <c r="BS2" s="26" t="s">
        <v>36</v>
      </c>
      <c r="BT2" s="26" t="s">
        <v>37</v>
      </c>
      <c r="BU2" s="26" t="s">
        <v>194</v>
      </c>
      <c r="BV2" s="26" t="s">
        <v>195</v>
      </c>
      <c r="BW2" s="26" t="s">
        <v>196</v>
      </c>
      <c r="BX2" s="26" t="s">
        <v>197</v>
      </c>
      <c r="BY2" s="124" t="s">
        <v>40</v>
      </c>
      <c r="BZ2" s="26"/>
      <c r="CA2" s="27" t="s">
        <v>29</v>
      </c>
    </row>
    <row r="3" spans="1:81" x14ac:dyDescent="0.2">
      <c r="A3" s="28" t="s">
        <v>62</v>
      </c>
      <c r="B3" s="29" t="s">
        <v>182</v>
      </c>
      <c r="C3" s="30">
        <v>8.5381865477125736</v>
      </c>
      <c r="D3" s="30">
        <v>8.3969568353374999</v>
      </c>
      <c r="E3" s="30">
        <v>0</v>
      </c>
      <c r="F3" s="30">
        <v>0</v>
      </c>
      <c r="G3" s="30">
        <v>1.6640221157717567</v>
      </c>
      <c r="H3" s="30">
        <v>0</v>
      </c>
      <c r="I3" s="30">
        <v>1.447439280300967</v>
      </c>
      <c r="J3" s="30">
        <v>2.6483887363122331</v>
      </c>
      <c r="K3" s="30">
        <v>1.1334981605022887</v>
      </c>
      <c r="L3" s="30">
        <v>3.830638152160863</v>
      </c>
      <c r="M3" s="30">
        <v>56.165438653532505</v>
      </c>
      <c r="N3" s="30">
        <v>0</v>
      </c>
      <c r="O3" s="30">
        <v>0.34579118779715068</v>
      </c>
      <c r="P3" s="30">
        <v>3.1602301875018524E-4</v>
      </c>
      <c r="Q3" s="30">
        <v>1.3808297571254844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0.15001639127652266</v>
      </c>
      <c r="AH3" s="30">
        <v>0.14209402603418111</v>
      </c>
      <c r="AI3" s="30">
        <v>0</v>
      </c>
      <c r="AJ3" s="30">
        <v>0</v>
      </c>
      <c r="AK3" s="30">
        <v>0</v>
      </c>
      <c r="AL3" s="30">
        <v>2.6562586639828987</v>
      </c>
      <c r="AM3" s="30">
        <v>0.50591263192141189</v>
      </c>
      <c r="AN3" s="30">
        <v>0</v>
      </c>
      <c r="AO3" s="30">
        <v>0</v>
      </c>
      <c r="AP3" s="30">
        <v>4.2594291671540864E-2</v>
      </c>
      <c r="AQ3" s="30">
        <v>0</v>
      </c>
      <c r="AR3" s="30">
        <v>0</v>
      </c>
      <c r="AS3" s="30">
        <v>2.9811432440774131E-2</v>
      </c>
      <c r="AT3" s="30">
        <v>0</v>
      </c>
      <c r="AU3" s="30">
        <v>0</v>
      </c>
      <c r="AV3" s="30">
        <v>0.31940817705970176</v>
      </c>
      <c r="AW3" s="30">
        <v>0</v>
      </c>
      <c r="AX3" s="30">
        <v>0</v>
      </c>
      <c r="AY3" s="30">
        <v>2.0254058741173728E-4</v>
      </c>
      <c r="AZ3" s="30">
        <v>0</v>
      </c>
      <c r="BA3" s="30">
        <v>0.39056493468494913</v>
      </c>
      <c r="BB3" s="30">
        <v>0.10906113888611091</v>
      </c>
      <c r="BC3" s="30">
        <v>4.7032780009687608E-2</v>
      </c>
      <c r="BD3" s="30">
        <v>2.912554111255436E-2</v>
      </c>
      <c r="BE3" s="30">
        <v>0</v>
      </c>
      <c r="BF3" s="30">
        <v>8.6131266000989832</v>
      </c>
      <c r="BG3" s="30">
        <v>2.5694845393146908E-4</v>
      </c>
      <c r="BH3" s="30">
        <v>0</v>
      </c>
      <c r="BI3" s="30">
        <v>1.7387603899263138E-2</v>
      </c>
      <c r="BJ3" s="30">
        <v>0</v>
      </c>
      <c r="BK3" s="30">
        <v>0</v>
      </c>
      <c r="BL3" s="30">
        <v>0</v>
      </c>
      <c r="BM3" s="31">
        <f>SUM(C3:BL3)</f>
        <v>98.60435915169198</v>
      </c>
      <c r="BO3" s="125">
        <v>100.24274202390151</v>
      </c>
      <c r="BP3" s="30">
        <v>24.565132849894162</v>
      </c>
      <c r="BQ3" s="30">
        <v>0</v>
      </c>
      <c r="BR3" s="30">
        <v>0</v>
      </c>
      <c r="BS3" s="30">
        <v>0</v>
      </c>
      <c r="BT3" s="30">
        <v>6.5844684027895042</v>
      </c>
      <c r="BU3" s="30">
        <v>0</v>
      </c>
      <c r="BV3" s="30">
        <v>0</v>
      </c>
      <c r="BW3" s="30">
        <v>0</v>
      </c>
      <c r="BX3" s="30">
        <v>0</v>
      </c>
      <c r="BY3" s="126">
        <v>258.77356964353964</v>
      </c>
      <c r="BZ3" s="30"/>
      <c r="CA3" s="43">
        <v>488.77024999999998</v>
      </c>
      <c r="CB3" s="47"/>
      <c r="CC3" s="193"/>
    </row>
    <row r="4" spans="1:81" x14ac:dyDescent="0.2">
      <c r="A4" s="28" t="s">
        <v>63</v>
      </c>
      <c r="B4" s="29" t="s">
        <v>125</v>
      </c>
      <c r="C4" s="30">
        <v>0</v>
      </c>
      <c r="D4" s="30">
        <v>4.9066513377637078</v>
      </c>
      <c r="E4" s="30">
        <v>0</v>
      </c>
      <c r="F4" s="30">
        <v>1.4359611095382606E-2</v>
      </c>
      <c r="G4" s="30">
        <v>6.3731374105847012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20.401500537828664</v>
      </c>
      <c r="N4" s="30">
        <v>0</v>
      </c>
      <c r="O4" s="30">
        <v>0</v>
      </c>
      <c r="P4" s="30">
        <v>0</v>
      </c>
      <c r="Q4" s="30">
        <v>5.978630570350411E-4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4.0582458825739319E-2</v>
      </c>
      <c r="AH4" s="30">
        <v>3.0475902039927866E-2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2.2652354665264762</v>
      </c>
      <c r="AS4" s="30">
        <v>0</v>
      </c>
      <c r="AT4" s="30">
        <v>0</v>
      </c>
      <c r="AU4" s="30">
        <v>0</v>
      </c>
      <c r="AV4" s="30">
        <v>2.2269757324891843E-3</v>
      </c>
      <c r="AW4" s="30">
        <v>0</v>
      </c>
      <c r="AX4" s="30">
        <v>6.5253904658800106E-3</v>
      </c>
      <c r="AY4" s="30">
        <v>0</v>
      </c>
      <c r="AZ4" s="30">
        <v>0</v>
      </c>
      <c r="BA4" s="30">
        <v>3.2901857434118189</v>
      </c>
      <c r="BB4" s="30">
        <v>3.9085362903196016E-2</v>
      </c>
      <c r="BC4" s="30">
        <v>8.1745055985054803E-4</v>
      </c>
      <c r="BD4" s="30">
        <v>0.15555653972636599</v>
      </c>
      <c r="BE4" s="30">
        <v>0</v>
      </c>
      <c r="BF4" s="30">
        <v>10.856263734062091</v>
      </c>
      <c r="BG4" s="30">
        <v>0</v>
      </c>
      <c r="BH4" s="30">
        <v>1.3991242676468552</v>
      </c>
      <c r="BI4" s="30">
        <v>1.5722823904316838E-4</v>
      </c>
      <c r="BJ4" s="30">
        <v>0</v>
      </c>
      <c r="BK4" s="30">
        <v>0</v>
      </c>
      <c r="BL4" s="30">
        <v>0</v>
      </c>
      <c r="BM4" s="31">
        <f t="shared" ref="BM4:BM64" si="0">SUM(C4:BL4)</f>
        <v>49.782483280469222</v>
      </c>
      <c r="BO4" s="125">
        <v>32.443013161950496</v>
      </c>
      <c r="BP4" s="30">
        <v>1.6741951146424134</v>
      </c>
      <c r="BQ4" s="30">
        <v>0</v>
      </c>
      <c r="BR4" s="30">
        <v>0</v>
      </c>
      <c r="BS4" s="30">
        <v>0</v>
      </c>
      <c r="BT4" s="30">
        <v>0.61605676732650239</v>
      </c>
      <c r="BU4" s="30">
        <v>0</v>
      </c>
      <c r="BV4" s="30">
        <v>0</v>
      </c>
      <c r="BW4" s="30">
        <v>0</v>
      </c>
      <c r="BX4" s="30">
        <v>0</v>
      </c>
      <c r="BY4" s="126">
        <v>74.76625932934347</v>
      </c>
      <c r="BZ4" s="30"/>
      <c r="CA4" s="43">
        <v>159.28200000000001</v>
      </c>
      <c r="CB4" s="47"/>
      <c r="CC4" s="193"/>
    </row>
    <row r="5" spans="1:81" x14ac:dyDescent="0.2">
      <c r="A5" s="28" t="s">
        <v>64</v>
      </c>
      <c r="B5" s="29" t="s">
        <v>2</v>
      </c>
      <c r="C5" s="30">
        <v>0</v>
      </c>
      <c r="D5" s="30">
        <v>0</v>
      </c>
      <c r="E5" s="30">
        <v>1.0241777697924392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0.41638405880144036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0">
        <v>2.0892656377448287</v>
      </c>
      <c r="BB5" s="30">
        <v>8.2190336190894955E-2</v>
      </c>
      <c r="BC5" s="30">
        <v>0</v>
      </c>
      <c r="BD5" s="30">
        <v>2.2121323742165027E-3</v>
      </c>
      <c r="BE5" s="30">
        <v>0</v>
      </c>
      <c r="BF5" s="30">
        <v>50.564143328922633</v>
      </c>
      <c r="BG5" s="30">
        <v>0</v>
      </c>
      <c r="BH5" s="30">
        <v>0</v>
      </c>
      <c r="BI5" s="30">
        <v>1.4061734404385547E-2</v>
      </c>
      <c r="BJ5" s="30">
        <v>0</v>
      </c>
      <c r="BK5" s="30">
        <v>0</v>
      </c>
      <c r="BL5" s="30">
        <v>0</v>
      </c>
      <c r="BM5" s="31">
        <f t="shared" si="0"/>
        <v>54.192434998230837</v>
      </c>
      <c r="BO5" s="125">
        <v>24.305093019840761</v>
      </c>
      <c r="BP5" s="30">
        <v>2.0611506167181526</v>
      </c>
      <c r="BQ5" s="30">
        <v>0</v>
      </c>
      <c r="BR5" s="30">
        <v>0</v>
      </c>
      <c r="BS5" s="30">
        <v>0</v>
      </c>
      <c r="BT5" s="30">
        <v>0.83359264807312161</v>
      </c>
      <c r="BU5" s="30">
        <v>0</v>
      </c>
      <c r="BV5" s="30">
        <v>0</v>
      </c>
      <c r="BW5" s="30">
        <v>0</v>
      </c>
      <c r="BX5" s="30">
        <v>0</v>
      </c>
      <c r="BY5" s="126">
        <v>87.712789994034324</v>
      </c>
      <c r="BZ5" s="30"/>
      <c r="CA5" s="43">
        <v>169.10505223652544</v>
      </c>
      <c r="CB5" s="47"/>
      <c r="CC5" s="193"/>
    </row>
    <row r="6" spans="1:81" x14ac:dyDescent="0.2">
      <c r="A6" s="28" t="s">
        <v>65</v>
      </c>
      <c r="B6" s="29" t="s">
        <v>126</v>
      </c>
      <c r="C6" s="30">
        <v>1.0119086450616157</v>
      </c>
      <c r="D6" s="30">
        <v>0</v>
      </c>
      <c r="E6" s="30">
        <v>0</v>
      </c>
      <c r="F6" s="30">
        <v>4.6571413034482081</v>
      </c>
      <c r="G6" s="30">
        <v>2.6339373278875624</v>
      </c>
      <c r="H6" s="30">
        <v>2.9952540343382492</v>
      </c>
      <c r="I6" s="30">
        <v>0</v>
      </c>
      <c r="J6" s="30">
        <v>0</v>
      </c>
      <c r="K6" s="30">
        <v>0</v>
      </c>
      <c r="L6" s="30">
        <v>0</v>
      </c>
      <c r="M6" s="30">
        <v>0.16988413480324863</v>
      </c>
      <c r="N6" s="30">
        <v>0.66966573679700714</v>
      </c>
      <c r="O6" s="30">
        <v>0.36855890004200381</v>
      </c>
      <c r="P6" s="30">
        <v>0.20016018047798287</v>
      </c>
      <c r="Q6" s="30">
        <v>0.32921153924524704</v>
      </c>
      <c r="R6" s="30">
        <v>0</v>
      </c>
      <c r="S6" s="30">
        <v>2.1167589092372981E-2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1.1349574601240531</v>
      </c>
      <c r="AS6" s="30">
        <v>0</v>
      </c>
      <c r="AT6" s="30">
        <v>0</v>
      </c>
      <c r="AU6" s="30">
        <v>0</v>
      </c>
      <c r="AV6" s="30">
        <v>0.410647887288763</v>
      </c>
      <c r="AW6" s="30">
        <v>0</v>
      </c>
      <c r="AX6" s="30">
        <v>2.5246899784149977E-2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  <c r="BD6" s="30">
        <v>1.197594824851197E-2</v>
      </c>
      <c r="BE6" s="30">
        <v>0</v>
      </c>
      <c r="BF6" s="30">
        <v>0</v>
      </c>
      <c r="BG6" s="30">
        <v>2.8171381548338027E-3</v>
      </c>
      <c r="BH6" s="30">
        <v>0</v>
      </c>
      <c r="BI6" s="30">
        <v>0</v>
      </c>
      <c r="BJ6" s="30">
        <v>0</v>
      </c>
      <c r="BK6" s="30">
        <v>0</v>
      </c>
      <c r="BL6" s="30">
        <v>0</v>
      </c>
      <c r="BM6" s="31">
        <f t="shared" si="0"/>
        <v>14.64253472479381</v>
      </c>
      <c r="BO6" s="125">
        <v>0</v>
      </c>
      <c r="BP6" s="30">
        <v>0</v>
      </c>
      <c r="BQ6" s="30">
        <v>0</v>
      </c>
      <c r="BR6" s="30">
        <v>0</v>
      </c>
      <c r="BS6" s="30">
        <v>0</v>
      </c>
      <c r="BT6" s="30">
        <v>0</v>
      </c>
      <c r="BU6" s="30">
        <v>0</v>
      </c>
      <c r="BV6" s="30">
        <v>0</v>
      </c>
      <c r="BW6" s="30">
        <v>0</v>
      </c>
      <c r="BX6" s="30">
        <v>0</v>
      </c>
      <c r="BY6" s="126">
        <v>0</v>
      </c>
      <c r="BZ6" s="30"/>
      <c r="CA6" s="43">
        <v>14.642529631847818</v>
      </c>
      <c r="CB6" s="47"/>
      <c r="CC6" s="193"/>
    </row>
    <row r="7" spans="1:81" x14ac:dyDescent="0.2">
      <c r="A7" s="28" t="s">
        <v>66</v>
      </c>
      <c r="B7" s="29" t="s">
        <v>19</v>
      </c>
      <c r="C7" s="30">
        <v>29.192727853161301</v>
      </c>
      <c r="D7" s="30">
        <v>0.58153410994357524</v>
      </c>
      <c r="E7" s="30">
        <v>0</v>
      </c>
      <c r="F7" s="30">
        <v>0.11517376903556958</v>
      </c>
      <c r="G7" s="30">
        <v>2.3004131385671092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0.6014595481016739</v>
      </c>
      <c r="R7" s="30">
        <v>3.2094051288770617E-2</v>
      </c>
      <c r="S7" s="30">
        <v>8.6566913570802165E-4</v>
      </c>
      <c r="T7" s="30">
        <v>0</v>
      </c>
      <c r="U7" s="30">
        <v>0</v>
      </c>
      <c r="V7" s="30">
        <v>4.8206723751588326E-2</v>
      </c>
      <c r="W7" s="30">
        <v>0</v>
      </c>
      <c r="X7" s="30">
        <v>0</v>
      </c>
      <c r="Y7" s="30">
        <v>9.0775831373008861E-4</v>
      </c>
      <c r="Z7" s="30">
        <v>0</v>
      </c>
      <c r="AA7" s="30">
        <v>1.9143738825433353E-4</v>
      </c>
      <c r="AB7" s="30">
        <v>5.9559673855887341E-3</v>
      </c>
      <c r="AC7" s="30">
        <v>5.074650965875482E-5</v>
      </c>
      <c r="AD7" s="30">
        <v>1.6653421204535193E-5</v>
      </c>
      <c r="AE7" s="30">
        <v>2.9184629352567479E-2</v>
      </c>
      <c r="AF7" s="30">
        <v>4.5300687053149141E-3</v>
      </c>
      <c r="AG7" s="30">
        <v>0</v>
      </c>
      <c r="AH7" s="30">
        <v>0</v>
      </c>
      <c r="AI7" s="30">
        <v>1.1107979490611534E-3</v>
      </c>
      <c r="AJ7" s="30">
        <v>0</v>
      </c>
      <c r="AK7" s="30">
        <v>0</v>
      </c>
      <c r="AL7" s="30">
        <v>29.878821632442499</v>
      </c>
      <c r="AM7" s="30">
        <v>3.3770790916486781</v>
      </c>
      <c r="AN7" s="30">
        <v>0</v>
      </c>
      <c r="AO7" s="30">
        <v>1.0076152496637481E-3</v>
      </c>
      <c r="AP7" s="30">
        <v>0</v>
      </c>
      <c r="AQ7" s="30">
        <v>2.1757234981707147E-4</v>
      </c>
      <c r="AR7" s="30">
        <v>0</v>
      </c>
      <c r="AS7" s="30">
        <v>0</v>
      </c>
      <c r="AT7" s="30">
        <v>1.9548458065337789E-4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6.2337292336196281E-4</v>
      </c>
      <c r="BA7" s="30">
        <v>0</v>
      </c>
      <c r="BB7" s="30">
        <v>0</v>
      </c>
      <c r="BC7" s="30">
        <v>0</v>
      </c>
      <c r="BD7" s="30">
        <v>0</v>
      </c>
      <c r="BE7" s="30">
        <v>0.18409217966790084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7.0744954655394848E-2</v>
      </c>
      <c r="BL7" s="30">
        <v>0.18772866482046641</v>
      </c>
      <c r="BM7" s="31">
        <f t="shared" si="0"/>
        <v>66.614933490349117</v>
      </c>
      <c r="BO7" s="125">
        <v>108.7625633350207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126">
        <v>0</v>
      </c>
      <c r="BZ7" s="30"/>
      <c r="CA7" s="43">
        <v>175.37747016499529</v>
      </c>
      <c r="CB7" s="47"/>
      <c r="CC7" s="193"/>
    </row>
    <row r="8" spans="1:81" x14ac:dyDescent="0.2">
      <c r="A8" s="28" t="s">
        <v>67</v>
      </c>
      <c r="B8" s="29" t="s">
        <v>3</v>
      </c>
      <c r="C8" s="30">
        <v>0.13628429439989884</v>
      </c>
      <c r="D8" s="30">
        <v>0</v>
      </c>
      <c r="E8" s="30">
        <v>0</v>
      </c>
      <c r="F8" s="30">
        <v>2.8548435259764969E-5</v>
      </c>
      <c r="G8" s="30">
        <v>5.9135840971256872E-4</v>
      </c>
      <c r="H8" s="30">
        <v>0.91683475780293433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2.3811770725341819</v>
      </c>
      <c r="AF8" s="30">
        <v>4.3033001329895209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1">
        <f t="shared" si="0"/>
        <v>7.738216164571508</v>
      </c>
      <c r="BO8" s="125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0.18648008417614728</v>
      </c>
      <c r="BX8" s="30">
        <v>0</v>
      </c>
      <c r="BY8" s="126">
        <v>146.24596915464903</v>
      </c>
      <c r="BZ8" s="30"/>
      <c r="CA8" s="43">
        <v>154.17066302302882</v>
      </c>
      <c r="CB8" s="47"/>
      <c r="CC8" s="193"/>
    </row>
    <row r="9" spans="1:81" x14ac:dyDescent="0.2">
      <c r="A9" s="28" t="s">
        <v>68</v>
      </c>
      <c r="B9" s="29" t="s">
        <v>127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1">
        <f t="shared" si="0"/>
        <v>0</v>
      </c>
      <c r="BO9" s="125">
        <v>0</v>
      </c>
      <c r="BP9" s="30">
        <v>0</v>
      </c>
      <c r="BQ9" s="30">
        <v>0</v>
      </c>
      <c r="BR9" s="30">
        <v>1161.9896227121001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126">
        <v>0</v>
      </c>
      <c r="BZ9" s="30"/>
      <c r="CA9" s="43">
        <v>1161.9896227121001</v>
      </c>
      <c r="CB9" s="47"/>
      <c r="CC9" s="193"/>
    </row>
    <row r="10" spans="1:81" x14ac:dyDescent="0.2">
      <c r="A10" s="28" t="s">
        <v>69</v>
      </c>
      <c r="B10" s="29" t="s">
        <v>128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1">
        <f t="shared" si="0"/>
        <v>0</v>
      </c>
      <c r="BO10" s="125">
        <v>0</v>
      </c>
      <c r="BP10" s="30">
        <v>0</v>
      </c>
      <c r="BQ10" s="30">
        <v>0</v>
      </c>
      <c r="BR10" s="30">
        <v>3769.4173417079792</v>
      </c>
      <c r="BS10" s="30">
        <v>924.2432812148113</v>
      </c>
      <c r="BT10" s="30">
        <v>0</v>
      </c>
      <c r="BU10" s="30">
        <v>0</v>
      </c>
      <c r="BV10" s="30">
        <v>95.492520498561106</v>
      </c>
      <c r="BW10" s="30">
        <v>0</v>
      </c>
      <c r="BX10" s="30">
        <v>47.172702932567887</v>
      </c>
      <c r="BY10" s="126">
        <v>0</v>
      </c>
      <c r="BZ10" s="30"/>
      <c r="CA10" s="43">
        <v>4836.3258463539187</v>
      </c>
      <c r="CB10" s="47"/>
      <c r="CC10" s="193"/>
    </row>
    <row r="11" spans="1:81" x14ac:dyDescent="0.2">
      <c r="A11" s="28" t="s">
        <v>70</v>
      </c>
      <c r="B11" s="29" t="s">
        <v>129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1">
        <f t="shared" si="0"/>
        <v>0</v>
      </c>
      <c r="BO11" s="125">
        <v>0</v>
      </c>
      <c r="BP11" s="30">
        <v>0</v>
      </c>
      <c r="BQ11" s="30">
        <v>0</v>
      </c>
      <c r="BR11" s="30">
        <v>1359.1321196197393</v>
      </c>
      <c r="BS11" s="30">
        <v>1399.3439053820337</v>
      </c>
      <c r="BT11" s="30">
        <v>0</v>
      </c>
      <c r="BU11" s="30">
        <v>0</v>
      </c>
      <c r="BV11" s="30">
        <v>18.381739267268173</v>
      </c>
      <c r="BW11" s="30">
        <v>0</v>
      </c>
      <c r="BX11" s="30">
        <v>11.687235730959419</v>
      </c>
      <c r="BY11" s="126">
        <v>0</v>
      </c>
      <c r="BZ11" s="30"/>
      <c r="CA11" s="43">
        <v>2788.5450000000001</v>
      </c>
      <c r="CB11" s="47"/>
      <c r="CC11" s="193"/>
    </row>
    <row r="12" spans="1:81" x14ac:dyDescent="0.2">
      <c r="A12" s="28" t="s">
        <v>71</v>
      </c>
      <c r="B12" s="29" t="s">
        <v>130</v>
      </c>
      <c r="C12" s="30">
        <v>1.6458904596916646</v>
      </c>
      <c r="D12" s="30">
        <v>0.25997292385390613</v>
      </c>
      <c r="E12" s="30">
        <v>20.476315068854973</v>
      </c>
      <c r="F12" s="30">
        <v>1.7674562721678915E-3</v>
      </c>
      <c r="G12" s="30">
        <v>0.31308326991210078</v>
      </c>
      <c r="H12" s="30">
        <v>5.6098928089278561E-3</v>
      </c>
      <c r="I12" s="30">
        <v>1.3586608265771891</v>
      </c>
      <c r="J12" s="30">
        <v>9.3920203998352658</v>
      </c>
      <c r="K12" s="30">
        <v>7.2095942915379148</v>
      </c>
      <c r="L12" s="30">
        <v>4.9370269787496026</v>
      </c>
      <c r="M12" s="30">
        <v>7.8507113811984119</v>
      </c>
      <c r="N12" s="30">
        <v>0.69737629402720192</v>
      </c>
      <c r="O12" s="30">
        <v>0.17525610816256598</v>
      </c>
      <c r="P12" s="30">
        <v>1.4681342275245362</v>
      </c>
      <c r="Q12" s="30">
        <v>1.3580373162923676</v>
      </c>
      <c r="R12" s="30">
        <v>132.07304722393073</v>
      </c>
      <c r="S12" s="30">
        <v>2.5495997980437609E-2</v>
      </c>
      <c r="T12" s="30">
        <v>0.20821223795178276</v>
      </c>
      <c r="U12" s="30">
        <v>0</v>
      </c>
      <c r="V12" s="30">
        <v>5.9752140439006167</v>
      </c>
      <c r="W12" s="30">
        <v>1.7455473594705313</v>
      </c>
      <c r="X12" s="30">
        <v>1.7345742747107828</v>
      </c>
      <c r="Y12" s="30">
        <v>3.1863516150255071</v>
      </c>
      <c r="Z12" s="30">
        <v>2.7990961589956815</v>
      </c>
      <c r="AA12" s="30">
        <v>0.5591849729258167</v>
      </c>
      <c r="AB12" s="30">
        <v>17.397267543332624</v>
      </c>
      <c r="AC12" s="30">
        <v>0.26221339767900498</v>
      </c>
      <c r="AD12" s="30">
        <v>8.6050256192691729E-2</v>
      </c>
      <c r="AE12" s="30">
        <v>161.22644970691772</v>
      </c>
      <c r="AF12" s="30">
        <v>26.708391998425142</v>
      </c>
      <c r="AG12" s="30">
        <v>13.707422606182829</v>
      </c>
      <c r="AH12" s="30">
        <v>43.668212064411094</v>
      </c>
      <c r="AI12" s="30">
        <v>40.987437037173763</v>
      </c>
      <c r="AJ12" s="30">
        <v>0.54939195168011601</v>
      </c>
      <c r="AK12" s="30">
        <v>3.8136635276812894</v>
      </c>
      <c r="AL12" s="30">
        <v>1037.6780987500049</v>
      </c>
      <c r="AM12" s="30">
        <v>124.41123128492235</v>
      </c>
      <c r="AN12" s="30">
        <v>6.4138198460034168</v>
      </c>
      <c r="AO12" s="30">
        <v>5.3643505052664295</v>
      </c>
      <c r="AP12" s="30">
        <v>7.6599743658272645</v>
      </c>
      <c r="AQ12" s="30">
        <v>0.30929371272906603</v>
      </c>
      <c r="AR12" s="30">
        <v>20.813718462361177</v>
      </c>
      <c r="AS12" s="30">
        <v>7.1636057798319683</v>
      </c>
      <c r="AT12" s="30">
        <v>17.318505879457188</v>
      </c>
      <c r="AU12" s="30">
        <v>1.410785688194198</v>
      </c>
      <c r="AV12" s="30">
        <v>1.7332617453095716</v>
      </c>
      <c r="AW12" s="30">
        <v>1.082346141832494</v>
      </c>
      <c r="AX12" s="30">
        <v>0.41650025225060655</v>
      </c>
      <c r="AY12" s="30">
        <v>10.873884785443622</v>
      </c>
      <c r="AZ12" s="30">
        <v>2.0596027005810216</v>
      </c>
      <c r="BA12" s="30">
        <v>29.600312906636308</v>
      </c>
      <c r="BB12" s="30">
        <v>4.5937816449005062</v>
      </c>
      <c r="BC12" s="30">
        <v>3.6338538157670706</v>
      </c>
      <c r="BD12" s="30">
        <v>1.9167030675463039</v>
      </c>
      <c r="BE12" s="30">
        <v>490.13385215781176</v>
      </c>
      <c r="BF12" s="30">
        <v>179.89717747242375</v>
      </c>
      <c r="BG12" s="30">
        <v>0.9093515869106723</v>
      </c>
      <c r="BH12" s="30">
        <v>13.831323059901454</v>
      </c>
      <c r="BI12" s="30">
        <v>2.9727669926003317</v>
      </c>
      <c r="BJ12" s="30">
        <v>0</v>
      </c>
      <c r="BK12" s="30">
        <v>32.971791092174605</v>
      </c>
      <c r="BL12" s="30">
        <v>13.549605604206738</v>
      </c>
      <c r="BM12" s="31">
        <f t="shared" si="0"/>
        <v>2532.5821801707616</v>
      </c>
      <c r="BO12" s="125">
        <v>410.53386807734057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30.883150078277286</v>
      </c>
      <c r="BV12" s="30">
        <v>112.29290194145591</v>
      </c>
      <c r="BW12" s="30">
        <v>0</v>
      </c>
      <c r="BX12" s="30">
        <v>0</v>
      </c>
      <c r="BY12" s="126">
        <v>280.84819932300167</v>
      </c>
      <c r="BZ12" s="30"/>
      <c r="CA12" s="43">
        <v>3367.13953093398</v>
      </c>
      <c r="CB12" s="47"/>
      <c r="CC12" s="193"/>
    </row>
    <row r="13" spans="1:81" x14ac:dyDescent="0.2">
      <c r="A13" s="28" t="s">
        <v>72</v>
      </c>
      <c r="B13" s="29" t="s">
        <v>131</v>
      </c>
      <c r="C13" s="30">
        <v>0.20061158775208857</v>
      </c>
      <c r="D13" s="30">
        <v>4.0105684033908622</v>
      </c>
      <c r="E13" s="30">
        <v>9.4439814346995374E-3</v>
      </c>
      <c r="F13" s="30">
        <v>9.9168520348738125E-3</v>
      </c>
      <c r="G13" s="30">
        <v>0.14033733744918034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27.438855285403555</v>
      </c>
      <c r="N13" s="30">
        <v>24.359072260996864</v>
      </c>
      <c r="O13" s="30">
        <v>0.13789508139637871</v>
      </c>
      <c r="P13" s="30">
        <v>0.19020717686032521</v>
      </c>
      <c r="Q13" s="30">
        <v>0.14502650711599802</v>
      </c>
      <c r="R13" s="30">
        <v>0</v>
      </c>
      <c r="S13" s="30">
        <v>3.1378652507877532E-2</v>
      </c>
      <c r="T13" s="30">
        <v>0</v>
      </c>
      <c r="U13" s="30">
        <v>0</v>
      </c>
      <c r="V13" s="30">
        <v>2.576314711490983</v>
      </c>
      <c r="W13" s="30">
        <v>0.42102833889396957</v>
      </c>
      <c r="X13" s="30">
        <v>0</v>
      </c>
      <c r="Y13" s="30">
        <v>5.4111714509238157E-2</v>
      </c>
      <c r="Z13" s="30">
        <v>1.0086239596971969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0.82190001895298292</v>
      </c>
      <c r="AH13" s="30">
        <v>0.50738058891575166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0.42014004304663199</v>
      </c>
      <c r="AS13" s="30">
        <v>1.2100074113208557</v>
      </c>
      <c r="AT13" s="30">
        <v>0</v>
      </c>
      <c r="AU13" s="30">
        <v>0</v>
      </c>
      <c r="AV13" s="30">
        <v>2.9201457568806409E-3</v>
      </c>
      <c r="AW13" s="30">
        <v>0</v>
      </c>
      <c r="AX13" s="30">
        <v>9.0701246847807327E-3</v>
      </c>
      <c r="AY13" s="30">
        <v>1.7476862644911927E-3</v>
      </c>
      <c r="AZ13" s="30">
        <v>4.0349881500701991E-3</v>
      </c>
      <c r="BA13" s="30">
        <v>13.145094830429546</v>
      </c>
      <c r="BB13" s="30">
        <v>6.726470025511543</v>
      </c>
      <c r="BC13" s="30">
        <v>2.8968508768828292</v>
      </c>
      <c r="BD13" s="30">
        <v>7.1392393172353436E-2</v>
      </c>
      <c r="BE13" s="30">
        <v>5.3055070395654935</v>
      </c>
      <c r="BF13" s="30">
        <v>259.58436560738539</v>
      </c>
      <c r="BG13" s="30">
        <v>0</v>
      </c>
      <c r="BH13" s="30">
        <v>0.42171541243208621</v>
      </c>
      <c r="BI13" s="30">
        <v>0.28088153227525681</v>
      </c>
      <c r="BJ13" s="30">
        <v>0</v>
      </c>
      <c r="BK13" s="30">
        <v>1.392548401599333</v>
      </c>
      <c r="BL13" s="30">
        <v>7.507932647364797E-2</v>
      </c>
      <c r="BM13" s="31">
        <f t="shared" si="0"/>
        <v>353.61049830375407</v>
      </c>
      <c r="BO13" s="125">
        <v>275.96967045593624</v>
      </c>
      <c r="BP13" s="30">
        <v>36.758369219131296</v>
      </c>
      <c r="BQ13" s="30">
        <v>0.53506616113999861</v>
      </c>
      <c r="BR13" s="30">
        <v>0</v>
      </c>
      <c r="BS13" s="30">
        <v>0</v>
      </c>
      <c r="BT13" s="30">
        <v>15.711224630566772</v>
      </c>
      <c r="BU13" s="30">
        <v>4.4242067453069707</v>
      </c>
      <c r="BV13" s="30">
        <v>0</v>
      </c>
      <c r="BW13" s="30">
        <v>0.39464465768007456</v>
      </c>
      <c r="BX13" s="30">
        <v>0</v>
      </c>
      <c r="BY13" s="126">
        <v>342.50937436806305</v>
      </c>
      <c r="BZ13" s="30"/>
      <c r="CA13" s="43">
        <v>1029.913</v>
      </c>
      <c r="CB13" s="47"/>
      <c r="CC13" s="193"/>
    </row>
    <row r="14" spans="1:81" x14ac:dyDescent="0.2">
      <c r="A14" s="28" t="s">
        <v>73</v>
      </c>
      <c r="B14" s="33" t="s">
        <v>132</v>
      </c>
      <c r="C14" s="30">
        <v>0</v>
      </c>
      <c r="D14" s="30">
        <v>1.1609398591836684E-2</v>
      </c>
      <c r="E14" s="30">
        <v>0.9609388911762895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5.7202158677726</v>
      </c>
      <c r="N14" s="30">
        <v>12.093981636709021</v>
      </c>
      <c r="O14" s="30">
        <v>1.9930817806928482E-2</v>
      </c>
      <c r="P14" s="30">
        <v>2.7491804270206005E-2</v>
      </c>
      <c r="Q14" s="30">
        <v>1.6769253036345588E-2</v>
      </c>
      <c r="R14" s="30">
        <v>0</v>
      </c>
      <c r="S14" s="30">
        <v>3.6282785423721576E-3</v>
      </c>
      <c r="T14" s="30">
        <v>0</v>
      </c>
      <c r="U14" s="30">
        <v>0</v>
      </c>
      <c r="V14" s="30">
        <v>0.2978963925794374</v>
      </c>
      <c r="W14" s="30">
        <v>4.9011392165034487E-2</v>
      </c>
      <c r="X14" s="30">
        <v>0</v>
      </c>
      <c r="Y14" s="30">
        <v>6.2568771108175462E-3</v>
      </c>
      <c r="Z14" s="30">
        <v>0.11662606191814789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9.503538120362949E-2</v>
      </c>
      <c r="AH14" s="30">
        <v>5.8667850798150484E-2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6.7262487466844864E-2</v>
      </c>
      <c r="AT14" s="30">
        <v>0</v>
      </c>
      <c r="AU14" s="30">
        <v>0</v>
      </c>
      <c r="AV14" s="30">
        <v>0</v>
      </c>
      <c r="AW14" s="30">
        <v>0</v>
      </c>
      <c r="AX14" s="30">
        <v>3.2601714423741738E-3</v>
      </c>
      <c r="AY14" s="30">
        <v>4.2820577256242843E-3</v>
      </c>
      <c r="AZ14" s="30">
        <v>4.6656117307619286E-4</v>
      </c>
      <c r="BA14" s="30">
        <v>0.75285949268288743</v>
      </c>
      <c r="BB14" s="30">
        <v>8.1571708882211449E-2</v>
      </c>
      <c r="BC14" s="30">
        <v>0.33495963137382179</v>
      </c>
      <c r="BD14" s="30">
        <v>8.255022683680148E-3</v>
      </c>
      <c r="BE14" s="30">
        <v>0.61346985321397363</v>
      </c>
      <c r="BF14" s="30">
        <v>83.518187055438332</v>
      </c>
      <c r="BG14" s="30">
        <v>0</v>
      </c>
      <c r="BH14" s="30">
        <v>0</v>
      </c>
      <c r="BI14" s="30">
        <v>0.29224732520519703</v>
      </c>
      <c r="BJ14" s="30">
        <v>0</v>
      </c>
      <c r="BK14" s="30">
        <v>0.61604233751740178</v>
      </c>
      <c r="BL14" s="30">
        <v>0.21671330888511633</v>
      </c>
      <c r="BM14" s="31">
        <f t="shared" si="0"/>
        <v>105.98763691737136</v>
      </c>
      <c r="BO14" s="125">
        <v>311.82323531904149</v>
      </c>
      <c r="BP14" s="30">
        <v>15.278000899437847</v>
      </c>
      <c r="BQ14" s="30">
        <v>0.38083990003220397</v>
      </c>
      <c r="BR14" s="30">
        <v>0</v>
      </c>
      <c r="BS14" s="30">
        <v>0</v>
      </c>
      <c r="BT14" s="30">
        <v>18.407665429390768</v>
      </c>
      <c r="BU14" s="30">
        <v>2.700664210677228E-3</v>
      </c>
      <c r="BV14" s="30">
        <v>0</v>
      </c>
      <c r="BW14" s="30">
        <v>0.1153733230219863</v>
      </c>
      <c r="BX14" s="30">
        <v>0</v>
      </c>
      <c r="BY14" s="126">
        <v>14.680859695951204</v>
      </c>
      <c r="BZ14" s="30"/>
      <c r="CA14" s="43">
        <v>466.67629239766086</v>
      </c>
      <c r="CB14" s="47"/>
      <c r="CC14" s="193"/>
    </row>
    <row r="15" spans="1:81" x14ac:dyDescent="0.2">
      <c r="A15" s="28" t="s">
        <v>74</v>
      </c>
      <c r="B15" s="33" t="s">
        <v>133</v>
      </c>
      <c r="C15" s="30">
        <v>0.53644858626936287</v>
      </c>
      <c r="D15" s="30">
        <v>3.9890257548455078E-2</v>
      </c>
      <c r="E15" s="30">
        <v>0.90743325317817791</v>
      </c>
      <c r="F15" s="30">
        <v>0</v>
      </c>
      <c r="G15" s="30">
        <v>0</v>
      </c>
      <c r="H15" s="30">
        <v>6.656708574955536E-2</v>
      </c>
      <c r="I15" s="30">
        <v>0</v>
      </c>
      <c r="J15" s="30">
        <v>0.94865482231665321</v>
      </c>
      <c r="K15" s="30">
        <v>1.2734890579093843</v>
      </c>
      <c r="L15" s="30">
        <v>0</v>
      </c>
      <c r="M15" s="30">
        <v>0.13721835660501291</v>
      </c>
      <c r="N15" s="30">
        <v>0.20271167284300365</v>
      </c>
      <c r="O15" s="30">
        <v>1.1030541076822475</v>
      </c>
      <c r="P15" s="30">
        <v>3.9896474254559194E-3</v>
      </c>
      <c r="Q15" s="30">
        <v>0.3320466478679352</v>
      </c>
      <c r="R15" s="30">
        <v>2.7649635268462598E-2</v>
      </c>
      <c r="S15" s="30">
        <v>3.3048409459715752E-2</v>
      </c>
      <c r="T15" s="30">
        <v>2.200073408937121E-3</v>
      </c>
      <c r="U15" s="30">
        <v>4.3579239873868421E-2</v>
      </c>
      <c r="V15" s="30">
        <v>0.17762229006459632</v>
      </c>
      <c r="W15" s="30">
        <v>1.0731239160292211E-3</v>
      </c>
      <c r="X15" s="30">
        <v>3.6548657056646991E-2</v>
      </c>
      <c r="Y15" s="30">
        <v>1.532997783280025E-2</v>
      </c>
      <c r="Z15" s="30">
        <v>0.1823338666085792</v>
      </c>
      <c r="AA15" s="30">
        <v>2.621853410765949E-3</v>
      </c>
      <c r="AB15" s="30">
        <v>8.1570656321169902E-2</v>
      </c>
      <c r="AC15" s="30">
        <v>6.3988839258305582E-4</v>
      </c>
      <c r="AD15" s="30">
        <v>2.0999140625113251E-4</v>
      </c>
      <c r="AE15" s="30">
        <v>2.6917314830775921E-2</v>
      </c>
      <c r="AF15" s="30">
        <v>3.9205810636353455E-3</v>
      </c>
      <c r="AG15" s="30">
        <v>1.256948447456967</v>
      </c>
      <c r="AH15" s="30">
        <v>0.94670314183650039</v>
      </c>
      <c r="AI15" s="30">
        <v>0.40369059168756621</v>
      </c>
      <c r="AJ15" s="30">
        <v>8.0709494429624141E-3</v>
      </c>
      <c r="AK15" s="30">
        <v>2.3087563042264392E-2</v>
      </c>
      <c r="AL15" s="30">
        <v>1.3961731085438271</v>
      </c>
      <c r="AM15" s="30">
        <v>0.18328908231422616</v>
      </c>
      <c r="AN15" s="30">
        <v>0.53316024047386823</v>
      </c>
      <c r="AO15" s="30">
        <v>2.563794452730726E-2</v>
      </c>
      <c r="AP15" s="30">
        <v>6.8011207392369155E-3</v>
      </c>
      <c r="AQ15" s="30">
        <v>7.511908815706329E-4</v>
      </c>
      <c r="AR15" s="30">
        <v>0.11341919767363047</v>
      </c>
      <c r="AS15" s="30">
        <v>0.27892640118260303</v>
      </c>
      <c r="AT15" s="30">
        <v>1.0916268676370361E-2</v>
      </c>
      <c r="AU15" s="30">
        <v>7.5803575828491433E-3</v>
      </c>
      <c r="AV15" s="30">
        <v>0.18957384802500943</v>
      </c>
      <c r="AW15" s="30">
        <v>3.6606963775596946E-3</v>
      </c>
      <c r="AX15" s="30">
        <v>7.3496676472009879E-3</v>
      </c>
      <c r="AY15" s="30">
        <v>2.3644195072879634E-3</v>
      </c>
      <c r="AZ15" s="30">
        <v>1.6165336888920589E-2</v>
      </c>
      <c r="BA15" s="30">
        <v>1.5063904063995921</v>
      </c>
      <c r="BB15" s="30">
        <v>0.30073350608223798</v>
      </c>
      <c r="BC15" s="30">
        <v>0.19883623291864011</v>
      </c>
      <c r="BD15" s="30">
        <v>7.0487763466713788E-2</v>
      </c>
      <c r="BE15" s="30">
        <v>2.0494870332224981</v>
      </c>
      <c r="BF15" s="30">
        <v>1.0718982567895208</v>
      </c>
      <c r="BG15" s="30">
        <v>4.195101439514326E-2</v>
      </c>
      <c r="BH15" s="30">
        <v>0.65483738178794981</v>
      </c>
      <c r="BI15" s="30">
        <v>3.2194186957251791E-2</v>
      </c>
      <c r="BJ15" s="30">
        <v>0</v>
      </c>
      <c r="BK15" s="30">
        <v>3.988881236615862E-2</v>
      </c>
      <c r="BL15" s="30">
        <v>9.2606730208290244E-2</v>
      </c>
      <c r="BM15" s="31">
        <f t="shared" si="0"/>
        <v>17.660349953411789</v>
      </c>
      <c r="BO15" s="125">
        <v>18.472984433811202</v>
      </c>
      <c r="BP15" s="30">
        <v>9.2041951621874567</v>
      </c>
      <c r="BQ15" s="30">
        <v>0.53038084480538639</v>
      </c>
      <c r="BR15" s="30">
        <v>0</v>
      </c>
      <c r="BS15" s="30">
        <v>0</v>
      </c>
      <c r="BT15" s="30">
        <v>0.8182136155384474</v>
      </c>
      <c r="BU15" s="30">
        <v>1.0450310705573966E-3</v>
      </c>
      <c r="BV15" s="30">
        <v>0</v>
      </c>
      <c r="BW15" s="30">
        <v>4.3386849650026905E-2</v>
      </c>
      <c r="BX15" s="30">
        <v>0</v>
      </c>
      <c r="BY15" s="126">
        <v>23.635390473832675</v>
      </c>
      <c r="BZ15" s="30"/>
      <c r="CA15" s="43">
        <v>70.365944040028907</v>
      </c>
      <c r="CB15" s="47"/>
      <c r="CC15" s="193"/>
    </row>
    <row r="16" spans="1:81" x14ac:dyDescent="0.2">
      <c r="A16" s="28" t="s">
        <v>75</v>
      </c>
      <c r="B16" s="29" t="s">
        <v>134</v>
      </c>
      <c r="C16" s="30">
        <v>1.6099160056923936</v>
      </c>
      <c r="D16" s="30">
        <v>0.20488249417650387</v>
      </c>
      <c r="E16" s="30">
        <v>2.9967151192729689</v>
      </c>
      <c r="F16" s="30">
        <v>1.9797041234459991E-2</v>
      </c>
      <c r="G16" s="30">
        <v>6.4009664347372736E-2</v>
      </c>
      <c r="H16" s="30">
        <v>0.22811900241569896</v>
      </c>
      <c r="I16" s="30">
        <v>0.55330433050365446</v>
      </c>
      <c r="J16" s="30">
        <v>3.8953133425214381</v>
      </c>
      <c r="K16" s="30">
        <v>5.5069328001248277</v>
      </c>
      <c r="L16" s="30">
        <v>3.0913862283976337</v>
      </c>
      <c r="M16" s="30">
        <v>3.0286658510751447</v>
      </c>
      <c r="N16" s="30">
        <v>6.0469083151011356E-2</v>
      </c>
      <c r="O16" s="30">
        <v>0.61318210247142135</v>
      </c>
      <c r="P16" s="30">
        <v>5.5345475812137055</v>
      </c>
      <c r="Q16" s="30">
        <v>0.53899677918362032</v>
      </c>
      <c r="R16" s="30">
        <v>74.312030649201589</v>
      </c>
      <c r="S16" s="30">
        <v>0.32612032253885564</v>
      </c>
      <c r="T16" s="30">
        <v>0.74231922793061611</v>
      </c>
      <c r="U16" s="30">
        <v>3.677177535490308</v>
      </c>
      <c r="V16" s="30">
        <v>17.162507288531256</v>
      </c>
      <c r="W16" s="30">
        <v>1.1507301160260222</v>
      </c>
      <c r="X16" s="30">
        <v>0.68415122291637342</v>
      </c>
      <c r="Y16" s="30">
        <v>0.19721210368377223</v>
      </c>
      <c r="Z16" s="30">
        <v>3.6885458819813664E-2</v>
      </c>
      <c r="AA16" s="30">
        <v>1.9401541094076914E-2</v>
      </c>
      <c r="AB16" s="30">
        <v>0.60361743878878893</v>
      </c>
      <c r="AC16" s="30">
        <v>5.4229379730631319E-3</v>
      </c>
      <c r="AD16" s="30">
        <v>1.7796390498336532E-3</v>
      </c>
      <c r="AE16" s="30">
        <v>465.66563373004993</v>
      </c>
      <c r="AF16" s="30">
        <v>47.928715930142786</v>
      </c>
      <c r="AG16" s="30">
        <v>2.5490751910458957</v>
      </c>
      <c r="AH16" s="30">
        <v>6.3777755441448711</v>
      </c>
      <c r="AI16" s="30">
        <v>0.6784293477811344</v>
      </c>
      <c r="AJ16" s="30">
        <v>1.2070778449276729E-2</v>
      </c>
      <c r="AK16" s="30">
        <v>6.3414940367193695E-2</v>
      </c>
      <c r="AL16" s="30">
        <v>15.572515875120853</v>
      </c>
      <c r="AM16" s="30">
        <v>0.98017820052486959</v>
      </c>
      <c r="AN16" s="30">
        <v>1.4153712748766296</v>
      </c>
      <c r="AO16" s="30">
        <v>0.22744333839121569</v>
      </c>
      <c r="AP16" s="30">
        <v>0.14046493017951669</v>
      </c>
      <c r="AQ16" s="30">
        <v>8.8833298540313185E-3</v>
      </c>
      <c r="AR16" s="30">
        <v>0.30552497025979714</v>
      </c>
      <c r="AS16" s="30">
        <v>0.22765271886106914</v>
      </c>
      <c r="AT16" s="30">
        <v>0.17426924789215387</v>
      </c>
      <c r="AU16" s="30">
        <v>0.28277860265893412</v>
      </c>
      <c r="AV16" s="30">
        <v>1.4299196524289932</v>
      </c>
      <c r="AW16" s="30">
        <v>2.6494635356083944</v>
      </c>
      <c r="AX16" s="30">
        <v>2.0659855497503442E-2</v>
      </c>
      <c r="AY16" s="30">
        <v>2.4901228070000937E-2</v>
      </c>
      <c r="AZ16" s="30">
        <v>0.14979715887359019</v>
      </c>
      <c r="BA16" s="30">
        <v>5.0705880816292792</v>
      </c>
      <c r="BB16" s="30">
        <v>0.11121120115448464</v>
      </c>
      <c r="BC16" s="30">
        <v>0.59619462199392215</v>
      </c>
      <c r="BD16" s="30">
        <v>4.1932535782439273E-2</v>
      </c>
      <c r="BE16" s="30">
        <v>7.593854242000015</v>
      </c>
      <c r="BF16" s="30">
        <v>2.796788955323954</v>
      </c>
      <c r="BG16" s="30">
        <v>0.12277007690797652</v>
      </c>
      <c r="BH16" s="30">
        <v>0.71906749646963353</v>
      </c>
      <c r="BI16" s="30">
        <v>0.11160544357141575</v>
      </c>
      <c r="BJ16" s="30">
        <v>0</v>
      </c>
      <c r="BK16" s="30">
        <v>0.42865061430251933</v>
      </c>
      <c r="BL16" s="30">
        <v>0.97502326307855136</v>
      </c>
      <c r="BM16" s="31">
        <f t="shared" si="0"/>
        <v>692.31821882111933</v>
      </c>
      <c r="BO16" s="125">
        <v>1271.1723270194589</v>
      </c>
      <c r="BP16" s="30">
        <v>16.860493196504226</v>
      </c>
      <c r="BQ16" s="30">
        <v>9.6995068091113872</v>
      </c>
      <c r="BR16" s="30">
        <v>0</v>
      </c>
      <c r="BS16" s="30">
        <v>0</v>
      </c>
      <c r="BT16" s="30">
        <v>110.30541253885416</v>
      </c>
      <c r="BU16" s="30">
        <v>1.766409749168395</v>
      </c>
      <c r="BV16" s="30">
        <v>0</v>
      </c>
      <c r="BW16" s="30">
        <v>4.8452349570372262E-2</v>
      </c>
      <c r="BX16" s="30">
        <v>0</v>
      </c>
      <c r="BY16" s="126">
        <v>889.43876021813185</v>
      </c>
      <c r="BZ16" s="30"/>
      <c r="CA16" s="43">
        <v>2991.6093864386398</v>
      </c>
      <c r="CB16" s="47"/>
      <c r="CC16" s="193"/>
    </row>
    <row r="17" spans="1:81" x14ac:dyDescent="0.2">
      <c r="A17" s="28" t="s">
        <v>76</v>
      </c>
      <c r="B17" s="29" t="s">
        <v>135</v>
      </c>
      <c r="C17" s="30">
        <v>9.3188642398177507E-2</v>
      </c>
      <c r="D17" s="30">
        <v>1.600259461771749E-3</v>
      </c>
      <c r="E17" s="30">
        <v>9.7473722828924638E-4</v>
      </c>
      <c r="F17" s="30">
        <v>4.4115701014019396E-5</v>
      </c>
      <c r="G17" s="30">
        <v>4.9347648826774566E-2</v>
      </c>
      <c r="H17" s="30">
        <v>1.5804476028651804E-2</v>
      </c>
      <c r="I17" s="30">
        <v>0.42128394144376208</v>
      </c>
      <c r="J17" s="30">
        <v>1.9580878277617237</v>
      </c>
      <c r="K17" s="30">
        <v>1.4575051042096239</v>
      </c>
      <c r="L17" s="30">
        <v>1.3581149363297758</v>
      </c>
      <c r="M17" s="30">
        <v>9.7457391529326601E-2</v>
      </c>
      <c r="N17" s="30">
        <v>0.26323752582266252</v>
      </c>
      <c r="O17" s="30">
        <v>7.2679569450277599E-3</v>
      </c>
      <c r="P17" s="30">
        <v>3.5509882797587308E-2</v>
      </c>
      <c r="Q17" s="30">
        <v>0.12048251922713357</v>
      </c>
      <c r="R17" s="30">
        <v>0.10766553603015666</v>
      </c>
      <c r="S17" s="30">
        <v>1.0523177039366398E-3</v>
      </c>
      <c r="T17" s="30">
        <v>6.6715956044550336E-3</v>
      </c>
      <c r="U17" s="30">
        <v>1.4094502047505912E-2</v>
      </c>
      <c r="V17" s="30">
        <v>3.1218003294897934E-2</v>
      </c>
      <c r="W17" s="30">
        <v>4.3912036219560359E-3</v>
      </c>
      <c r="X17" s="30">
        <v>1.4273988361380907E-3</v>
      </c>
      <c r="Y17" s="30">
        <v>4.0352558431403292E-2</v>
      </c>
      <c r="Z17" s="30">
        <v>7.8506871854362743E-3</v>
      </c>
      <c r="AA17" s="30">
        <v>2.32152468418623E-3</v>
      </c>
      <c r="AB17" s="30">
        <v>7.2226880182269595E-2</v>
      </c>
      <c r="AC17" s="30">
        <v>1.61690675089962E-3</v>
      </c>
      <c r="AD17" s="30">
        <v>5.3061834897136456E-4</v>
      </c>
      <c r="AE17" s="30">
        <v>9.930210299485713E-2</v>
      </c>
      <c r="AF17" s="30">
        <v>1.5506310635376067E-2</v>
      </c>
      <c r="AG17" s="30">
        <v>0.3334468675633967</v>
      </c>
      <c r="AH17" s="30">
        <v>0.46505051330759067</v>
      </c>
      <c r="AI17" s="30">
        <v>0.1943914003635682</v>
      </c>
      <c r="AJ17" s="30">
        <v>1.5101963328412231E-2</v>
      </c>
      <c r="AK17" s="30">
        <v>1.6066514131405182E-2</v>
      </c>
      <c r="AL17" s="30">
        <v>0.33304557309576799</v>
      </c>
      <c r="AM17" s="30">
        <v>0.25632685010857115</v>
      </c>
      <c r="AN17" s="30">
        <v>0.15971346960370855</v>
      </c>
      <c r="AO17" s="30">
        <v>6.3844751857798213E-2</v>
      </c>
      <c r="AP17" s="30">
        <v>7.2223723803697529E-2</v>
      </c>
      <c r="AQ17" s="30">
        <v>1.8368601664514664E-2</v>
      </c>
      <c r="AR17" s="30">
        <v>0.17493381585236187</v>
      </c>
      <c r="AS17" s="30">
        <v>0.21948037344145649</v>
      </c>
      <c r="AT17" s="30">
        <v>6.4350292443790771E-2</v>
      </c>
      <c r="AU17" s="30">
        <v>2.6347313478280655E-2</v>
      </c>
      <c r="AV17" s="30">
        <v>0.10574953108806927</v>
      </c>
      <c r="AW17" s="30">
        <v>5.9156287149134339E-2</v>
      </c>
      <c r="AX17" s="30">
        <v>1.5974880343728834E-2</v>
      </c>
      <c r="AY17" s="30">
        <v>1.6780358427532973E-2</v>
      </c>
      <c r="AZ17" s="30">
        <v>3.3813677783800858E-2</v>
      </c>
      <c r="BA17" s="30">
        <v>9.6827413182918154E-2</v>
      </c>
      <c r="BB17" s="30">
        <v>4.7530673186406448E-2</v>
      </c>
      <c r="BC17" s="30">
        <v>3.0918935711943523E-2</v>
      </c>
      <c r="BD17" s="30">
        <v>5.885391236609242E-3</v>
      </c>
      <c r="BE17" s="30">
        <v>8.6771529311926082E-2</v>
      </c>
      <c r="BF17" s="30">
        <v>0.2165267360389212</v>
      </c>
      <c r="BG17" s="30">
        <v>1.9327156214317933E-2</v>
      </c>
      <c r="BH17" s="30">
        <v>1.9450021185688712E-2</v>
      </c>
      <c r="BI17" s="30">
        <v>5.6195465040022256E-2</v>
      </c>
      <c r="BJ17" s="30">
        <v>0</v>
      </c>
      <c r="BK17" s="30">
        <v>1.4505266524467566E-2</v>
      </c>
      <c r="BL17" s="30">
        <v>8.1072777096663409E-3</v>
      </c>
      <c r="BM17" s="31">
        <f t="shared" si="0"/>
        <v>9.5323477362432225</v>
      </c>
      <c r="BO17" s="125">
        <v>196.85402028024933</v>
      </c>
      <c r="BP17" s="30">
        <v>31.254827543178092</v>
      </c>
      <c r="BQ17" s="30">
        <v>6.9745622970793928</v>
      </c>
      <c r="BR17" s="30">
        <v>88.095395071531271</v>
      </c>
      <c r="BS17" s="30">
        <v>0</v>
      </c>
      <c r="BT17" s="30">
        <v>49.961969781457263</v>
      </c>
      <c r="BU17" s="30">
        <v>44.844200001645405</v>
      </c>
      <c r="BV17" s="30">
        <v>0.83191876949877508</v>
      </c>
      <c r="BW17" s="30">
        <v>23.864791836713323</v>
      </c>
      <c r="BX17" s="30">
        <v>0</v>
      </c>
      <c r="BY17" s="126">
        <v>531.39302806820376</v>
      </c>
      <c r="BZ17" s="30"/>
      <c r="CA17" s="43">
        <v>983.60705973498204</v>
      </c>
      <c r="CB17" s="47"/>
      <c r="CC17" s="193"/>
    </row>
    <row r="18" spans="1:81" x14ac:dyDescent="0.2">
      <c r="A18" s="28" t="s">
        <v>77</v>
      </c>
      <c r="B18" s="33" t="s">
        <v>4</v>
      </c>
      <c r="C18" s="30">
        <v>5.2766360159680712</v>
      </c>
      <c r="D18" s="30">
        <v>5.36120536182165</v>
      </c>
      <c r="E18" s="30">
        <v>1.4266909963688976</v>
      </c>
      <c r="F18" s="30">
        <v>5.8793101542739135E-3</v>
      </c>
      <c r="G18" s="30">
        <v>24.123351710272427</v>
      </c>
      <c r="H18" s="30">
        <v>1.2971845457255442</v>
      </c>
      <c r="I18" s="30">
        <v>17.450532098627427</v>
      </c>
      <c r="J18" s="30">
        <v>72.896936990445226</v>
      </c>
      <c r="K18" s="30">
        <v>59.949249575378161</v>
      </c>
      <c r="L18" s="30">
        <v>56.042799427533112</v>
      </c>
      <c r="M18" s="30">
        <v>7.442462649178192</v>
      </c>
      <c r="N18" s="30">
        <v>18.614487029423021</v>
      </c>
      <c r="O18" s="30">
        <v>1.134256605919979</v>
      </c>
      <c r="P18" s="30">
        <v>13.862568829351092</v>
      </c>
      <c r="Q18" s="30">
        <v>8.3269383171574702</v>
      </c>
      <c r="R18" s="30">
        <v>14.021575242940571</v>
      </c>
      <c r="S18" s="30">
        <v>0.26206693158635774</v>
      </c>
      <c r="T18" s="30">
        <v>1.6416195800838755</v>
      </c>
      <c r="U18" s="30">
        <v>3.5574536818250544</v>
      </c>
      <c r="V18" s="30">
        <v>18.56144925687812</v>
      </c>
      <c r="W18" s="30">
        <v>41.087014937183213</v>
      </c>
      <c r="X18" s="30">
        <v>0.5358389435261488</v>
      </c>
      <c r="Y18" s="30">
        <v>18.614098375716182</v>
      </c>
      <c r="Z18" s="30">
        <v>9.3630821258128556</v>
      </c>
      <c r="AA18" s="30">
        <v>0.77336667071589038</v>
      </c>
      <c r="AB18" s="30">
        <v>24.06085200956521</v>
      </c>
      <c r="AC18" s="30">
        <v>2.754460329942344</v>
      </c>
      <c r="AD18" s="30">
        <v>0.90392794251612418</v>
      </c>
      <c r="AE18" s="30">
        <v>13.650203757592999</v>
      </c>
      <c r="AF18" s="30">
        <v>1.9881897842794718</v>
      </c>
      <c r="AG18" s="30">
        <v>51.890570017817538</v>
      </c>
      <c r="AH18" s="30">
        <v>65.464116722600366</v>
      </c>
      <c r="AI18" s="30">
        <v>92.860120334645742</v>
      </c>
      <c r="AJ18" s="30">
        <v>13.022299024359572</v>
      </c>
      <c r="AK18" s="30">
        <v>23.200799480328804</v>
      </c>
      <c r="AL18" s="30">
        <v>7.0334747884423487</v>
      </c>
      <c r="AM18" s="30">
        <v>31.688243023239124</v>
      </c>
      <c r="AN18" s="30">
        <v>34.232929709690026</v>
      </c>
      <c r="AO18" s="30">
        <v>63.120108886616059</v>
      </c>
      <c r="AP18" s="30">
        <v>88.56145612089982</v>
      </c>
      <c r="AQ18" s="30">
        <v>5.38013606776481</v>
      </c>
      <c r="AR18" s="30">
        <v>59.810375458678948</v>
      </c>
      <c r="AS18" s="30">
        <v>99.931378103933426</v>
      </c>
      <c r="AT18" s="30">
        <v>0.79184112548791818</v>
      </c>
      <c r="AU18" s="30">
        <v>11.697034538917448</v>
      </c>
      <c r="AV18" s="30">
        <v>42.685607844960131</v>
      </c>
      <c r="AW18" s="30">
        <v>12.426398028804828</v>
      </c>
      <c r="AX18" s="30">
        <v>2.8686385861556354</v>
      </c>
      <c r="AY18" s="30">
        <v>2.8060007080363727</v>
      </c>
      <c r="AZ18" s="30">
        <v>8.8562043190517823</v>
      </c>
      <c r="BA18" s="30">
        <v>23.99930616352157</v>
      </c>
      <c r="BB18" s="30">
        <v>11.303759826507138</v>
      </c>
      <c r="BC18" s="30">
        <v>5.1791119680964712</v>
      </c>
      <c r="BD18" s="30">
        <v>1.2946339115432706</v>
      </c>
      <c r="BE18" s="30">
        <v>108.25290400616177</v>
      </c>
      <c r="BF18" s="30">
        <v>35.944813681806856</v>
      </c>
      <c r="BG18" s="30">
        <v>9.4412676208709527</v>
      </c>
      <c r="BH18" s="30">
        <v>14.365641640365631</v>
      </c>
      <c r="BI18" s="30">
        <v>4.7864323627097978</v>
      </c>
      <c r="BJ18" s="30">
        <v>0</v>
      </c>
      <c r="BK18" s="30">
        <v>65.027912012232647</v>
      </c>
      <c r="BL18" s="30">
        <v>4.0127305984003288</v>
      </c>
      <c r="BM18" s="31">
        <f t="shared" si="0"/>
        <v>1446.9226257161365</v>
      </c>
      <c r="BO18" s="125">
        <v>816.58608035854024</v>
      </c>
      <c r="BP18" s="30">
        <v>2486.1778994801939</v>
      </c>
      <c r="BQ18" s="30">
        <v>0</v>
      </c>
      <c r="BR18" s="30">
        <v>21.245765199352761</v>
      </c>
      <c r="BS18" s="30">
        <v>2.4625034508866128</v>
      </c>
      <c r="BT18" s="30">
        <v>50.651882384788088</v>
      </c>
      <c r="BU18" s="30">
        <v>4.7935249797851909E-3</v>
      </c>
      <c r="BV18" s="30">
        <v>0</v>
      </c>
      <c r="BW18" s="30">
        <v>2.4045958154524993</v>
      </c>
      <c r="BX18" s="30">
        <v>0</v>
      </c>
      <c r="BY18" s="126">
        <v>116.12198016054282</v>
      </c>
      <c r="BZ18" s="30"/>
      <c r="CA18" s="43">
        <v>4942.5780000000004</v>
      </c>
      <c r="CB18" s="47"/>
      <c r="CC18" s="193"/>
    </row>
    <row r="19" spans="1:81" x14ac:dyDescent="0.2">
      <c r="A19" s="28" t="s">
        <v>78</v>
      </c>
      <c r="B19" s="33" t="s">
        <v>18</v>
      </c>
      <c r="C19" s="30">
        <v>0.11162959292316135</v>
      </c>
      <c r="D19" s="30">
        <v>4.4482894820087271E-2</v>
      </c>
      <c r="E19" s="30">
        <v>9.4370541185636883E-2</v>
      </c>
      <c r="F19" s="30">
        <v>1.2808956045608599E-5</v>
      </c>
      <c r="G19" s="30">
        <v>1.6890484806966304E-2</v>
      </c>
      <c r="H19" s="30">
        <v>0.13142740022462451</v>
      </c>
      <c r="I19" s="30">
        <v>0.61386186728599523</v>
      </c>
      <c r="J19" s="30">
        <v>4.410172432130258</v>
      </c>
      <c r="K19" s="30">
        <v>1.3669170808018329</v>
      </c>
      <c r="L19" s="30">
        <v>1.9175481100064202</v>
      </c>
      <c r="M19" s="30">
        <v>0.82539600818477865</v>
      </c>
      <c r="N19" s="30">
        <v>0.2530267725479895</v>
      </c>
      <c r="O19" s="30">
        <v>4.527822986750505E-3</v>
      </c>
      <c r="P19" s="30">
        <v>0.66776467334663769</v>
      </c>
      <c r="Q19" s="30">
        <v>0.22624007798388718</v>
      </c>
      <c r="R19" s="30">
        <v>1.2538935265098254</v>
      </c>
      <c r="S19" s="30">
        <v>7.5832042280494838E-2</v>
      </c>
      <c r="T19" s="30">
        <v>4.722283480189644E-3</v>
      </c>
      <c r="U19" s="30">
        <v>1.0006683301618217E-2</v>
      </c>
      <c r="V19" s="30">
        <v>5.0188741177549456E-2</v>
      </c>
      <c r="W19" s="30">
        <v>8.0734374256868999E-3</v>
      </c>
      <c r="X19" s="30">
        <v>1.3420966604693299E-3</v>
      </c>
      <c r="Y19" s="30">
        <v>2.051820068265727E-3</v>
      </c>
      <c r="Z19" s="30">
        <v>2.5021423930878195E-4</v>
      </c>
      <c r="AA19" s="30">
        <v>8.8953154898888855E-5</v>
      </c>
      <c r="AB19" s="30">
        <v>2.767495389767536E-3</v>
      </c>
      <c r="AC19" s="30">
        <v>6.5441146027222423E-4</v>
      </c>
      <c r="AD19" s="30">
        <v>2.1475742395434203E-4</v>
      </c>
      <c r="AE19" s="30">
        <v>0.63879176924638936</v>
      </c>
      <c r="AF19" s="30">
        <v>9.3041781093634882E-2</v>
      </c>
      <c r="AG19" s="30">
        <v>1.1335120867033576E-2</v>
      </c>
      <c r="AH19" s="30">
        <v>0.54156745345781965</v>
      </c>
      <c r="AI19" s="30">
        <v>2.7486145513090699E-3</v>
      </c>
      <c r="AJ19" s="30">
        <v>7.0336100030359415E-5</v>
      </c>
      <c r="AK19" s="30">
        <v>4.1821220674268975E-4</v>
      </c>
      <c r="AL19" s="30">
        <v>0.61117215377495371</v>
      </c>
      <c r="AM19" s="30">
        <v>1.0218398798759222E-2</v>
      </c>
      <c r="AN19" s="30">
        <v>3.3546222778853385E-2</v>
      </c>
      <c r="AO19" s="30">
        <v>1.726126662589898E-3</v>
      </c>
      <c r="AP19" s="30">
        <v>0.23523241062365419</v>
      </c>
      <c r="AQ19" s="30">
        <v>9.0884280664727084E-3</v>
      </c>
      <c r="AR19" s="30">
        <v>5.9028413705230756E-3</v>
      </c>
      <c r="AS19" s="30">
        <v>0.38480169772223582</v>
      </c>
      <c r="AT19" s="30">
        <v>1.0418518282318296E-3</v>
      </c>
      <c r="AU19" s="30">
        <v>2.2885323343558241E-4</v>
      </c>
      <c r="AV19" s="30">
        <v>0.20286198359807631</v>
      </c>
      <c r="AW19" s="30">
        <v>1.6846750250258887E-2</v>
      </c>
      <c r="AX19" s="30">
        <v>1.9005651114977623E-4</v>
      </c>
      <c r="AY19" s="30">
        <v>3.2769680978388729E-4</v>
      </c>
      <c r="AZ19" s="30">
        <v>1.636440074632154E-3</v>
      </c>
      <c r="BA19" s="30">
        <v>3.2650952953193935</v>
      </c>
      <c r="BB19" s="30">
        <v>2.0925796495391462E-3</v>
      </c>
      <c r="BC19" s="30">
        <v>1.992602578863223E-3</v>
      </c>
      <c r="BD19" s="30">
        <v>6.020176498572901E-4</v>
      </c>
      <c r="BE19" s="30">
        <v>0.67942772903347626</v>
      </c>
      <c r="BF19" s="30">
        <v>1.5486298521091093</v>
      </c>
      <c r="BG19" s="30">
        <v>2.3440578070889661E-3</v>
      </c>
      <c r="BH19" s="30">
        <v>1.3155894625137726E-2</v>
      </c>
      <c r="BI19" s="30">
        <v>5.4379984247097078E-4</v>
      </c>
      <c r="BJ19" s="30">
        <v>0</v>
      </c>
      <c r="BK19" s="30">
        <v>0.25953798720702598</v>
      </c>
      <c r="BL19" s="30">
        <v>5.7474973848469476E-3</v>
      </c>
      <c r="BM19" s="31">
        <f t="shared" si="0"/>
        <v>20.676319543596748</v>
      </c>
      <c r="BO19" s="125">
        <v>130.87805294759576</v>
      </c>
      <c r="BP19" s="30">
        <v>111.42393560391773</v>
      </c>
      <c r="BQ19" s="30">
        <v>0</v>
      </c>
      <c r="BR19" s="30">
        <v>52.786150204543617</v>
      </c>
      <c r="BS19" s="30">
        <v>4.674397973225477</v>
      </c>
      <c r="BT19" s="30">
        <v>15.529783454429852</v>
      </c>
      <c r="BU19" s="30">
        <v>0.79695135019697638</v>
      </c>
      <c r="BV19" s="30">
        <v>0</v>
      </c>
      <c r="BW19" s="30">
        <v>0.10304833393634456</v>
      </c>
      <c r="BX19" s="30">
        <v>0.23968723656352869</v>
      </c>
      <c r="BY19" s="126">
        <v>80.501675417055324</v>
      </c>
      <c r="BZ19" s="30"/>
      <c r="CA19" s="43">
        <v>417.61</v>
      </c>
      <c r="CB19" s="47"/>
      <c r="CC19" s="193"/>
    </row>
    <row r="20" spans="1:81" x14ac:dyDescent="0.2">
      <c r="A20" s="28" t="s">
        <v>79</v>
      </c>
      <c r="B20" s="29" t="s">
        <v>136</v>
      </c>
      <c r="C20" s="30">
        <v>4.1163272815703174</v>
      </c>
      <c r="D20" s="30">
        <v>1.787755376776796</v>
      </c>
      <c r="E20" s="30">
        <v>2.4139599761006263</v>
      </c>
      <c r="F20" s="30">
        <v>5.3792818973582776E-3</v>
      </c>
      <c r="G20" s="30">
        <v>1.4168431252474931</v>
      </c>
      <c r="H20" s="30">
        <v>4.512226497066365</v>
      </c>
      <c r="I20" s="30">
        <v>5.9876067481655477</v>
      </c>
      <c r="J20" s="30">
        <v>25.819799440911439</v>
      </c>
      <c r="K20" s="30">
        <v>17.507832833502501</v>
      </c>
      <c r="L20" s="30">
        <v>14.727719090299789</v>
      </c>
      <c r="M20" s="30">
        <v>3.2110159402101832</v>
      </c>
      <c r="N20" s="30">
        <v>2.9652087544944861</v>
      </c>
      <c r="O20" s="30">
        <v>0.73203372667437994</v>
      </c>
      <c r="P20" s="30">
        <v>1.028266144402822</v>
      </c>
      <c r="Q20" s="30">
        <v>3.5298494376903355</v>
      </c>
      <c r="R20" s="30">
        <v>7.6733167579429953</v>
      </c>
      <c r="S20" s="30">
        <v>7.4106275019049178E-2</v>
      </c>
      <c r="T20" s="30">
        <v>9.2140713589011849</v>
      </c>
      <c r="U20" s="30">
        <v>1.1483360536502003</v>
      </c>
      <c r="V20" s="30">
        <v>3.7086744667644562</v>
      </c>
      <c r="W20" s="30">
        <v>1.1425664458741771</v>
      </c>
      <c r="X20" s="30">
        <v>0.4159768206794946</v>
      </c>
      <c r="Y20" s="30">
        <v>3.5933326114788313</v>
      </c>
      <c r="Z20" s="30">
        <v>0.8685911085302066</v>
      </c>
      <c r="AA20" s="30">
        <v>0.12001546845951357</v>
      </c>
      <c r="AB20" s="30">
        <v>3.7339007935135453</v>
      </c>
      <c r="AC20" s="30">
        <v>4.1658876801746292E-2</v>
      </c>
      <c r="AD20" s="30">
        <v>1.3671143630419772E-2</v>
      </c>
      <c r="AE20" s="30">
        <v>10.138111365830106</v>
      </c>
      <c r="AF20" s="30">
        <v>1.4766438514310747</v>
      </c>
      <c r="AG20" s="30">
        <v>6.6396742622872758</v>
      </c>
      <c r="AH20" s="30">
        <v>16.778699487111336</v>
      </c>
      <c r="AI20" s="30">
        <v>3.8958808446822801</v>
      </c>
      <c r="AJ20" s="30">
        <v>0.18447197711170993</v>
      </c>
      <c r="AK20" s="30">
        <v>0.56795399923749368</v>
      </c>
      <c r="AL20" s="30">
        <v>0.26177882635384958</v>
      </c>
      <c r="AM20" s="30">
        <v>1.2969817351988371</v>
      </c>
      <c r="AN20" s="30">
        <v>3.4280045252275286</v>
      </c>
      <c r="AO20" s="30">
        <v>1.2058143410345055</v>
      </c>
      <c r="AP20" s="30">
        <v>1.4150446199410123</v>
      </c>
      <c r="AQ20" s="30">
        <v>0.13288941985658229</v>
      </c>
      <c r="AR20" s="30">
        <v>4.8611811606004052</v>
      </c>
      <c r="AS20" s="30">
        <v>4.0450804277025343</v>
      </c>
      <c r="AT20" s="30">
        <v>1.1560795652909208</v>
      </c>
      <c r="AU20" s="30">
        <v>0.36978709067398496</v>
      </c>
      <c r="AV20" s="30">
        <v>1.7195462650705964</v>
      </c>
      <c r="AW20" s="30">
        <v>0.55846082123082297</v>
      </c>
      <c r="AX20" s="30">
        <v>0.28422227937160377</v>
      </c>
      <c r="AY20" s="30">
        <v>0.31413792384899353</v>
      </c>
      <c r="AZ20" s="30">
        <v>0.52642452845285914</v>
      </c>
      <c r="BA20" s="30">
        <v>5.3166244943892425</v>
      </c>
      <c r="BB20" s="30">
        <v>0.72259923000124116</v>
      </c>
      <c r="BC20" s="30">
        <v>0.55896073573503424</v>
      </c>
      <c r="BD20" s="30">
        <v>0.26498219742357815</v>
      </c>
      <c r="BE20" s="30">
        <v>17.007513572711527</v>
      </c>
      <c r="BF20" s="30">
        <v>15.93105437957235</v>
      </c>
      <c r="BG20" s="30">
        <v>0.47932019679413818</v>
      </c>
      <c r="BH20" s="30">
        <v>1.582275912378905</v>
      </c>
      <c r="BI20" s="30">
        <v>0.70210637448760627</v>
      </c>
      <c r="BJ20" s="30">
        <v>0</v>
      </c>
      <c r="BK20" s="30">
        <v>2.1171742133053866</v>
      </c>
      <c r="BL20" s="30">
        <v>1.229119553116871</v>
      </c>
      <c r="BM20" s="31">
        <f t="shared" si="0"/>
        <v>228.67864201371845</v>
      </c>
      <c r="BO20" s="125">
        <v>173.74817699780326</v>
      </c>
      <c r="BP20" s="30">
        <v>40.435187617389197</v>
      </c>
      <c r="BQ20" s="30">
        <v>0</v>
      </c>
      <c r="BR20" s="30">
        <v>26.551038366436707</v>
      </c>
      <c r="BS20" s="30">
        <v>3.4346881077846545</v>
      </c>
      <c r="BT20" s="30">
        <v>7.167809683486797</v>
      </c>
      <c r="BU20" s="30">
        <v>0.51160677695657053</v>
      </c>
      <c r="BV20" s="30">
        <v>0</v>
      </c>
      <c r="BW20" s="30">
        <v>4.9268821848818173E-2</v>
      </c>
      <c r="BX20" s="30">
        <v>0.12898466111723603</v>
      </c>
      <c r="BY20" s="126">
        <v>36.018616352931723</v>
      </c>
      <c r="BZ20" s="30"/>
      <c r="CA20" s="43">
        <v>516.72400000000005</v>
      </c>
      <c r="CB20" s="47"/>
      <c r="CC20" s="193"/>
    </row>
    <row r="21" spans="1:81" x14ac:dyDescent="0.2">
      <c r="A21" s="28" t="s">
        <v>80</v>
      </c>
      <c r="B21" s="29" t="s">
        <v>137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1.0375865579534145</v>
      </c>
      <c r="J21" s="30">
        <v>5.0964095997338346</v>
      </c>
      <c r="K21" s="30">
        <v>2.3280789793228682</v>
      </c>
      <c r="L21" s="30">
        <v>3.3455770700387002</v>
      </c>
      <c r="M21" s="30">
        <v>0.7622498209548888</v>
      </c>
      <c r="N21" s="30">
        <v>0.94682650269035862</v>
      </c>
      <c r="O21" s="30">
        <v>0.65162183661262896</v>
      </c>
      <c r="P21" s="30">
        <v>0.55806188101522358</v>
      </c>
      <c r="Q21" s="30">
        <v>0.89541879341482944</v>
      </c>
      <c r="R21" s="30">
        <v>2.4714748052160518</v>
      </c>
      <c r="S21" s="30">
        <v>0.14166999955673587</v>
      </c>
      <c r="T21" s="30">
        <v>9.6564172878050025E-2</v>
      </c>
      <c r="U21" s="30">
        <v>10.065513028078465</v>
      </c>
      <c r="V21" s="30">
        <v>9.5852739145763408</v>
      </c>
      <c r="W21" s="30">
        <v>0.40011717464337349</v>
      </c>
      <c r="X21" s="30">
        <v>2.7910297708631848E-2</v>
      </c>
      <c r="Y21" s="30">
        <v>2.9821653268466544</v>
      </c>
      <c r="Z21" s="30">
        <v>1.0836217275577631</v>
      </c>
      <c r="AA21" s="30">
        <v>0.64208715536366401</v>
      </c>
      <c r="AB21" s="30">
        <v>6.6588353698368588</v>
      </c>
      <c r="AC21" s="30">
        <v>0.25399714780080973</v>
      </c>
      <c r="AD21" s="30">
        <v>0.17826100906366546</v>
      </c>
      <c r="AE21" s="30">
        <v>2.4042746637517181</v>
      </c>
      <c r="AF21" s="30">
        <v>0.3501892286709743</v>
      </c>
      <c r="AG21" s="30">
        <v>0</v>
      </c>
      <c r="AH21" s="30">
        <v>0</v>
      </c>
      <c r="AI21" s="30">
        <v>0</v>
      </c>
      <c r="AJ21" s="30">
        <v>0</v>
      </c>
      <c r="AK21" s="30">
        <v>3.0237120577998247</v>
      </c>
      <c r="AL21" s="30">
        <v>0</v>
      </c>
      <c r="AM21" s="30">
        <v>0</v>
      </c>
      <c r="AN21" s="30">
        <v>0</v>
      </c>
      <c r="AO21" s="30">
        <v>12.421992708944424</v>
      </c>
      <c r="AP21" s="30">
        <v>5.1012870097443512</v>
      </c>
      <c r="AQ21" s="30">
        <v>0.72380462862049766</v>
      </c>
      <c r="AR21" s="30">
        <v>4.511273205969311</v>
      </c>
      <c r="AS21" s="30">
        <v>10.307797548837728</v>
      </c>
      <c r="AT21" s="30">
        <v>0</v>
      </c>
      <c r="AU21" s="30">
        <v>1.9165916937590599</v>
      </c>
      <c r="AV21" s="30">
        <v>2.79230033412064</v>
      </c>
      <c r="AW21" s="30">
        <v>0.27282795328709436</v>
      </c>
      <c r="AX21" s="30">
        <v>6.8603658438640622E-2</v>
      </c>
      <c r="AY21" s="30">
        <v>0.13202890505242143</v>
      </c>
      <c r="AZ21" s="30">
        <v>0.30180152188316117</v>
      </c>
      <c r="BA21" s="30">
        <v>4.3481630204173811</v>
      </c>
      <c r="BB21" s="30">
        <v>0.44996553003713913</v>
      </c>
      <c r="BC21" s="30">
        <v>0.2923513723826644</v>
      </c>
      <c r="BD21" s="30">
        <v>0.55459426518170563</v>
      </c>
      <c r="BE21" s="30">
        <v>40.114424284575421</v>
      </c>
      <c r="BF21" s="30">
        <v>28.957878584515583</v>
      </c>
      <c r="BG21" s="30">
        <v>0.59671581520571459</v>
      </c>
      <c r="BH21" s="30">
        <v>2.0311806659527023</v>
      </c>
      <c r="BI21" s="30">
        <v>0.56922899457491893</v>
      </c>
      <c r="BJ21" s="30">
        <v>0</v>
      </c>
      <c r="BK21" s="30">
        <v>0.92732974951969394</v>
      </c>
      <c r="BL21" s="30">
        <v>0.91576985643095765</v>
      </c>
      <c r="BM21" s="31">
        <f t="shared" si="0"/>
        <v>174.29540942853757</v>
      </c>
      <c r="BO21" s="125">
        <v>213.94789602092635</v>
      </c>
      <c r="BP21" s="30">
        <v>127.83855317386636</v>
      </c>
      <c r="BQ21" s="30">
        <v>0</v>
      </c>
      <c r="BR21" s="30">
        <v>0</v>
      </c>
      <c r="BS21" s="30">
        <v>0</v>
      </c>
      <c r="BT21" s="30">
        <v>56.096112153882352</v>
      </c>
      <c r="BU21" s="30">
        <v>7.641343153191596E-2</v>
      </c>
      <c r="BV21" s="30">
        <v>0</v>
      </c>
      <c r="BW21" s="30">
        <v>1.8080855417608777E-2</v>
      </c>
      <c r="BX21" s="30">
        <v>0</v>
      </c>
      <c r="BY21" s="126">
        <v>0</v>
      </c>
      <c r="BZ21" s="30"/>
      <c r="CA21" s="43">
        <v>572.27244437824993</v>
      </c>
      <c r="CB21" s="47"/>
      <c r="CC21" s="193"/>
    </row>
    <row r="22" spans="1:81" x14ac:dyDescent="0.2">
      <c r="A22" s="28" t="s">
        <v>81</v>
      </c>
      <c r="B22" s="29" t="s">
        <v>138</v>
      </c>
      <c r="C22" s="30">
        <v>0</v>
      </c>
      <c r="D22" s="30">
        <v>0</v>
      </c>
      <c r="E22" s="30">
        <v>2.7353855722430662</v>
      </c>
      <c r="F22" s="30">
        <v>4.5531842259167316E-3</v>
      </c>
      <c r="G22" s="30">
        <v>7.499804990726619E-2</v>
      </c>
      <c r="H22" s="30">
        <v>0.87664526725228809</v>
      </c>
      <c r="I22" s="30">
        <v>0.1559521079499708</v>
      </c>
      <c r="J22" s="30">
        <v>0.73604488967641968</v>
      </c>
      <c r="K22" s="30">
        <v>2.0011224521386524</v>
      </c>
      <c r="L22" s="30">
        <v>1.2593040753545393</v>
      </c>
      <c r="M22" s="30">
        <v>0.31471800418756035</v>
      </c>
      <c r="N22" s="30">
        <v>2.7419478643537714</v>
      </c>
      <c r="O22" s="30">
        <v>0.43724916454671975</v>
      </c>
      <c r="P22" s="30">
        <v>6.0312194432303623E-2</v>
      </c>
      <c r="Q22" s="30">
        <v>1.7480846476938223</v>
      </c>
      <c r="R22" s="30">
        <v>22.402450262683512</v>
      </c>
      <c r="S22" s="30">
        <v>10.411214517813118</v>
      </c>
      <c r="T22" s="30">
        <v>9.4529206639867667</v>
      </c>
      <c r="U22" s="30">
        <v>4.2145842817688433</v>
      </c>
      <c r="V22" s="30">
        <v>370.21824658226552</v>
      </c>
      <c r="W22" s="30">
        <v>8.624021575287955</v>
      </c>
      <c r="X22" s="30">
        <v>5.0127488407590137</v>
      </c>
      <c r="Y22" s="30">
        <v>13.311322027598523</v>
      </c>
      <c r="Z22" s="30">
        <v>5.9247165597453444</v>
      </c>
      <c r="AA22" s="30">
        <v>0.71535094641636698</v>
      </c>
      <c r="AB22" s="30">
        <v>22.255876686144006</v>
      </c>
      <c r="AC22" s="30">
        <v>0.81903737609344351</v>
      </c>
      <c r="AD22" s="30">
        <v>0.26878251328144886</v>
      </c>
      <c r="AE22" s="30">
        <v>20.343919988044682</v>
      </c>
      <c r="AF22" s="30">
        <v>3.1765562701324264</v>
      </c>
      <c r="AG22" s="30">
        <v>0</v>
      </c>
      <c r="AH22" s="30">
        <v>1.9214393278978028</v>
      </c>
      <c r="AI22" s="30">
        <v>0</v>
      </c>
      <c r="AJ22" s="30">
        <v>5.6053412261618201</v>
      </c>
      <c r="AK22" s="30">
        <v>15.844779769787758</v>
      </c>
      <c r="AL22" s="30">
        <v>0</v>
      </c>
      <c r="AM22" s="30">
        <v>11.577078368474918</v>
      </c>
      <c r="AN22" s="30">
        <v>56.26010149433575</v>
      </c>
      <c r="AO22" s="30">
        <v>25.307446612857348</v>
      </c>
      <c r="AP22" s="30">
        <v>1.6053676876658285</v>
      </c>
      <c r="AQ22" s="30">
        <v>1.9250514827684699</v>
      </c>
      <c r="AR22" s="30">
        <v>9.0020310173004496</v>
      </c>
      <c r="AS22" s="30">
        <v>6.7436496375341397</v>
      </c>
      <c r="AT22" s="30">
        <v>0.34739165584398735</v>
      </c>
      <c r="AU22" s="30">
        <v>3.4098209444221097</v>
      </c>
      <c r="AV22" s="30">
        <v>2.7975176990118631</v>
      </c>
      <c r="AW22" s="30">
        <v>5.9982949861862291</v>
      </c>
      <c r="AX22" s="30">
        <v>7.040648073092097E-2</v>
      </c>
      <c r="AY22" s="30">
        <v>0.3034568100503276</v>
      </c>
      <c r="AZ22" s="30">
        <v>3.5493958349617913</v>
      </c>
      <c r="BA22" s="30">
        <v>16.06775112461121</v>
      </c>
      <c r="BB22" s="30">
        <v>3.8117789864139642</v>
      </c>
      <c r="BC22" s="30">
        <v>1.7136182758074237</v>
      </c>
      <c r="BD22" s="30">
        <v>1.4099171701813387</v>
      </c>
      <c r="BE22" s="30">
        <v>114.06016501947266</v>
      </c>
      <c r="BF22" s="30">
        <v>50.106577954708555</v>
      </c>
      <c r="BG22" s="30">
        <v>0.65252751034157919</v>
      </c>
      <c r="BH22" s="30">
        <v>7.1373638704886995</v>
      </c>
      <c r="BI22" s="30">
        <v>1.3881672899014699</v>
      </c>
      <c r="BJ22" s="30">
        <v>0</v>
      </c>
      <c r="BK22" s="30">
        <v>9.3039927221869902</v>
      </c>
      <c r="BL22" s="30">
        <v>1.5405121089560814</v>
      </c>
      <c r="BM22" s="31">
        <f t="shared" si="0"/>
        <v>869.75900963504489</v>
      </c>
      <c r="BO22" s="125">
        <v>120.71140424380187</v>
      </c>
      <c r="BP22" s="30">
        <v>839.60900142910077</v>
      </c>
      <c r="BQ22" s="30">
        <v>0</v>
      </c>
      <c r="BR22" s="30">
        <v>0</v>
      </c>
      <c r="BS22" s="30">
        <v>0</v>
      </c>
      <c r="BT22" s="30">
        <v>0</v>
      </c>
      <c r="BU22" s="30">
        <v>12.221640822282016</v>
      </c>
      <c r="BV22" s="30">
        <v>0</v>
      </c>
      <c r="BW22" s="30">
        <v>8.2651005037721548E-2</v>
      </c>
      <c r="BX22" s="30">
        <v>0</v>
      </c>
      <c r="BY22" s="126">
        <v>287.78396143801211</v>
      </c>
      <c r="BZ22" s="30"/>
      <c r="CA22" s="43">
        <v>2130.16761</v>
      </c>
      <c r="CB22" s="47"/>
      <c r="CC22" s="193"/>
    </row>
    <row r="23" spans="1:81" x14ac:dyDescent="0.2">
      <c r="A23" s="28" t="s">
        <v>82</v>
      </c>
      <c r="B23" s="33" t="s">
        <v>139</v>
      </c>
      <c r="C23" s="30">
        <v>0.2499976078663817</v>
      </c>
      <c r="D23" s="30">
        <v>4.5858541823464556E-2</v>
      </c>
      <c r="E23" s="30">
        <v>0.22677462374761911</v>
      </c>
      <c r="F23" s="30">
        <v>2.3251338749390648E-3</v>
      </c>
      <c r="G23" s="30">
        <v>9.1816198397517354E-2</v>
      </c>
      <c r="H23" s="30">
        <v>0</v>
      </c>
      <c r="I23" s="30">
        <v>6.9438414550878438</v>
      </c>
      <c r="J23" s="30">
        <v>23.401909214304968</v>
      </c>
      <c r="K23" s="30">
        <v>13.006397676859416</v>
      </c>
      <c r="L23" s="30">
        <v>13.493563745155003</v>
      </c>
      <c r="M23" s="30">
        <v>0</v>
      </c>
      <c r="N23" s="30">
        <v>4.6496983615021286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0.82789066849322646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14.544173259152315</v>
      </c>
      <c r="AN23" s="30">
        <v>0</v>
      </c>
      <c r="AO23" s="30">
        <v>0</v>
      </c>
      <c r="AP23" s="30">
        <v>6.5147909193899425</v>
      </c>
      <c r="AQ23" s="30">
        <v>0</v>
      </c>
      <c r="AR23" s="30">
        <v>6.1190943204296051</v>
      </c>
      <c r="AS23" s="30">
        <v>30.695960827179327</v>
      </c>
      <c r="AT23" s="30">
        <v>0</v>
      </c>
      <c r="AU23" s="30">
        <v>1.0732751295993119</v>
      </c>
      <c r="AV23" s="30">
        <v>5.6993258284122312</v>
      </c>
      <c r="AW23" s="30">
        <v>0</v>
      </c>
      <c r="AX23" s="30">
        <v>0.68287515354367412</v>
      </c>
      <c r="AY23" s="30">
        <v>0.53218310781828659</v>
      </c>
      <c r="AZ23" s="30">
        <v>0</v>
      </c>
      <c r="BA23" s="30">
        <v>14.987542204355417</v>
      </c>
      <c r="BB23" s="30">
        <v>1.6939452178200229</v>
      </c>
      <c r="BC23" s="30">
        <v>0</v>
      </c>
      <c r="BD23" s="30">
        <v>0</v>
      </c>
      <c r="BE23" s="30">
        <v>0</v>
      </c>
      <c r="BF23" s="30">
        <v>0</v>
      </c>
      <c r="BG23" s="30">
        <v>0.36013294048997052</v>
      </c>
      <c r="BH23" s="30">
        <v>1.5753633635502211</v>
      </c>
      <c r="BI23" s="30">
        <v>0.65843749126155404</v>
      </c>
      <c r="BJ23" s="30">
        <v>0</v>
      </c>
      <c r="BK23" s="30">
        <v>0</v>
      </c>
      <c r="BL23" s="30">
        <v>0</v>
      </c>
      <c r="BM23" s="31">
        <f t="shared" si="0"/>
        <v>148.07717299011438</v>
      </c>
      <c r="BO23" s="125">
        <v>133.66117592028658</v>
      </c>
      <c r="BP23" s="30">
        <v>16.410138912078512</v>
      </c>
      <c r="BQ23" s="30">
        <v>0</v>
      </c>
      <c r="BR23" s="30">
        <v>10.990443749894247</v>
      </c>
      <c r="BS23" s="30">
        <v>0</v>
      </c>
      <c r="BT23" s="30">
        <v>27.862966137468426</v>
      </c>
      <c r="BU23" s="30">
        <v>0.29081548727760131</v>
      </c>
      <c r="BV23" s="30">
        <v>0</v>
      </c>
      <c r="BW23" s="30">
        <v>0.10917741744342613</v>
      </c>
      <c r="BX23" s="30">
        <v>0</v>
      </c>
      <c r="BY23" s="126">
        <v>0</v>
      </c>
      <c r="BZ23" s="30"/>
      <c r="CA23" s="43">
        <v>337.40188149970533</v>
      </c>
      <c r="CB23" s="47"/>
      <c r="CC23" s="193"/>
    </row>
    <row r="24" spans="1:81" x14ac:dyDescent="0.2">
      <c r="A24" s="28" t="s">
        <v>83</v>
      </c>
      <c r="B24" s="29" t="s">
        <v>140</v>
      </c>
      <c r="C24" s="30">
        <v>3.5081951217546621</v>
      </c>
      <c r="D24" s="30">
        <v>0.76795991789534424</v>
      </c>
      <c r="E24" s="30">
        <v>0</v>
      </c>
      <c r="F24" s="30">
        <v>1.9121513750375875E-3</v>
      </c>
      <c r="G24" s="30">
        <v>0</v>
      </c>
      <c r="H24" s="30">
        <v>1.9347316455876922</v>
      </c>
      <c r="I24" s="30">
        <v>2.2967968139798213E-2</v>
      </c>
      <c r="J24" s="30">
        <v>0</v>
      </c>
      <c r="K24" s="30">
        <v>1.5648198189280753</v>
      </c>
      <c r="L24" s="30">
        <v>0.29182833461458491</v>
      </c>
      <c r="M24" s="30">
        <v>4.6242664612824917</v>
      </c>
      <c r="N24" s="30">
        <v>1.2020671000898919</v>
      </c>
      <c r="O24" s="30">
        <v>0.44272724918182921</v>
      </c>
      <c r="P24" s="30">
        <v>2.3888224790994177</v>
      </c>
      <c r="Q24" s="30">
        <v>2.5669298670725014</v>
      </c>
      <c r="R24" s="30">
        <v>0.24265658596443565</v>
      </c>
      <c r="S24" s="30">
        <v>0.26065446056597075</v>
      </c>
      <c r="T24" s="30">
        <v>3.0068732575164963</v>
      </c>
      <c r="U24" s="30">
        <v>1.0307808628897739</v>
      </c>
      <c r="V24" s="30">
        <v>14.846780517643252</v>
      </c>
      <c r="W24" s="30">
        <v>3.2965441024183582</v>
      </c>
      <c r="X24" s="30">
        <v>0.28359941778053871</v>
      </c>
      <c r="Y24" s="30">
        <v>4.4777489531130792</v>
      </c>
      <c r="Z24" s="30">
        <v>2.8786385091371006E-2</v>
      </c>
      <c r="AA24" s="30">
        <v>3.4701321244576658E-2</v>
      </c>
      <c r="AB24" s="30">
        <v>1.0796215904019357</v>
      </c>
      <c r="AC24" s="30">
        <v>3.4089615112919712E-2</v>
      </c>
      <c r="AD24" s="30">
        <v>1.1187148101288211E-2</v>
      </c>
      <c r="AE24" s="30">
        <v>0.16536075647012957</v>
      </c>
      <c r="AF24" s="30">
        <v>2.4085249756931954E-2</v>
      </c>
      <c r="AG24" s="30">
        <v>13.172578586879698</v>
      </c>
      <c r="AH24" s="30">
        <v>5.79148173063742</v>
      </c>
      <c r="AI24" s="30">
        <v>21.7547721172789</v>
      </c>
      <c r="AJ24" s="30">
        <v>0.13744421505609758</v>
      </c>
      <c r="AK24" s="30">
        <v>1.7722004313108086</v>
      </c>
      <c r="AL24" s="30">
        <v>0</v>
      </c>
      <c r="AM24" s="30">
        <v>0.18011861698035328</v>
      </c>
      <c r="AN24" s="30">
        <v>1.4179711048596797</v>
      </c>
      <c r="AO24" s="30">
        <v>2.9528252159477953E-2</v>
      </c>
      <c r="AP24" s="30">
        <v>1.5365175581361701</v>
      </c>
      <c r="AQ24" s="30">
        <v>4.5367525487585568E-2</v>
      </c>
      <c r="AR24" s="30">
        <v>0.54231469793915621</v>
      </c>
      <c r="AS24" s="30">
        <v>2.4707005420253605</v>
      </c>
      <c r="AT24" s="30">
        <v>1.6304740382090975E-2</v>
      </c>
      <c r="AU24" s="30">
        <v>0.23005396926754174</v>
      </c>
      <c r="AV24" s="30">
        <v>1.744221267215559</v>
      </c>
      <c r="AW24" s="30">
        <v>0.42635723513005425</v>
      </c>
      <c r="AX24" s="30">
        <v>1.751894861701837E-2</v>
      </c>
      <c r="AY24" s="30">
        <v>7.5875502229291306E-2</v>
      </c>
      <c r="AZ24" s="30">
        <v>0.31851893091811234</v>
      </c>
      <c r="BA24" s="30">
        <v>0.86631634427375537</v>
      </c>
      <c r="BB24" s="30">
        <v>0.16791451455810175</v>
      </c>
      <c r="BC24" s="30">
        <v>0.58401400636746892</v>
      </c>
      <c r="BD24" s="30">
        <v>0.34255326828701987</v>
      </c>
      <c r="BE24" s="30">
        <v>3.7951298471038188</v>
      </c>
      <c r="BF24" s="30">
        <v>1.188083202386875</v>
      </c>
      <c r="BG24" s="30">
        <v>0.21330865286735798</v>
      </c>
      <c r="BH24" s="30">
        <v>0.7440538524003204</v>
      </c>
      <c r="BI24" s="30">
        <v>0.21235368714362818</v>
      </c>
      <c r="BJ24" s="30">
        <v>0</v>
      </c>
      <c r="BK24" s="30">
        <v>0</v>
      </c>
      <c r="BL24" s="30">
        <v>0.25544562215657496</v>
      </c>
      <c r="BM24" s="31">
        <f t="shared" si="0"/>
        <v>108.18971730914771</v>
      </c>
      <c r="BO24" s="125">
        <v>0</v>
      </c>
      <c r="BP24" s="30">
        <v>20.244392370035179</v>
      </c>
      <c r="BQ24" s="30">
        <v>0</v>
      </c>
      <c r="BR24" s="30">
        <v>0</v>
      </c>
      <c r="BS24" s="30">
        <v>0</v>
      </c>
      <c r="BT24" s="30">
        <v>0</v>
      </c>
      <c r="BU24" s="30">
        <v>5.3993628136122665E-3</v>
      </c>
      <c r="BV24" s="30">
        <v>0</v>
      </c>
      <c r="BW24" s="30">
        <v>0</v>
      </c>
      <c r="BX24" s="30">
        <v>0</v>
      </c>
      <c r="BY24" s="126">
        <v>0</v>
      </c>
      <c r="BZ24" s="30"/>
      <c r="CA24" s="43">
        <v>128.43950138340816</v>
      </c>
      <c r="CB24" s="47"/>
      <c r="CC24" s="193"/>
    </row>
    <row r="25" spans="1:81" x14ac:dyDescent="0.2">
      <c r="A25" s="28" t="s">
        <v>84</v>
      </c>
      <c r="B25" s="29" t="s">
        <v>141</v>
      </c>
      <c r="C25" s="30">
        <v>8.4553876564273725E-2</v>
      </c>
      <c r="D25" s="30">
        <v>1.6278795756035025E-2</v>
      </c>
      <c r="E25" s="30">
        <v>0</v>
      </c>
      <c r="F25" s="30">
        <v>1.1190826047109023E-4</v>
      </c>
      <c r="G25" s="30">
        <v>8.0784787987753549E-3</v>
      </c>
      <c r="H25" s="30">
        <v>0.22660910916220176</v>
      </c>
      <c r="I25" s="30">
        <v>2.6883910914529078E-3</v>
      </c>
      <c r="J25" s="30">
        <v>1.572762942404065E-2</v>
      </c>
      <c r="K25" s="30">
        <v>6.2512340655482088E-3</v>
      </c>
      <c r="L25" s="30">
        <v>1.1881564869879383E-2</v>
      </c>
      <c r="M25" s="30">
        <v>2.8857771621927732E-2</v>
      </c>
      <c r="N25" s="30">
        <v>8.3942183325730058E-2</v>
      </c>
      <c r="O25" s="30">
        <v>2.1574976947140684E-3</v>
      </c>
      <c r="P25" s="30">
        <v>1.8924143823579986</v>
      </c>
      <c r="Q25" s="30">
        <v>2.1306226771419587</v>
      </c>
      <c r="R25" s="30">
        <v>0.15779362323178267</v>
      </c>
      <c r="S25" s="30">
        <v>8.2612590807172995E-2</v>
      </c>
      <c r="T25" s="30">
        <v>4.4952896046809999E-2</v>
      </c>
      <c r="U25" s="30">
        <v>2.1044035480950175E-2</v>
      </c>
      <c r="V25" s="30">
        <v>1.1315584459811374</v>
      </c>
      <c r="W25" s="30">
        <v>2.1332657032511238E-2</v>
      </c>
      <c r="X25" s="30">
        <v>0.14807659876662949</v>
      </c>
      <c r="Y25" s="30">
        <v>52.298085358832672</v>
      </c>
      <c r="Z25" s="30">
        <v>6.2999928326672422E-2</v>
      </c>
      <c r="AA25" s="30">
        <v>3.2058268405459896E-2</v>
      </c>
      <c r="AB25" s="30">
        <v>0.99739138108016134</v>
      </c>
      <c r="AC25" s="30">
        <v>7.9860889692886516E-2</v>
      </c>
      <c r="AD25" s="30">
        <v>2.6207852377786563E-2</v>
      </c>
      <c r="AE25" s="30">
        <v>3.2528552862714446</v>
      </c>
      <c r="AF25" s="30">
        <v>0.50791380613193282</v>
      </c>
      <c r="AG25" s="30">
        <v>4.8721273020334666</v>
      </c>
      <c r="AH25" s="30">
        <v>9.0698039918665465</v>
      </c>
      <c r="AI25" s="30">
        <v>74.655205418793912</v>
      </c>
      <c r="AJ25" s="30">
        <v>17.527906084116513</v>
      </c>
      <c r="AK25" s="30">
        <v>10.501433306713151</v>
      </c>
      <c r="AL25" s="30">
        <v>0</v>
      </c>
      <c r="AM25" s="30">
        <v>23.809610342708364</v>
      </c>
      <c r="AN25" s="30">
        <v>3.3575250674758319</v>
      </c>
      <c r="AO25" s="30">
        <v>8.3628680713401415</v>
      </c>
      <c r="AP25" s="30">
        <v>1.4438373682648855</v>
      </c>
      <c r="AQ25" s="30">
        <v>0.13381277280418161</v>
      </c>
      <c r="AR25" s="30">
        <v>7.7637701639244074</v>
      </c>
      <c r="AS25" s="30">
        <v>11.502957200048867</v>
      </c>
      <c r="AT25" s="30">
        <v>0.53720656176048653</v>
      </c>
      <c r="AU25" s="30">
        <v>0.94671986029599597</v>
      </c>
      <c r="AV25" s="30">
        <v>1.6792732228566256</v>
      </c>
      <c r="AW25" s="30">
        <v>2.1448316662202239E-2</v>
      </c>
      <c r="AX25" s="30">
        <v>1.9406923246232468</v>
      </c>
      <c r="AY25" s="30">
        <v>3.018626827585543</v>
      </c>
      <c r="AZ25" s="30">
        <v>1.0313782890480034</v>
      </c>
      <c r="BA25" s="30">
        <v>12.222506663336818</v>
      </c>
      <c r="BB25" s="30">
        <v>0.36088180262935426</v>
      </c>
      <c r="BC25" s="30">
        <v>3.6809642208422684</v>
      </c>
      <c r="BD25" s="30">
        <v>0.31021186129412198</v>
      </c>
      <c r="BE25" s="30">
        <v>17.229688571685514</v>
      </c>
      <c r="BF25" s="30">
        <v>1.6452244496289374</v>
      </c>
      <c r="BG25" s="30">
        <v>0.10590368411645119</v>
      </c>
      <c r="BH25" s="30">
        <v>7.2344305472114669</v>
      </c>
      <c r="BI25" s="30">
        <v>2.0825612872042565</v>
      </c>
      <c r="BJ25" s="30">
        <v>0</v>
      </c>
      <c r="BK25" s="30">
        <v>3.360333596179069</v>
      </c>
      <c r="BL25" s="30">
        <v>0.95669823594936687</v>
      </c>
      <c r="BM25" s="31">
        <f t="shared" si="0"/>
        <v>294.74052653160112</v>
      </c>
      <c r="BO25" s="125">
        <v>261.12773017538973</v>
      </c>
      <c r="BP25" s="30">
        <v>19.986201071825942</v>
      </c>
      <c r="BQ25" s="30">
        <v>0</v>
      </c>
      <c r="BR25" s="30">
        <v>0</v>
      </c>
      <c r="BS25" s="30">
        <v>0</v>
      </c>
      <c r="BT25" s="30">
        <v>51.272182283532864</v>
      </c>
      <c r="BU25" s="30">
        <v>2.1079947615130639E-2</v>
      </c>
      <c r="BV25" s="30">
        <v>0</v>
      </c>
      <c r="BW25" s="30">
        <v>5.5595683177371444E-2</v>
      </c>
      <c r="BX25" s="30">
        <v>0</v>
      </c>
      <c r="BY25" s="126">
        <v>204.3836378591468</v>
      </c>
      <c r="BZ25" s="30"/>
      <c r="CA25" s="43">
        <v>831.58692803593772</v>
      </c>
      <c r="CB25" s="47"/>
      <c r="CC25" s="193"/>
    </row>
    <row r="26" spans="1:81" x14ac:dyDescent="0.2">
      <c r="A26" s="28" t="s">
        <v>85</v>
      </c>
      <c r="B26" s="29" t="s">
        <v>142</v>
      </c>
      <c r="C26" s="30">
        <v>0</v>
      </c>
      <c r="D26" s="30">
        <v>8.8779463320391521E-4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86.348739736017237</v>
      </c>
      <c r="AA26" s="30">
        <v>13.025687764082123</v>
      </c>
      <c r="AB26" s="30">
        <v>57.29241445178765</v>
      </c>
      <c r="AC26" s="30">
        <v>0</v>
      </c>
      <c r="AD26" s="30">
        <v>0</v>
      </c>
      <c r="AE26" s="30">
        <v>0</v>
      </c>
      <c r="AF26" s="30">
        <v>0</v>
      </c>
      <c r="AG26" s="30">
        <v>24.441210714553815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33.390006120628406</v>
      </c>
      <c r="AT26" s="30">
        <v>0</v>
      </c>
      <c r="AU26" s="30">
        <v>0</v>
      </c>
      <c r="AV26" s="30">
        <v>5.36999775770468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0.69484110295612167</v>
      </c>
      <c r="BE26" s="30">
        <v>19.093291779383474</v>
      </c>
      <c r="BF26" s="30">
        <v>19.38695577763264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1">
        <f t="shared" si="0"/>
        <v>259.04403299937934</v>
      </c>
      <c r="BO26" s="125">
        <v>321.67261215460468</v>
      </c>
      <c r="BP26" s="30">
        <v>8.1514618963228429</v>
      </c>
      <c r="BQ26" s="30">
        <v>0</v>
      </c>
      <c r="BR26" s="30">
        <v>0</v>
      </c>
      <c r="BS26" s="30">
        <v>0</v>
      </c>
      <c r="BT26" s="30">
        <v>0</v>
      </c>
      <c r="BU26" s="30">
        <v>5.3645549902092459E-3</v>
      </c>
      <c r="BV26" s="30">
        <v>0</v>
      </c>
      <c r="BW26" s="30">
        <v>0</v>
      </c>
      <c r="BX26" s="30">
        <v>0</v>
      </c>
      <c r="BY26" s="126">
        <v>133.54882185948162</v>
      </c>
      <c r="BZ26" s="30"/>
      <c r="CA26" s="43">
        <v>722.42225017087674</v>
      </c>
      <c r="CB26" s="47"/>
      <c r="CC26" s="193"/>
    </row>
    <row r="27" spans="1:81" x14ac:dyDescent="0.2">
      <c r="A27" s="28" t="s">
        <v>86</v>
      </c>
      <c r="B27" s="29" t="s">
        <v>143</v>
      </c>
      <c r="C27" s="30">
        <v>2.7920912528961443E-2</v>
      </c>
      <c r="D27" s="30">
        <v>9.5019986129014009E-3</v>
      </c>
      <c r="E27" s="30">
        <v>1.2872640931292756E-2</v>
      </c>
      <c r="F27" s="30">
        <v>6.3508170531435338E-4</v>
      </c>
      <c r="G27" s="30">
        <v>0.11651864268413725</v>
      </c>
      <c r="H27" s="30">
        <v>0.30185149841798753</v>
      </c>
      <c r="I27" s="30">
        <v>0.21957647872561387</v>
      </c>
      <c r="J27" s="30">
        <v>4.3292039966887463</v>
      </c>
      <c r="K27" s="30">
        <v>0.46777812492817039</v>
      </c>
      <c r="L27" s="30">
        <v>0.80502652484518455</v>
      </c>
      <c r="M27" s="30">
        <v>1.1932048470600225</v>
      </c>
      <c r="N27" s="30">
        <v>1.3207664792494778</v>
      </c>
      <c r="O27" s="30">
        <v>7.3739372956741892E-2</v>
      </c>
      <c r="P27" s="30">
        <v>0.50754420695295521</v>
      </c>
      <c r="Q27" s="30">
        <v>0.46473178741695542</v>
      </c>
      <c r="R27" s="30">
        <v>5.6035395922833162</v>
      </c>
      <c r="S27" s="30">
        <v>9.0565434287098998E-2</v>
      </c>
      <c r="T27" s="30">
        <v>5.4236264009582147E-2</v>
      </c>
      <c r="U27" s="30">
        <v>0.52991417238090699</v>
      </c>
      <c r="V27" s="30">
        <v>7.6941156098142542</v>
      </c>
      <c r="W27" s="30">
        <v>4.6337910190121602E-2</v>
      </c>
      <c r="X27" s="30">
        <v>2.6807009659234522E-3</v>
      </c>
      <c r="Y27" s="30">
        <v>10.130004477495545</v>
      </c>
      <c r="Z27" s="30">
        <v>3.441508234057173</v>
      </c>
      <c r="AA27" s="30">
        <v>0.67816374655491884</v>
      </c>
      <c r="AB27" s="30">
        <v>16.879131891221157</v>
      </c>
      <c r="AC27" s="30">
        <v>5.7486073545343255E-2</v>
      </c>
      <c r="AD27" s="30">
        <v>1.8865135801124543E-2</v>
      </c>
      <c r="AE27" s="30">
        <v>1.2356308803158462</v>
      </c>
      <c r="AF27" s="30">
        <v>0.17997304194215316</v>
      </c>
      <c r="AG27" s="30">
        <v>3.8266985810159713</v>
      </c>
      <c r="AH27" s="30">
        <v>28.146088168670069</v>
      </c>
      <c r="AI27" s="30">
        <v>18.191477492676388</v>
      </c>
      <c r="AJ27" s="30">
        <v>2.9958300282352037</v>
      </c>
      <c r="AK27" s="30">
        <v>0.96342429520111472</v>
      </c>
      <c r="AL27" s="30">
        <v>0</v>
      </c>
      <c r="AM27" s="30">
        <v>7.5648937479010918</v>
      </c>
      <c r="AN27" s="30">
        <v>6.1246684917052647</v>
      </c>
      <c r="AO27" s="30">
        <v>2.4457640134075271</v>
      </c>
      <c r="AP27" s="30">
        <v>4.3146141665688571</v>
      </c>
      <c r="AQ27" s="30">
        <v>0.41400136001452231</v>
      </c>
      <c r="AR27" s="30">
        <v>2.2302051077209302</v>
      </c>
      <c r="AS27" s="30">
        <v>7.1248908496341148</v>
      </c>
      <c r="AT27" s="30">
        <v>0</v>
      </c>
      <c r="AU27" s="30">
        <v>2.6133215351881436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31.845577661585597</v>
      </c>
      <c r="BB27" s="30">
        <v>0.80836475237862881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1.5627675517721137E-2</v>
      </c>
      <c r="BJ27" s="30">
        <v>0</v>
      </c>
      <c r="BK27" s="30">
        <v>0</v>
      </c>
      <c r="BL27" s="30">
        <v>0</v>
      </c>
      <c r="BM27" s="31">
        <f t="shared" si="0"/>
        <v>176.11847368599004</v>
      </c>
      <c r="BO27" s="125">
        <v>201.67688141430492</v>
      </c>
      <c r="BP27" s="30">
        <v>1.5131649379496193</v>
      </c>
      <c r="BQ27" s="30">
        <v>0</v>
      </c>
      <c r="BR27" s="30">
        <v>0</v>
      </c>
      <c r="BS27" s="30">
        <v>0</v>
      </c>
      <c r="BT27" s="30">
        <v>0</v>
      </c>
      <c r="BU27" s="30">
        <v>9.5678183603234157E-2</v>
      </c>
      <c r="BV27" s="30">
        <v>0</v>
      </c>
      <c r="BW27" s="30">
        <v>1.2821029033547321E-2</v>
      </c>
      <c r="BX27" s="30">
        <v>0</v>
      </c>
      <c r="BY27" s="126">
        <v>35.784875077202699</v>
      </c>
      <c r="BZ27" s="30"/>
      <c r="CA27" s="43">
        <v>415.20188970061741</v>
      </c>
      <c r="CB27" s="47"/>
      <c r="CC27" s="193"/>
    </row>
    <row r="28" spans="1:81" x14ac:dyDescent="0.2">
      <c r="A28" s="28" t="s">
        <v>87</v>
      </c>
      <c r="B28" s="29" t="s">
        <v>17</v>
      </c>
      <c r="C28" s="30">
        <v>0.40758219499607368</v>
      </c>
      <c r="D28" s="30">
        <v>7.3206853475586628E-2</v>
      </c>
      <c r="E28" s="30">
        <v>0.11961909567108459</v>
      </c>
      <c r="F28" s="30">
        <v>1.6141150266178008E-3</v>
      </c>
      <c r="G28" s="30">
        <v>9.7855503420312157E-2</v>
      </c>
      <c r="H28" s="30">
        <v>0.14050500908697536</v>
      </c>
      <c r="I28" s="30">
        <v>1.9376250992279722</v>
      </c>
      <c r="J28" s="30">
        <v>11.042924228026413</v>
      </c>
      <c r="K28" s="30">
        <v>7.8640486973648347</v>
      </c>
      <c r="L28" s="30">
        <v>13.337502856849493</v>
      </c>
      <c r="M28" s="30">
        <v>1.2130685261535445</v>
      </c>
      <c r="N28" s="30">
        <v>0.24351691693875013</v>
      </c>
      <c r="O28" s="30">
        <v>6.8364204441444282E-2</v>
      </c>
      <c r="P28" s="30">
        <v>0.45165428090160842</v>
      </c>
      <c r="Q28" s="30">
        <v>0.82828670354148726</v>
      </c>
      <c r="R28" s="30">
        <v>6.9716078900597056</v>
      </c>
      <c r="S28" s="30">
        <v>2.1423030487755807E-2</v>
      </c>
      <c r="T28" s="30">
        <v>0.50599448831947014</v>
      </c>
      <c r="U28" s="30">
        <v>2.7858046159893703</v>
      </c>
      <c r="V28" s="30">
        <v>19.097841681794357</v>
      </c>
      <c r="W28" s="30">
        <v>0.82694797543410015</v>
      </c>
      <c r="X28" s="30">
        <v>0.79001106088233775</v>
      </c>
      <c r="Y28" s="30">
        <v>7.0393123955666708</v>
      </c>
      <c r="Z28" s="30">
        <v>3.322641114446065</v>
      </c>
      <c r="AA28" s="30">
        <v>1.8162361371715015</v>
      </c>
      <c r="AB28" s="30">
        <v>189.93970096010653</v>
      </c>
      <c r="AC28" s="30">
        <v>0.85533012243742468</v>
      </c>
      <c r="AD28" s="30">
        <v>0.28069266031618961</v>
      </c>
      <c r="AE28" s="30">
        <v>1.0907650877470452</v>
      </c>
      <c r="AF28" s="30">
        <v>0.15887294014208814</v>
      </c>
      <c r="AG28" s="30">
        <v>33.620404901123763</v>
      </c>
      <c r="AH28" s="30">
        <v>29.465493469117202</v>
      </c>
      <c r="AI28" s="30">
        <v>13.082267651941359</v>
      </c>
      <c r="AJ28" s="30">
        <v>6.491174541632577</v>
      </c>
      <c r="AK28" s="30">
        <v>17.495823564843295</v>
      </c>
      <c r="AL28" s="30">
        <v>0</v>
      </c>
      <c r="AM28" s="30">
        <v>10.37919504910284</v>
      </c>
      <c r="AN28" s="30">
        <v>5.3946814241540091</v>
      </c>
      <c r="AO28" s="30">
        <v>10.012116501737347</v>
      </c>
      <c r="AP28" s="30">
        <v>10.199468450925636</v>
      </c>
      <c r="AQ28" s="30">
        <v>0.83964244848983816</v>
      </c>
      <c r="AR28" s="30">
        <v>7.8632395642934716</v>
      </c>
      <c r="AS28" s="30">
        <v>11.290724631591903</v>
      </c>
      <c r="AT28" s="30">
        <v>9.4001318423973217</v>
      </c>
      <c r="AU28" s="30">
        <v>2.694337205467034</v>
      </c>
      <c r="AV28" s="30">
        <v>9.1735130411520984</v>
      </c>
      <c r="AW28" s="30">
        <v>1.5551610378900644</v>
      </c>
      <c r="AX28" s="30">
        <v>0.24722655955935252</v>
      </c>
      <c r="AY28" s="30">
        <v>0.49195023905343371</v>
      </c>
      <c r="AZ28" s="30">
        <v>2.2773779785719759</v>
      </c>
      <c r="BA28" s="30">
        <v>6.755632222543615</v>
      </c>
      <c r="BB28" s="30">
        <v>1.1882442783087552</v>
      </c>
      <c r="BC28" s="30">
        <v>1.8056537579436602</v>
      </c>
      <c r="BD28" s="30">
        <v>0.69098421811514521</v>
      </c>
      <c r="BE28" s="30">
        <v>65.980960245444351</v>
      </c>
      <c r="BF28" s="30">
        <v>21.202942960337452</v>
      </c>
      <c r="BG28" s="30">
        <v>0.61466216288298103</v>
      </c>
      <c r="BH28" s="30">
        <v>2.8823364048203164</v>
      </c>
      <c r="BI28" s="30">
        <v>1.116185291316661</v>
      </c>
      <c r="BJ28" s="30">
        <v>0</v>
      </c>
      <c r="BK28" s="30">
        <v>1.9475054698819347</v>
      </c>
      <c r="BL28" s="30">
        <v>1.1482487659501868</v>
      </c>
      <c r="BM28" s="31">
        <f t="shared" si="0"/>
        <v>560.63784232661226</v>
      </c>
      <c r="BO28" s="125">
        <v>2623.6411553628332</v>
      </c>
      <c r="BP28" s="30">
        <v>0</v>
      </c>
      <c r="BQ28" s="30">
        <v>0</v>
      </c>
      <c r="BR28" s="30">
        <v>0</v>
      </c>
      <c r="BS28" s="30">
        <v>0</v>
      </c>
      <c r="BT28" s="30">
        <v>120.12707055580047</v>
      </c>
      <c r="BU28" s="30">
        <v>3.8663724000351238</v>
      </c>
      <c r="BV28" s="30">
        <v>1.7572939276184834</v>
      </c>
      <c r="BW28" s="30">
        <v>19.329606729429941</v>
      </c>
      <c r="BX28" s="30">
        <v>0</v>
      </c>
      <c r="BY28" s="126">
        <v>20.932728933167773</v>
      </c>
      <c r="BZ28" s="30"/>
      <c r="CA28" s="43">
        <v>3350.2919999999999</v>
      </c>
      <c r="CB28" s="47"/>
      <c r="CC28" s="193"/>
    </row>
    <row r="29" spans="1:81" x14ac:dyDescent="0.2">
      <c r="A29" s="28" t="s">
        <v>88</v>
      </c>
      <c r="B29" s="29" t="s">
        <v>144</v>
      </c>
      <c r="C29" s="30">
        <v>0</v>
      </c>
      <c r="D29" s="30">
        <v>3.8330617708486796E-4</v>
      </c>
      <c r="E29" s="30">
        <v>0</v>
      </c>
      <c r="F29" s="30">
        <v>2.1325765557364011E-4</v>
      </c>
      <c r="G29" s="30">
        <v>0</v>
      </c>
      <c r="H29" s="30">
        <v>0.18159865278085158</v>
      </c>
      <c r="I29" s="30">
        <v>0.41563415490231803</v>
      </c>
      <c r="J29" s="30">
        <v>1.5201642420758088</v>
      </c>
      <c r="K29" s="30">
        <v>0.78888162540613749</v>
      </c>
      <c r="L29" s="30">
        <v>0</v>
      </c>
      <c r="M29" s="30">
        <v>0.38107002228594394</v>
      </c>
      <c r="N29" s="30">
        <v>6.7678810014202465E-2</v>
      </c>
      <c r="O29" s="30">
        <v>0</v>
      </c>
      <c r="P29" s="30">
        <v>0.28704064565274462</v>
      </c>
      <c r="Q29" s="30">
        <v>0.1286367720577235</v>
      </c>
      <c r="R29" s="30">
        <v>0.85159631940330149</v>
      </c>
      <c r="S29" s="30">
        <v>2.9085210746876842E-2</v>
      </c>
      <c r="T29" s="30">
        <v>0.10879095236343765</v>
      </c>
      <c r="U29" s="30">
        <v>8.5774936895672269E-2</v>
      </c>
      <c r="V29" s="30">
        <v>2.8485783997243659</v>
      </c>
      <c r="W29" s="30">
        <v>6.5568575297227753E-3</v>
      </c>
      <c r="X29" s="30">
        <v>0.30642210126530262</v>
      </c>
      <c r="Y29" s="30">
        <v>1.4315482012586536</v>
      </c>
      <c r="Z29" s="30">
        <v>0</v>
      </c>
      <c r="AA29" s="30">
        <v>2.3923932890903197E-2</v>
      </c>
      <c r="AB29" s="30">
        <v>2.7330590776347945</v>
      </c>
      <c r="AC29" s="30">
        <v>0.10665665883321727</v>
      </c>
      <c r="AD29" s="30">
        <v>0.17725660251997943</v>
      </c>
      <c r="AE29" s="30">
        <v>1.4754212343636124</v>
      </c>
      <c r="AF29" s="30">
        <v>0.21489916764348757</v>
      </c>
      <c r="AG29" s="30">
        <v>0.95770773400214537</v>
      </c>
      <c r="AH29" s="30">
        <v>4.7956599564950375</v>
      </c>
      <c r="AI29" s="30">
        <v>6.5499825025501979</v>
      </c>
      <c r="AJ29" s="30">
        <v>2.3470259330176408</v>
      </c>
      <c r="AK29" s="30">
        <v>5.1240028691027231</v>
      </c>
      <c r="AL29" s="30">
        <v>0</v>
      </c>
      <c r="AM29" s="30">
        <v>0.50720791268250964</v>
      </c>
      <c r="AN29" s="30">
        <v>2.1915579808059418</v>
      </c>
      <c r="AO29" s="30">
        <v>0.84090488032585997</v>
      </c>
      <c r="AP29" s="30">
        <v>1.5466903721609919</v>
      </c>
      <c r="AQ29" s="30">
        <v>0.74498695029704465</v>
      </c>
      <c r="AR29" s="30">
        <v>4.3879939774740242</v>
      </c>
      <c r="AS29" s="30">
        <v>2.896686675553152</v>
      </c>
      <c r="AT29" s="30">
        <v>9.7962977834611475</v>
      </c>
      <c r="AU29" s="30">
        <v>1.464291385423562</v>
      </c>
      <c r="AV29" s="30">
        <v>1.1464747117726828</v>
      </c>
      <c r="AW29" s="30">
        <v>1.1034433547416087</v>
      </c>
      <c r="AX29" s="30">
        <v>0.10222988226830043</v>
      </c>
      <c r="AY29" s="30">
        <v>0.16713981341458412</v>
      </c>
      <c r="AZ29" s="30">
        <v>0.89873453023368743</v>
      </c>
      <c r="BA29" s="30">
        <v>5.952625750670423</v>
      </c>
      <c r="BB29" s="30">
        <v>0.21143503363198937</v>
      </c>
      <c r="BC29" s="30">
        <v>0.23498466705463655</v>
      </c>
      <c r="BD29" s="30">
        <v>0.46217622063892366</v>
      </c>
      <c r="BE29" s="30">
        <v>22.100300823782106</v>
      </c>
      <c r="BF29" s="30">
        <v>10.074061190345139</v>
      </c>
      <c r="BG29" s="30">
        <v>0.32774196596917271</v>
      </c>
      <c r="BH29" s="30">
        <v>0.74249643036957125</v>
      </c>
      <c r="BI29" s="30">
        <v>0.52039096031880094</v>
      </c>
      <c r="BJ29" s="30">
        <v>0</v>
      </c>
      <c r="BK29" s="30">
        <v>0.82181630002898132</v>
      </c>
      <c r="BL29" s="30">
        <v>0.8022920563183501</v>
      </c>
      <c r="BM29" s="31">
        <f t="shared" si="0"/>
        <v>103.99021174699266</v>
      </c>
      <c r="BO29" s="125">
        <v>51.432604597886964</v>
      </c>
      <c r="BP29" s="30">
        <v>1.1369677885993772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0.38695707714012006</v>
      </c>
      <c r="BX29" s="30">
        <v>0</v>
      </c>
      <c r="BY29" s="126">
        <v>21.096261794433584</v>
      </c>
      <c r="BZ29" s="30"/>
      <c r="CA29" s="43">
        <v>178.04300000000001</v>
      </c>
      <c r="CB29" s="47"/>
      <c r="CC29" s="193"/>
    </row>
    <row r="30" spans="1:81" x14ac:dyDescent="0.2">
      <c r="A30" s="28" t="s">
        <v>89</v>
      </c>
      <c r="B30" s="33" t="s">
        <v>145</v>
      </c>
      <c r="C30" s="30">
        <v>0</v>
      </c>
      <c r="D30" s="30">
        <v>5.3417703142636707E-3</v>
      </c>
      <c r="E30" s="30">
        <v>0</v>
      </c>
      <c r="F30" s="30">
        <v>2.1590718240743707E-4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2.4580597458963058E-2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6.7654231888201383E-2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15.032807642311953</v>
      </c>
      <c r="AN30" s="30">
        <v>0</v>
      </c>
      <c r="AO30" s="30">
        <v>0</v>
      </c>
      <c r="AP30" s="30">
        <v>9.4713160846177153</v>
      </c>
      <c r="AQ30" s="30">
        <v>0</v>
      </c>
      <c r="AR30" s="30">
        <v>1.0488416996244267</v>
      </c>
      <c r="AS30" s="30">
        <v>2.9060507325948639</v>
      </c>
      <c r="AT30" s="30">
        <v>0</v>
      </c>
      <c r="AU30" s="30">
        <v>0.63646610520640823</v>
      </c>
      <c r="AV30" s="30">
        <v>1.2671005776169957</v>
      </c>
      <c r="AW30" s="30">
        <v>0</v>
      </c>
      <c r="AX30" s="30">
        <v>3.0047407948441667E-2</v>
      </c>
      <c r="AY30" s="30">
        <v>7.1321686073340357E-2</v>
      </c>
      <c r="AZ30" s="30">
        <v>0</v>
      </c>
      <c r="BA30" s="30">
        <v>2.443729301767799</v>
      </c>
      <c r="BB30" s="30">
        <v>0.15104414522767032</v>
      </c>
      <c r="BC30" s="30">
        <v>0</v>
      </c>
      <c r="BD30" s="30">
        <v>0</v>
      </c>
      <c r="BE30" s="30">
        <v>0</v>
      </c>
      <c r="BF30" s="30">
        <v>0</v>
      </c>
      <c r="BG30" s="30">
        <v>0.40253613523621112</v>
      </c>
      <c r="BH30" s="30">
        <v>1.105150644625718</v>
      </c>
      <c r="BI30" s="30">
        <v>0.57340918783234818</v>
      </c>
      <c r="BJ30" s="30">
        <v>0</v>
      </c>
      <c r="BK30" s="30">
        <v>0</v>
      </c>
      <c r="BL30" s="30">
        <v>0</v>
      </c>
      <c r="BM30" s="31">
        <f t="shared" si="0"/>
        <v>35.237613857527727</v>
      </c>
      <c r="BO30" s="125">
        <v>26.211121673857591</v>
      </c>
      <c r="BP30" s="30">
        <v>5.434788137899868E-2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4.9919798578266672E-2</v>
      </c>
      <c r="BX30" s="30">
        <v>0</v>
      </c>
      <c r="BY30" s="126">
        <v>0</v>
      </c>
      <c r="BZ30" s="30"/>
      <c r="CA30" s="43">
        <v>61.552999999999997</v>
      </c>
      <c r="CB30" s="47"/>
      <c r="CC30" s="193"/>
    </row>
    <row r="31" spans="1:81" x14ac:dyDescent="0.2">
      <c r="A31" s="28" t="s">
        <v>90</v>
      </c>
      <c r="B31" s="29" t="s">
        <v>169</v>
      </c>
      <c r="C31" s="30">
        <v>8.651125179964982</v>
      </c>
      <c r="D31" s="30">
        <v>1.799421232571413</v>
      </c>
      <c r="E31" s="30">
        <v>0</v>
      </c>
      <c r="F31" s="30">
        <v>2.0495953813766548E-2</v>
      </c>
      <c r="G31" s="30">
        <v>0.61705656505483586</v>
      </c>
      <c r="H31" s="30">
        <v>4.5174762692971191</v>
      </c>
      <c r="I31" s="30">
        <v>42.262248703774297</v>
      </c>
      <c r="J31" s="30">
        <v>35.16394088464898</v>
      </c>
      <c r="K31" s="30">
        <v>21.405540866035832</v>
      </c>
      <c r="L31" s="30">
        <v>20.89015294018207</v>
      </c>
      <c r="M31" s="30">
        <v>16.888315096324181</v>
      </c>
      <c r="N31" s="30">
        <v>4.3036982424598129</v>
      </c>
      <c r="O31" s="30">
        <v>1.2900363220901288</v>
      </c>
      <c r="P31" s="30">
        <v>28.463087720820624</v>
      </c>
      <c r="Q31" s="30">
        <v>6.8233901746170131</v>
      </c>
      <c r="R31" s="30">
        <v>8.0697249601221355</v>
      </c>
      <c r="S31" s="30">
        <v>1.9241522963730155</v>
      </c>
      <c r="T31" s="30">
        <v>0.2226280071325753</v>
      </c>
      <c r="U31" s="30">
        <v>2.7010054775579864</v>
      </c>
      <c r="V31" s="30">
        <v>10.06278393010529</v>
      </c>
      <c r="W31" s="30">
        <v>0.14497600207660638</v>
      </c>
      <c r="X31" s="30">
        <v>4.2400380205067609</v>
      </c>
      <c r="Y31" s="30">
        <v>5.3903894773400323</v>
      </c>
      <c r="Z31" s="30">
        <v>4.7759883132135723</v>
      </c>
      <c r="AA31" s="30">
        <v>0.71009019226095171</v>
      </c>
      <c r="AB31" s="30">
        <v>22.092204999756316</v>
      </c>
      <c r="AC31" s="30">
        <v>0.23831921149554569</v>
      </c>
      <c r="AD31" s="30">
        <v>7.8208929773819852E-2</v>
      </c>
      <c r="AE31" s="30">
        <v>135.50258598202311</v>
      </c>
      <c r="AF31" s="30">
        <v>0.90463937958939222</v>
      </c>
      <c r="AG31" s="30">
        <v>28.217978108545861</v>
      </c>
      <c r="AH31" s="30">
        <v>124.25198415780471</v>
      </c>
      <c r="AI31" s="30">
        <v>28.074003211906767</v>
      </c>
      <c r="AJ31" s="30">
        <v>0.30637418381298098</v>
      </c>
      <c r="AK31" s="30">
        <v>5.162812125031917</v>
      </c>
      <c r="AL31" s="30">
        <v>0</v>
      </c>
      <c r="AM31" s="30">
        <v>93.632155195336736</v>
      </c>
      <c r="AN31" s="30">
        <v>9.0913842631815882</v>
      </c>
      <c r="AO31" s="30">
        <v>5.1352952180723896</v>
      </c>
      <c r="AP31" s="30">
        <v>17.087494912529344</v>
      </c>
      <c r="AQ31" s="30">
        <v>0.35169406774367773</v>
      </c>
      <c r="AR31" s="30">
        <v>33.047634559254568</v>
      </c>
      <c r="AS31" s="30">
        <v>8.9426692802486283</v>
      </c>
      <c r="AT31" s="30">
        <v>21.859970384528712</v>
      </c>
      <c r="AU31" s="30">
        <v>10.160412176236441</v>
      </c>
      <c r="AV31" s="30">
        <v>3.1714878878675155</v>
      </c>
      <c r="AW31" s="30">
        <v>11.618658110685189</v>
      </c>
      <c r="AX31" s="30">
        <v>0.28810135774263435</v>
      </c>
      <c r="AY31" s="30">
        <v>2.2073545225034232</v>
      </c>
      <c r="AZ31" s="30">
        <v>3.0053012304087066</v>
      </c>
      <c r="BA31" s="30">
        <v>116.09400216078035</v>
      </c>
      <c r="BB31" s="30">
        <v>23.636245380036943</v>
      </c>
      <c r="BC31" s="30">
        <v>3.79203837258521</v>
      </c>
      <c r="BD31" s="30">
        <v>5.34091591492923</v>
      </c>
      <c r="BE31" s="30">
        <v>540.52338434655894</v>
      </c>
      <c r="BF31" s="30">
        <v>193.01639010390807</v>
      </c>
      <c r="BG31" s="30">
        <v>2.8581900295931937</v>
      </c>
      <c r="BH31" s="30">
        <v>18.796520026320508</v>
      </c>
      <c r="BI31" s="30">
        <v>17.244355042511888</v>
      </c>
      <c r="BJ31" s="30">
        <v>0</v>
      </c>
      <c r="BK31" s="30">
        <v>9.7163132144469895</v>
      </c>
      <c r="BL31" s="30">
        <v>12.494577072225775</v>
      </c>
      <c r="BM31" s="31">
        <f t="shared" si="0"/>
        <v>1739.2794179483215</v>
      </c>
      <c r="BO31" s="125">
        <v>1145.439932</v>
      </c>
      <c r="BP31" s="30">
        <v>0</v>
      </c>
      <c r="BQ31" s="30">
        <v>0</v>
      </c>
      <c r="BR31" s="30">
        <v>0</v>
      </c>
      <c r="BS31" s="30">
        <v>0</v>
      </c>
      <c r="BT31" s="30">
        <v>574.50827490072152</v>
      </c>
      <c r="BU31" s="30">
        <v>37.35734631778552</v>
      </c>
      <c r="BV31" s="30">
        <v>0</v>
      </c>
      <c r="BW31" s="30">
        <v>44.815209967125334</v>
      </c>
      <c r="BX31" s="30">
        <v>0</v>
      </c>
      <c r="BY31" s="126">
        <v>0</v>
      </c>
      <c r="BZ31" s="30"/>
      <c r="CA31" s="43">
        <v>3541.4</v>
      </c>
      <c r="CB31" s="47"/>
      <c r="CC31" s="193"/>
    </row>
    <row r="32" spans="1:81" x14ac:dyDescent="0.2">
      <c r="A32" s="28" t="s">
        <v>91</v>
      </c>
      <c r="B32" s="29" t="s">
        <v>170</v>
      </c>
      <c r="C32" s="30">
        <v>0.89793646265893923</v>
      </c>
      <c r="D32" s="30">
        <v>0.17978298158170231</v>
      </c>
      <c r="E32" s="30">
        <v>0</v>
      </c>
      <c r="F32" s="30">
        <v>2.0664790736741197E-3</v>
      </c>
      <c r="G32" s="30">
        <v>6.2213961377224625E-2</v>
      </c>
      <c r="H32" s="30">
        <v>0.99591048015544137</v>
      </c>
      <c r="I32" s="30">
        <v>4.3063974072192153</v>
      </c>
      <c r="J32" s="30">
        <v>3.6892432043350798</v>
      </c>
      <c r="K32" s="30">
        <v>2.1581870579074272</v>
      </c>
      <c r="L32" s="30">
        <v>2.1062237107376105</v>
      </c>
      <c r="M32" s="30">
        <v>2.0076684600512</v>
      </c>
      <c r="N32" s="30">
        <v>0.43269814731327094</v>
      </c>
      <c r="O32" s="30">
        <v>0.13006630909210057</v>
      </c>
      <c r="P32" s="30">
        <v>3.002122408731942</v>
      </c>
      <c r="Q32" s="30">
        <v>0.68795983516945891</v>
      </c>
      <c r="R32" s="30">
        <v>0.81361999114173378</v>
      </c>
      <c r="S32" s="30">
        <v>0.20801825313428887</v>
      </c>
      <c r="T32" s="30">
        <v>2.2446192167169726E-2</v>
      </c>
      <c r="U32" s="30">
        <v>0.2723255208305444</v>
      </c>
      <c r="V32" s="30">
        <v>1.0145676850862</v>
      </c>
      <c r="W32" s="30">
        <v>1.4617025252809487E-2</v>
      </c>
      <c r="X32" s="30">
        <v>0.42749656447189599</v>
      </c>
      <c r="Y32" s="30">
        <v>0.54347932060592929</v>
      </c>
      <c r="Z32" s="30">
        <v>0.48153308672753564</v>
      </c>
      <c r="AA32" s="30">
        <v>7.1593961230674269E-2</v>
      </c>
      <c r="AB32" s="30">
        <v>2.2274191158964856</v>
      </c>
      <c r="AC32" s="30">
        <v>2.4028238348159984E-2</v>
      </c>
      <c r="AD32" s="30">
        <v>7.8853181569668741E-3</v>
      </c>
      <c r="AE32" s="30">
        <v>97.887710618337309</v>
      </c>
      <c r="AF32" s="30">
        <v>69.429930683719618</v>
      </c>
      <c r="AG32" s="30">
        <v>3.0327800883720273</v>
      </c>
      <c r="AH32" s="30">
        <v>13.376977952100232</v>
      </c>
      <c r="AI32" s="30">
        <v>2.8305264872669076</v>
      </c>
      <c r="AJ32" s="30">
        <v>3.0889796362551746E-2</v>
      </c>
      <c r="AK32" s="30">
        <v>0.52053411686181217</v>
      </c>
      <c r="AL32" s="30">
        <v>0</v>
      </c>
      <c r="AM32" s="30">
        <v>8.6977302539002235</v>
      </c>
      <c r="AN32" s="30">
        <v>0.9166275207927207</v>
      </c>
      <c r="AO32" s="30">
        <v>0.51775975891190773</v>
      </c>
      <c r="AP32" s="30">
        <v>1.9769556145782281</v>
      </c>
      <c r="AQ32" s="30">
        <v>3.7886508178599065E-2</v>
      </c>
      <c r="AR32" s="30">
        <v>3.3319866873069937</v>
      </c>
      <c r="AS32" s="30">
        <v>1.0318402724134232</v>
      </c>
      <c r="AT32" s="30">
        <v>2.2579621218410808</v>
      </c>
      <c r="AU32" s="30">
        <v>1.0295391306213999</v>
      </c>
      <c r="AV32" s="30">
        <v>0.35978813499330309</v>
      </c>
      <c r="AW32" s="30">
        <v>1.1714367659132028</v>
      </c>
      <c r="AX32" s="30">
        <v>2.9047461381005394E-2</v>
      </c>
      <c r="AY32" s="30">
        <v>0.22255377672979834</v>
      </c>
      <c r="AZ32" s="30">
        <v>0.30300576197411888</v>
      </c>
      <c r="BA32" s="30">
        <v>11.776119155997694</v>
      </c>
      <c r="BB32" s="30">
        <v>2.3830950685137657</v>
      </c>
      <c r="BC32" s="30">
        <v>0.38232755668356722</v>
      </c>
      <c r="BD32" s="30">
        <v>0.53849121015491086</v>
      </c>
      <c r="BE32" s="30">
        <v>55.172645513269629</v>
      </c>
      <c r="BF32" s="30">
        <v>19.788083206204924</v>
      </c>
      <c r="BG32" s="30">
        <v>0.28817345796179505</v>
      </c>
      <c r="BH32" s="30">
        <v>1.8951357738813006</v>
      </c>
      <c r="BI32" s="30">
        <v>1.7386406682094737</v>
      </c>
      <c r="BJ32" s="30">
        <v>0</v>
      </c>
      <c r="BK32" s="30">
        <v>0.97963520572688989</v>
      </c>
      <c r="BL32" s="30">
        <v>1.2751707717245351</v>
      </c>
      <c r="BM32" s="31">
        <f t="shared" si="0"/>
        <v>331.99849427933964</v>
      </c>
      <c r="BO32" s="125">
        <v>397.97395436215567</v>
      </c>
      <c r="BP32" s="30">
        <v>0</v>
      </c>
      <c r="BQ32" s="30">
        <v>0</v>
      </c>
      <c r="BR32" s="30">
        <v>0</v>
      </c>
      <c r="BS32" s="30">
        <v>0</v>
      </c>
      <c r="BT32" s="30">
        <v>61.756247927802988</v>
      </c>
      <c r="BU32" s="30">
        <v>17.359922989271716</v>
      </c>
      <c r="BV32" s="30">
        <v>0</v>
      </c>
      <c r="BW32" s="30">
        <v>3.8479421593823737</v>
      </c>
      <c r="BX32" s="30">
        <v>0</v>
      </c>
      <c r="BY32" s="126">
        <v>0</v>
      </c>
      <c r="BZ32" s="30"/>
      <c r="CA32" s="43">
        <v>812.93649476565793</v>
      </c>
      <c r="CB32" s="47"/>
      <c r="CC32" s="193"/>
    </row>
    <row r="33" spans="1:81" x14ac:dyDescent="0.2">
      <c r="A33" s="28" t="s">
        <v>92</v>
      </c>
      <c r="B33" s="29" t="s">
        <v>5</v>
      </c>
      <c r="C33" s="30">
        <v>10.5303971525879</v>
      </c>
      <c r="D33" s="30">
        <v>1.2567524307986178</v>
      </c>
      <c r="E33" s="30">
        <v>5.1134350487501647</v>
      </c>
      <c r="F33" s="30">
        <v>7.1632701927262466E-3</v>
      </c>
      <c r="G33" s="30">
        <v>7.6196216455575945</v>
      </c>
      <c r="H33" s="30">
        <v>12.773589256114033</v>
      </c>
      <c r="I33" s="30">
        <v>61.838830433018813</v>
      </c>
      <c r="J33" s="30">
        <v>191.08009305988105</v>
      </c>
      <c r="K33" s="30">
        <v>82.32361509819205</v>
      </c>
      <c r="L33" s="30">
        <v>148.24984660589237</v>
      </c>
      <c r="M33" s="30">
        <v>35.081086686989558</v>
      </c>
      <c r="N33" s="30">
        <v>31.82398539954114</v>
      </c>
      <c r="O33" s="30">
        <v>2.3552835811584347</v>
      </c>
      <c r="P33" s="30">
        <v>10.757354630245894</v>
      </c>
      <c r="Q33" s="30">
        <v>13.316178726592</v>
      </c>
      <c r="R33" s="30">
        <v>42.992681217553915</v>
      </c>
      <c r="S33" s="30">
        <v>0.61303257532853273</v>
      </c>
      <c r="T33" s="30">
        <v>2.4035978007405738</v>
      </c>
      <c r="U33" s="30">
        <v>19.447836701540023</v>
      </c>
      <c r="V33" s="30">
        <v>25.999854960568204</v>
      </c>
      <c r="W33" s="30">
        <v>2.3023283256558558</v>
      </c>
      <c r="X33" s="30">
        <v>0.78989798915032461</v>
      </c>
      <c r="Y33" s="30">
        <v>16.097937150231932</v>
      </c>
      <c r="Z33" s="30">
        <v>8.1019450324341715</v>
      </c>
      <c r="AA33" s="30">
        <v>0.6098054786875996</v>
      </c>
      <c r="AB33" s="30">
        <v>24.462779838123904</v>
      </c>
      <c r="AC33" s="30">
        <v>0.59504833855832062</v>
      </c>
      <c r="AD33" s="30">
        <v>0.19527629950725042</v>
      </c>
      <c r="AE33" s="30">
        <v>23.862084006106112</v>
      </c>
      <c r="AF33" s="30">
        <v>3.7257249613046346</v>
      </c>
      <c r="AG33" s="30">
        <v>68.428251776854921</v>
      </c>
      <c r="AH33" s="30">
        <v>21.790383188868837</v>
      </c>
      <c r="AI33" s="30">
        <v>6.7290474373488349</v>
      </c>
      <c r="AJ33" s="30">
        <v>0.20887691171120923</v>
      </c>
      <c r="AK33" s="30">
        <v>0.38256096620619834</v>
      </c>
      <c r="AL33" s="30">
        <v>33.988467303305526</v>
      </c>
      <c r="AM33" s="30">
        <v>7.7074280235346624</v>
      </c>
      <c r="AN33" s="30">
        <v>24.47634787717039</v>
      </c>
      <c r="AO33" s="30">
        <v>7.3524295241741031</v>
      </c>
      <c r="AP33" s="30">
        <v>3.2414190218340275</v>
      </c>
      <c r="AQ33" s="30">
        <v>2.1390408140342356</v>
      </c>
      <c r="AR33" s="30">
        <v>17.14200053874838</v>
      </c>
      <c r="AS33" s="30">
        <v>17.154999915389485</v>
      </c>
      <c r="AT33" s="30">
        <v>1.7187499238063451</v>
      </c>
      <c r="AU33" s="30">
        <v>1.2224091748758892</v>
      </c>
      <c r="AV33" s="30">
        <v>12.944087520333557</v>
      </c>
      <c r="AW33" s="30">
        <v>8.2034459576403105</v>
      </c>
      <c r="AX33" s="30">
        <v>0.43864078181537519</v>
      </c>
      <c r="AY33" s="30">
        <v>0.99808529185365347</v>
      </c>
      <c r="AZ33" s="30">
        <v>4.6360257466923889</v>
      </c>
      <c r="BA33" s="30">
        <v>70.232668913924456</v>
      </c>
      <c r="BB33" s="30">
        <v>4.4889291844531991</v>
      </c>
      <c r="BC33" s="30">
        <v>4.518011905536353</v>
      </c>
      <c r="BD33" s="30">
        <v>0.98828382331451514</v>
      </c>
      <c r="BE33" s="30">
        <v>121.12284018446456</v>
      </c>
      <c r="BF33" s="30">
        <v>208.25324266601274</v>
      </c>
      <c r="BG33" s="30">
        <v>4.247529284129878</v>
      </c>
      <c r="BH33" s="30">
        <v>6.636507332381929</v>
      </c>
      <c r="BI33" s="30">
        <v>2.4524259962273285</v>
      </c>
      <c r="BJ33" s="30">
        <v>0</v>
      </c>
      <c r="BK33" s="30">
        <v>12.367347265672475</v>
      </c>
      <c r="BL33" s="30">
        <v>3.8493070459100345</v>
      </c>
      <c r="BM33" s="31">
        <f t="shared" si="0"/>
        <v>1466.3868549992292</v>
      </c>
      <c r="BO33" s="125">
        <v>2459.068466559987</v>
      </c>
      <c r="BP33" s="30">
        <v>143.48285771140587</v>
      </c>
      <c r="BQ33" s="30">
        <v>5.7128274475171317</v>
      </c>
      <c r="BR33" s="30">
        <v>480.54713740737327</v>
      </c>
      <c r="BS33" s="30">
        <v>53.825915452493305</v>
      </c>
      <c r="BT33" s="30">
        <v>117.46042781789812</v>
      </c>
      <c r="BU33" s="30">
        <v>0.31002213341313983</v>
      </c>
      <c r="BV33" s="30">
        <v>3.1312728550829637E-2</v>
      </c>
      <c r="BW33" s="30">
        <v>1.9813984101524833E-3</v>
      </c>
      <c r="BX33" s="30">
        <v>3.4304672334427223E-2</v>
      </c>
      <c r="BY33" s="126">
        <v>199.95325690617102</v>
      </c>
      <c r="BZ33" s="30"/>
      <c r="CA33" s="43">
        <v>4926.81516434485</v>
      </c>
      <c r="CB33" s="47"/>
      <c r="CC33" s="193"/>
    </row>
    <row r="34" spans="1:81" x14ac:dyDescent="0.2">
      <c r="A34" s="28" t="s">
        <v>93</v>
      </c>
      <c r="B34" s="29" t="s">
        <v>146</v>
      </c>
      <c r="C34" s="30">
        <v>4.6850636519554536</v>
      </c>
      <c r="D34" s="30">
        <v>5.5252646431614538E-2</v>
      </c>
      <c r="E34" s="30">
        <v>2.8294649856667213</v>
      </c>
      <c r="F34" s="30">
        <v>1.3195968222339372E-2</v>
      </c>
      <c r="G34" s="30">
        <v>1.130077518961893</v>
      </c>
      <c r="H34" s="30">
        <v>0.81040534722489366</v>
      </c>
      <c r="I34" s="30">
        <v>75.785041587486518</v>
      </c>
      <c r="J34" s="30">
        <v>280.92820027464711</v>
      </c>
      <c r="K34" s="30">
        <v>72.900388932219144</v>
      </c>
      <c r="L34" s="30">
        <v>277.35204737535878</v>
      </c>
      <c r="M34" s="30">
        <v>12.039078502896809</v>
      </c>
      <c r="N34" s="30">
        <v>6.8860468417798337</v>
      </c>
      <c r="O34" s="30">
        <v>1.1833299460772997</v>
      </c>
      <c r="P34" s="30">
        <v>1.963491958764092</v>
      </c>
      <c r="Q34" s="30">
        <v>7.6582935947358246</v>
      </c>
      <c r="R34" s="30">
        <v>2.4562985074073289</v>
      </c>
      <c r="S34" s="30">
        <v>4.9664297897624915E-2</v>
      </c>
      <c r="T34" s="30">
        <v>0.54774845031239494</v>
      </c>
      <c r="U34" s="30">
        <v>1.6688853698623514</v>
      </c>
      <c r="V34" s="30">
        <v>2.5657294917919078</v>
      </c>
      <c r="W34" s="30">
        <v>0.2716237749108617</v>
      </c>
      <c r="X34" s="30">
        <v>3.2499456864661513</v>
      </c>
      <c r="Y34" s="30">
        <v>2.9416737390441332</v>
      </c>
      <c r="Z34" s="30">
        <v>8.3357963264336234</v>
      </c>
      <c r="AA34" s="30">
        <v>2.1179527416548281</v>
      </c>
      <c r="AB34" s="30">
        <v>55.137878942724406</v>
      </c>
      <c r="AC34" s="30">
        <v>0.96438774184734311</v>
      </c>
      <c r="AD34" s="30">
        <v>0.31648196846388654</v>
      </c>
      <c r="AE34" s="30">
        <v>15.159909032460714</v>
      </c>
      <c r="AF34" s="30">
        <v>2.2080825168766092</v>
      </c>
      <c r="AG34" s="30">
        <v>36.935054004110867</v>
      </c>
      <c r="AH34" s="30">
        <v>86.615793619613044</v>
      </c>
      <c r="AI34" s="30">
        <v>6.271953749238242</v>
      </c>
      <c r="AJ34" s="30">
        <v>6.8737101644938126E-2</v>
      </c>
      <c r="AK34" s="30">
        <v>9.1077270472410152</v>
      </c>
      <c r="AL34" s="30">
        <v>186.56600770150447</v>
      </c>
      <c r="AM34" s="30">
        <v>22.662230891282313</v>
      </c>
      <c r="AN34" s="30">
        <v>10.84370838456663</v>
      </c>
      <c r="AO34" s="30">
        <v>26.984238373504891</v>
      </c>
      <c r="AP34" s="30">
        <v>24.534581141057071</v>
      </c>
      <c r="AQ34" s="30">
        <v>3.0120187046708584</v>
      </c>
      <c r="AR34" s="30">
        <v>26.927437638888641</v>
      </c>
      <c r="AS34" s="30">
        <v>30.013691529365136</v>
      </c>
      <c r="AT34" s="30">
        <v>1.6459085788044739E-2</v>
      </c>
      <c r="AU34" s="30">
        <v>2.3935880719071059</v>
      </c>
      <c r="AV34" s="30">
        <v>37.206244844617274</v>
      </c>
      <c r="AW34" s="30">
        <v>9.0538292221017294</v>
      </c>
      <c r="AX34" s="30">
        <v>2.8989620951215687E-2</v>
      </c>
      <c r="AY34" s="30">
        <v>0.22410752641570997</v>
      </c>
      <c r="AZ34" s="30">
        <v>3.0459283560494654</v>
      </c>
      <c r="BA34" s="30">
        <v>41.791071163666082</v>
      </c>
      <c r="BB34" s="30">
        <v>1.1353636254555166</v>
      </c>
      <c r="BC34" s="30">
        <v>0.54229083559040492</v>
      </c>
      <c r="BD34" s="30">
        <v>0.27912927022680906</v>
      </c>
      <c r="BE34" s="30">
        <v>39.388720063908146</v>
      </c>
      <c r="BF34" s="30">
        <v>30.421818250369697</v>
      </c>
      <c r="BG34" s="30">
        <v>4.2740361736498311</v>
      </c>
      <c r="BH34" s="30">
        <v>12.830419602184486</v>
      </c>
      <c r="BI34" s="30">
        <v>2.1236465150590327</v>
      </c>
      <c r="BJ34" s="30">
        <v>0</v>
      </c>
      <c r="BK34" s="30">
        <v>0.21285159631491588</v>
      </c>
      <c r="BL34" s="30">
        <v>0</v>
      </c>
      <c r="BM34" s="31">
        <f t="shared" si="0"/>
        <v>1499.7231114315261</v>
      </c>
      <c r="BO34" s="125">
        <v>5115.584029612729</v>
      </c>
      <c r="BP34" s="30">
        <v>3233.1779877743274</v>
      </c>
      <c r="BQ34" s="30">
        <v>0</v>
      </c>
      <c r="BR34" s="30">
        <v>726.59615564736634</v>
      </c>
      <c r="BS34" s="30">
        <v>55.076698430181132</v>
      </c>
      <c r="BT34" s="30">
        <v>87.913973888602968</v>
      </c>
      <c r="BU34" s="30">
        <v>0.41466901873236306</v>
      </c>
      <c r="BV34" s="30">
        <v>4.1882230404182645E-2</v>
      </c>
      <c r="BW34" s="30">
        <v>1.3378608040479745E-2</v>
      </c>
      <c r="BX34" s="30">
        <v>0.10971886439581632</v>
      </c>
      <c r="BY34" s="126">
        <v>113.4179022485808</v>
      </c>
      <c r="BZ34" s="30"/>
      <c r="CA34" s="43">
        <v>10832.069202631199</v>
      </c>
      <c r="CB34" s="47"/>
      <c r="CC34" s="193"/>
    </row>
    <row r="35" spans="1:81" x14ac:dyDescent="0.2">
      <c r="A35" s="28" t="s">
        <v>94</v>
      </c>
      <c r="B35" s="29" t="s">
        <v>147</v>
      </c>
      <c r="C35" s="30">
        <v>2.7771099020728256</v>
      </c>
      <c r="D35" s="30">
        <v>0.37198095745021836</v>
      </c>
      <c r="E35" s="30">
        <v>0.59902252521799304</v>
      </c>
      <c r="F35" s="30">
        <v>2.0582536685597071E-2</v>
      </c>
      <c r="G35" s="30">
        <v>0.90390030774630392</v>
      </c>
      <c r="H35" s="30">
        <v>2.2161190691084278</v>
      </c>
      <c r="I35" s="30">
        <v>8.2218906694415068</v>
      </c>
      <c r="J35" s="30">
        <v>37.026559957634298</v>
      </c>
      <c r="K35" s="30">
        <v>20.141726519304356</v>
      </c>
      <c r="L35" s="30">
        <v>22.138807428933671</v>
      </c>
      <c r="M35" s="30">
        <v>2.54964079470356</v>
      </c>
      <c r="N35" s="30">
        <v>4.3832579313597284</v>
      </c>
      <c r="O35" s="30">
        <v>0.37437034663063246</v>
      </c>
      <c r="P35" s="30">
        <v>5.4575371974302289</v>
      </c>
      <c r="Q35" s="30">
        <v>2.5057613464079549</v>
      </c>
      <c r="R35" s="30">
        <v>15.135960142334984</v>
      </c>
      <c r="S35" s="30">
        <v>0.31801821001161945</v>
      </c>
      <c r="T35" s="30">
        <v>0.54023064809739529</v>
      </c>
      <c r="U35" s="30">
        <v>3.3017803367068002</v>
      </c>
      <c r="V35" s="30">
        <v>12.64330686198409</v>
      </c>
      <c r="W35" s="30">
        <v>0.74110424885321213</v>
      </c>
      <c r="X35" s="30">
        <v>0.62935866296723675</v>
      </c>
      <c r="Y35" s="30">
        <v>8.9557350266016282</v>
      </c>
      <c r="Z35" s="30">
        <v>6.2961229827193117</v>
      </c>
      <c r="AA35" s="30">
        <v>1.4462465946696217</v>
      </c>
      <c r="AB35" s="30">
        <v>44.995377485651908</v>
      </c>
      <c r="AC35" s="30">
        <v>0.47614047983895841</v>
      </c>
      <c r="AD35" s="30">
        <v>0.15635728845831001</v>
      </c>
      <c r="AE35" s="30">
        <v>27.629567041265858</v>
      </c>
      <c r="AF35" s="30">
        <v>4.3141382159356443</v>
      </c>
      <c r="AG35" s="30">
        <v>42.729280898396439</v>
      </c>
      <c r="AH35" s="30">
        <v>100.28378039102658</v>
      </c>
      <c r="AI35" s="30">
        <v>273.37098696278019</v>
      </c>
      <c r="AJ35" s="30">
        <v>7.4220475429481176</v>
      </c>
      <c r="AK35" s="30">
        <v>10.88234713525285</v>
      </c>
      <c r="AL35" s="30">
        <v>235.15847856075993</v>
      </c>
      <c r="AM35" s="30">
        <v>51.802196231536762</v>
      </c>
      <c r="AN35" s="30">
        <v>36.677575389390263</v>
      </c>
      <c r="AO35" s="30">
        <v>14.283428337931255</v>
      </c>
      <c r="AP35" s="30">
        <v>17.936006096737916</v>
      </c>
      <c r="AQ35" s="30">
        <v>1.0591641345068223</v>
      </c>
      <c r="AR35" s="30">
        <v>8.7696842704628786</v>
      </c>
      <c r="AS35" s="30">
        <v>19.342376524759118</v>
      </c>
      <c r="AT35" s="30">
        <v>3.6020044000707398E-3</v>
      </c>
      <c r="AU35" s="30">
        <v>2.5406681002657563</v>
      </c>
      <c r="AV35" s="30">
        <v>12.788472110253709</v>
      </c>
      <c r="AW35" s="30">
        <v>2.2329296298420114</v>
      </c>
      <c r="AX35" s="30">
        <v>0.3117050963438594</v>
      </c>
      <c r="AY35" s="30">
        <v>0.57024827314117765</v>
      </c>
      <c r="AZ35" s="30">
        <v>3.6336695138665625</v>
      </c>
      <c r="BA35" s="30">
        <v>19.342100434338722</v>
      </c>
      <c r="BB35" s="30">
        <v>3.158692677517517</v>
      </c>
      <c r="BC35" s="30">
        <v>1.7497625287768237</v>
      </c>
      <c r="BD35" s="30">
        <v>1.1207984076204762</v>
      </c>
      <c r="BE35" s="30">
        <v>278.50161351859134</v>
      </c>
      <c r="BF35" s="30">
        <v>68.311109977436999</v>
      </c>
      <c r="BG35" s="30">
        <v>2.3244209301691066</v>
      </c>
      <c r="BH35" s="30">
        <v>5.3348098882087767</v>
      </c>
      <c r="BI35" s="30">
        <v>1.2678977467613519</v>
      </c>
      <c r="BJ35" s="30">
        <v>0</v>
      </c>
      <c r="BK35" s="30">
        <v>1.7652821847721352</v>
      </c>
      <c r="BL35" s="30">
        <v>0.62768453412059055</v>
      </c>
      <c r="BM35" s="31">
        <f t="shared" si="0"/>
        <v>1462.5705317491397</v>
      </c>
      <c r="BO35" s="125">
        <v>1504.0446749924504</v>
      </c>
      <c r="BP35" s="30">
        <v>0</v>
      </c>
      <c r="BQ35" s="30">
        <v>0</v>
      </c>
      <c r="BR35" s="30">
        <v>0</v>
      </c>
      <c r="BS35" s="30">
        <v>0</v>
      </c>
      <c r="BT35" s="30">
        <v>101.64011369580624</v>
      </c>
      <c r="BU35" s="30">
        <v>0</v>
      </c>
      <c r="BV35" s="30">
        <v>0</v>
      </c>
      <c r="BW35" s="30">
        <v>0</v>
      </c>
      <c r="BX35" s="30">
        <v>0</v>
      </c>
      <c r="BY35" s="126">
        <v>1646.2486975291699</v>
      </c>
      <c r="BZ35" s="30"/>
      <c r="CA35" s="43">
        <v>4714.503724374792</v>
      </c>
      <c r="CB35" s="47"/>
      <c r="CC35" s="193"/>
    </row>
    <row r="36" spans="1:81" x14ac:dyDescent="0.2">
      <c r="A36" s="28" t="s">
        <v>95</v>
      </c>
      <c r="B36" s="33" t="s">
        <v>148</v>
      </c>
      <c r="C36" s="30">
        <v>4.8912951893739072</v>
      </c>
      <c r="D36" s="30">
        <v>0.23798504661041089</v>
      </c>
      <c r="E36" s="30">
        <v>0.76002576027201818</v>
      </c>
      <c r="F36" s="30">
        <v>4.5652090377392394E-3</v>
      </c>
      <c r="G36" s="30">
        <v>0.35688083520672942</v>
      </c>
      <c r="H36" s="30">
        <v>1.0589981593789182</v>
      </c>
      <c r="I36" s="30">
        <v>3.3212161841643439</v>
      </c>
      <c r="J36" s="30">
        <v>40.814300844762329</v>
      </c>
      <c r="K36" s="30">
        <v>30.844412591822817</v>
      </c>
      <c r="L36" s="30">
        <v>13.35684396525868</v>
      </c>
      <c r="M36" s="30">
        <v>0.5028200212152647</v>
      </c>
      <c r="N36" s="30">
        <v>0.53803620516450057</v>
      </c>
      <c r="O36" s="30">
        <v>9.621093697269878E-2</v>
      </c>
      <c r="P36" s="30">
        <v>4.726004507583518</v>
      </c>
      <c r="Q36" s="30">
        <v>1.2475477380444824</v>
      </c>
      <c r="R36" s="30">
        <v>18.026132897904525</v>
      </c>
      <c r="S36" s="30">
        <v>1.0558380569034558</v>
      </c>
      <c r="T36" s="30">
        <v>0.59895942479121389</v>
      </c>
      <c r="U36" s="30">
        <v>1.9704746317145827</v>
      </c>
      <c r="V36" s="30">
        <v>4.9771254850661606</v>
      </c>
      <c r="W36" s="30">
        <v>1.1554921391845054</v>
      </c>
      <c r="X36" s="30">
        <v>0.41644178297246104</v>
      </c>
      <c r="Y36" s="30">
        <v>1.6155703422365717</v>
      </c>
      <c r="Z36" s="30">
        <v>1.8854784060945147</v>
      </c>
      <c r="AA36" s="30">
        <v>1.9836226233138246</v>
      </c>
      <c r="AB36" s="30">
        <v>23.722208168366461</v>
      </c>
      <c r="AC36" s="30">
        <v>0.24087297685702364</v>
      </c>
      <c r="AD36" s="30">
        <v>7.9252872553096668E-2</v>
      </c>
      <c r="AE36" s="30">
        <v>12.247498242310783</v>
      </c>
      <c r="AF36" s="30">
        <v>1.912159355317558</v>
      </c>
      <c r="AG36" s="30">
        <v>10.2439956874045</v>
      </c>
      <c r="AH36" s="30">
        <v>13.193876296604511</v>
      </c>
      <c r="AI36" s="30">
        <v>8.6473546431254</v>
      </c>
      <c r="AJ36" s="30">
        <v>389.0058623912218</v>
      </c>
      <c r="AK36" s="30">
        <v>5.1206184511602739</v>
      </c>
      <c r="AL36" s="30">
        <v>512.8723975586588</v>
      </c>
      <c r="AM36" s="30">
        <v>97.176530712100231</v>
      </c>
      <c r="AN36" s="30">
        <v>22.848074673591494</v>
      </c>
      <c r="AO36" s="30">
        <v>1.8141968010543417</v>
      </c>
      <c r="AP36" s="30">
        <v>2.1084963334536249</v>
      </c>
      <c r="AQ36" s="30">
        <v>0.30431866495134141</v>
      </c>
      <c r="AR36" s="30">
        <v>1.9881368549397467</v>
      </c>
      <c r="AS36" s="30">
        <v>8.2774029811865191</v>
      </c>
      <c r="AT36" s="30">
        <v>7.6894412416229887</v>
      </c>
      <c r="AU36" s="30">
        <v>0.41617063590619047</v>
      </c>
      <c r="AV36" s="30">
        <v>7.0713148601463329</v>
      </c>
      <c r="AW36" s="30">
        <v>1.9597879015225677</v>
      </c>
      <c r="AX36" s="30">
        <v>0.1252189613018595</v>
      </c>
      <c r="AY36" s="30">
        <v>0.25048041820939981</v>
      </c>
      <c r="AZ36" s="30">
        <v>0.91806548405452804</v>
      </c>
      <c r="BA36" s="30">
        <v>24.775681313004291</v>
      </c>
      <c r="BB36" s="30">
        <v>0.73312660213413317</v>
      </c>
      <c r="BC36" s="30">
        <v>0.55626897686250554</v>
      </c>
      <c r="BD36" s="30">
        <v>0.35175883274205239</v>
      </c>
      <c r="BE36" s="30">
        <v>62.165066125481118</v>
      </c>
      <c r="BF36" s="30">
        <v>12.304865985195923</v>
      </c>
      <c r="BG36" s="30">
        <v>0.34720873246441791</v>
      </c>
      <c r="BH36" s="30">
        <v>1.6076825377940041</v>
      </c>
      <c r="BI36" s="30">
        <v>0.45342615291454208</v>
      </c>
      <c r="BJ36" s="30">
        <v>0</v>
      </c>
      <c r="BK36" s="30">
        <v>2.0505289148127694</v>
      </c>
      <c r="BL36" s="30">
        <v>0.34218324536678063</v>
      </c>
      <c r="BM36" s="31">
        <f t="shared" si="0"/>
        <v>1372.3638095714439</v>
      </c>
      <c r="BO36" s="125">
        <v>1485.8568111622878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126">
        <v>2.3192820714309178E-12</v>
      </c>
      <c r="BZ36" s="30"/>
      <c r="CA36" s="43">
        <v>2858.2201426373927</v>
      </c>
      <c r="CB36" s="47"/>
      <c r="CC36" s="193"/>
    </row>
    <row r="37" spans="1:81" x14ac:dyDescent="0.2">
      <c r="A37" s="28" t="s">
        <v>96</v>
      </c>
      <c r="B37" s="33" t="s">
        <v>149</v>
      </c>
      <c r="C37" s="30">
        <v>5.5958323398680281E-2</v>
      </c>
      <c r="D37" s="30">
        <v>1.6972075012291588E-2</v>
      </c>
      <c r="E37" s="30">
        <v>6.1214141725116598E-2</v>
      </c>
      <c r="F37" s="30">
        <v>3.3864621521113181E-3</v>
      </c>
      <c r="G37" s="30">
        <v>3.8328259759777467E-2</v>
      </c>
      <c r="H37" s="30">
        <v>0.53650665354088745</v>
      </c>
      <c r="I37" s="30">
        <v>0.36136312801464687</v>
      </c>
      <c r="J37" s="30">
        <v>1.0340625671735564</v>
      </c>
      <c r="K37" s="30">
        <v>0.82115785769374561</v>
      </c>
      <c r="L37" s="30">
        <v>0.39639648986305315</v>
      </c>
      <c r="M37" s="30">
        <v>0</v>
      </c>
      <c r="N37" s="30">
        <v>0</v>
      </c>
      <c r="O37" s="30">
        <v>0</v>
      </c>
      <c r="P37" s="30">
        <v>0</v>
      </c>
      <c r="Q37" s="30">
        <v>1.9905952901522205E-2</v>
      </c>
      <c r="R37" s="30">
        <v>4.6109506053965443</v>
      </c>
      <c r="S37" s="30">
        <v>5.9618423273628082E-2</v>
      </c>
      <c r="T37" s="30">
        <v>5.3554878358775468E-2</v>
      </c>
      <c r="U37" s="30">
        <v>0.17940230040773392</v>
      </c>
      <c r="V37" s="30">
        <v>0.74641636055351646</v>
      </c>
      <c r="W37" s="30">
        <v>7.8477592369724167E-2</v>
      </c>
      <c r="X37" s="30">
        <v>9.7057493692787322E-2</v>
      </c>
      <c r="Y37" s="30">
        <v>1.3436514191505189</v>
      </c>
      <c r="Z37" s="30">
        <v>1.5215387577933541</v>
      </c>
      <c r="AA37" s="30">
        <v>0.18622056162122466</v>
      </c>
      <c r="AB37" s="30">
        <v>5.7936623647858694</v>
      </c>
      <c r="AC37" s="30">
        <v>0.33521071814741932</v>
      </c>
      <c r="AD37" s="30">
        <v>0.11000569929089961</v>
      </c>
      <c r="AE37" s="30">
        <v>6.2683907968142245</v>
      </c>
      <c r="AF37" s="30">
        <v>0.97902827741634901</v>
      </c>
      <c r="AG37" s="30">
        <v>0</v>
      </c>
      <c r="AH37" s="30">
        <v>7.9832843611909556</v>
      </c>
      <c r="AI37" s="30">
        <v>264.66848668673487</v>
      </c>
      <c r="AJ37" s="30">
        <v>40.801363843164729</v>
      </c>
      <c r="AK37" s="30">
        <v>146.16729965372005</v>
      </c>
      <c r="AL37" s="30">
        <v>0</v>
      </c>
      <c r="AM37" s="30">
        <v>3.7791495455012303</v>
      </c>
      <c r="AN37" s="30">
        <v>0.94363709171340659</v>
      </c>
      <c r="AO37" s="30">
        <v>0.32200495768948861</v>
      </c>
      <c r="AP37" s="30">
        <v>1.8229503200660444</v>
      </c>
      <c r="AQ37" s="30">
        <v>0.16243847319489788</v>
      </c>
      <c r="AR37" s="30">
        <v>2.8628423264813367</v>
      </c>
      <c r="AS37" s="30">
        <v>5.2335749720740985</v>
      </c>
      <c r="AT37" s="30">
        <v>0</v>
      </c>
      <c r="AU37" s="30">
        <v>0.25618251946439125</v>
      </c>
      <c r="AV37" s="30">
        <v>0.57625377064772332</v>
      </c>
      <c r="AW37" s="30">
        <v>0.25292176331740535</v>
      </c>
      <c r="AX37" s="30">
        <v>0.22895340815258172</v>
      </c>
      <c r="AY37" s="30">
        <v>0.4406247199402929</v>
      </c>
      <c r="AZ37" s="30">
        <v>4.1967202498991309E-2</v>
      </c>
      <c r="BA37" s="30">
        <v>3.9301377257677581</v>
      </c>
      <c r="BB37" s="30">
        <v>0.27530906853862402</v>
      </c>
      <c r="BC37" s="30">
        <v>1.0407195123754687</v>
      </c>
      <c r="BD37" s="30">
        <v>4.8707026189923994E-2</v>
      </c>
      <c r="BE37" s="30">
        <v>3.9731577051799523</v>
      </c>
      <c r="BF37" s="30">
        <v>1.9667320948485918</v>
      </c>
      <c r="BG37" s="30">
        <v>6.6132461285191221E-2</v>
      </c>
      <c r="BH37" s="30">
        <v>0.41977682088485829</v>
      </c>
      <c r="BI37" s="30">
        <v>2.2917223402479001</v>
      </c>
      <c r="BJ37" s="30">
        <v>0</v>
      </c>
      <c r="BK37" s="30">
        <v>1.4795364882983635</v>
      </c>
      <c r="BL37" s="30">
        <v>1.0853274720431645</v>
      </c>
      <c r="BM37" s="31">
        <f t="shared" si="0"/>
        <v>518.82963249152033</v>
      </c>
      <c r="BO37" s="125">
        <v>348.91990800880467</v>
      </c>
      <c r="BP37" s="30">
        <v>0</v>
      </c>
      <c r="BQ37" s="30">
        <v>0</v>
      </c>
      <c r="BR37" s="30">
        <v>0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126">
        <v>41.832989767259576</v>
      </c>
      <c r="BZ37" s="30"/>
      <c r="CA37" s="43">
        <v>909.58243707375391</v>
      </c>
      <c r="CB37" s="47"/>
      <c r="CC37" s="193"/>
    </row>
    <row r="38" spans="1:81" x14ac:dyDescent="0.2">
      <c r="A38" s="28" t="s">
        <v>97</v>
      </c>
      <c r="B38" s="33" t="s">
        <v>6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0</v>
      </c>
      <c r="BL38" s="30">
        <v>0</v>
      </c>
      <c r="BM38" s="31">
        <f t="shared" si="0"/>
        <v>0</v>
      </c>
      <c r="BO38" s="125">
        <v>12504.511226550552</v>
      </c>
      <c r="BP38" s="30">
        <v>383.58634032720522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126">
        <v>0</v>
      </c>
      <c r="BZ38" s="30"/>
      <c r="CA38" s="43">
        <v>12888.097566877757</v>
      </c>
      <c r="CB38" s="47"/>
      <c r="CC38" s="193"/>
    </row>
    <row r="39" spans="1:81" x14ac:dyDescent="0.2">
      <c r="A39" s="28" t="s">
        <v>98</v>
      </c>
      <c r="B39" s="33" t="s">
        <v>7</v>
      </c>
      <c r="C39" s="30">
        <v>17.781916006118685</v>
      </c>
      <c r="D39" s="30">
        <v>2.2207548753568376</v>
      </c>
      <c r="E39" s="30">
        <v>5.4607846526184944E-2</v>
      </c>
      <c r="F39" s="30">
        <v>8.7287852758103097E-3</v>
      </c>
      <c r="G39" s="30">
        <v>0.67196438695926353</v>
      </c>
      <c r="H39" s="30">
        <v>1.8876940425794588</v>
      </c>
      <c r="I39" s="30">
        <v>31.884742623524854</v>
      </c>
      <c r="J39" s="30">
        <v>85.754956876497999</v>
      </c>
      <c r="K39" s="30">
        <v>20.611283765005918</v>
      </c>
      <c r="L39" s="30">
        <v>39.473640443731938</v>
      </c>
      <c r="M39" s="30">
        <v>7.7457632216337808</v>
      </c>
      <c r="N39" s="30">
        <v>2.8459911178914865</v>
      </c>
      <c r="O39" s="30">
        <v>1.0452001268997768</v>
      </c>
      <c r="P39" s="30">
        <v>7.9675497064544532</v>
      </c>
      <c r="Q39" s="30">
        <v>2.404517914811453</v>
      </c>
      <c r="R39" s="30">
        <v>20.53815104148547</v>
      </c>
      <c r="S39" s="30">
        <v>1.3516895515570655</v>
      </c>
      <c r="T39" s="30">
        <v>0.90465800122812567</v>
      </c>
      <c r="U39" s="30">
        <v>3.6628799845530282</v>
      </c>
      <c r="V39" s="30">
        <v>44.532199777991728</v>
      </c>
      <c r="W39" s="30">
        <v>2.0515936317187169</v>
      </c>
      <c r="X39" s="30">
        <v>13.470116850014898</v>
      </c>
      <c r="Y39" s="30">
        <v>16.132905332902244</v>
      </c>
      <c r="Z39" s="30">
        <v>14.963574575056299</v>
      </c>
      <c r="AA39" s="30">
        <v>2.7877093780108031</v>
      </c>
      <c r="AB39" s="30">
        <v>59.23852641309729</v>
      </c>
      <c r="AC39" s="30">
        <v>0.9836083291494131</v>
      </c>
      <c r="AD39" s="30">
        <v>0.3227895655438115</v>
      </c>
      <c r="AE39" s="30">
        <v>18.663526658656618</v>
      </c>
      <c r="AF39" s="30">
        <v>2.9143532633174978</v>
      </c>
      <c r="AG39" s="30">
        <v>85.293507207403891</v>
      </c>
      <c r="AH39" s="30">
        <v>603.10943181779351</v>
      </c>
      <c r="AI39" s="30">
        <v>124.33108163499152</v>
      </c>
      <c r="AJ39" s="30">
        <v>64.231969908399194</v>
      </c>
      <c r="AK39" s="30">
        <v>58.846621879929728</v>
      </c>
      <c r="AL39" s="30">
        <v>171.04155977951913</v>
      </c>
      <c r="AM39" s="30">
        <v>529.55350629914665</v>
      </c>
      <c r="AN39" s="30">
        <v>32.371366252045839</v>
      </c>
      <c r="AO39" s="30">
        <v>125.65349370395134</v>
      </c>
      <c r="AP39" s="30">
        <v>151.21656659709555</v>
      </c>
      <c r="AQ39" s="30">
        <v>6.2473807572886848</v>
      </c>
      <c r="AR39" s="30">
        <v>65.223456936797433</v>
      </c>
      <c r="AS39" s="30">
        <v>118.72590658836536</v>
      </c>
      <c r="AT39" s="30">
        <v>44.27347168325025</v>
      </c>
      <c r="AU39" s="30">
        <v>10.446509340955451</v>
      </c>
      <c r="AV39" s="30">
        <v>26.121114767869006</v>
      </c>
      <c r="AW39" s="30">
        <v>1.3552153209775186</v>
      </c>
      <c r="AX39" s="30">
        <v>9.8652799028026124</v>
      </c>
      <c r="AY39" s="30">
        <v>13.155111734531923</v>
      </c>
      <c r="AZ39" s="30">
        <v>17.487224426222635</v>
      </c>
      <c r="BA39" s="30">
        <v>321.69437035137463</v>
      </c>
      <c r="BB39" s="30">
        <v>28.423768180287738</v>
      </c>
      <c r="BC39" s="30">
        <v>17.628266475585889</v>
      </c>
      <c r="BD39" s="30">
        <v>6.6057056774559992</v>
      </c>
      <c r="BE39" s="30">
        <v>316.32363723591408</v>
      </c>
      <c r="BF39" s="30">
        <v>281.65444721677778</v>
      </c>
      <c r="BG39" s="30">
        <v>11.779920921409028</v>
      </c>
      <c r="BH39" s="30">
        <v>47.362509473533699</v>
      </c>
      <c r="BI39" s="30">
        <v>20.819374996305687</v>
      </c>
      <c r="BJ39" s="30">
        <v>0</v>
      </c>
      <c r="BK39" s="30">
        <v>6.5824913390594819</v>
      </c>
      <c r="BL39" s="30">
        <v>4.2482725695935422</v>
      </c>
      <c r="BM39" s="31">
        <f t="shared" si="0"/>
        <v>3746.550135070187</v>
      </c>
      <c r="BO39" s="125">
        <v>3182.1601490825788</v>
      </c>
      <c r="BP39" s="30">
        <v>453.39406928694336</v>
      </c>
      <c r="BQ39" s="30">
        <v>0</v>
      </c>
      <c r="BR39" s="30">
        <v>54.714112790792633</v>
      </c>
      <c r="BS39" s="30">
        <v>23.309855167961597</v>
      </c>
      <c r="BT39" s="30">
        <v>156.4851059293768</v>
      </c>
      <c r="BU39" s="30">
        <v>1.6447361645242169E-2</v>
      </c>
      <c r="BV39" s="30">
        <v>0</v>
      </c>
      <c r="BW39" s="30">
        <v>0.22738940377271741</v>
      </c>
      <c r="BX39" s="30">
        <v>0</v>
      </c>
      <c r="BY39" s="126">
        <v>379.02298481811613</v>
      </c>
      <c r="BZ39" s="30"/>
      <c r="CA39" s="43">
        <v>7995.88</v>
      </c>
      <c r="CB39" s="47"/>
      <c r="CC39" s="193"/>
    </row>
    <row r="40" spans="1:81" x14ac:dyDescent="0.2">
      <c r="A40" s="28" t="s">
        <v>99</v>
      </c>
      <c r="B40" s="33" t="s">
        <v>150</v>
      </c>
      <c r="C40" s="30">
        <v>5.4775805618769393</v>
      </c>
      <c r="D40" s="30">
        <v>0.64884435116949601</v>
      </c>
      <c r="E40" s="30">
        <v>0.46656697352160809</v>
      </c>
      <c r="F40" s="30">
        <v>8.1796085363892546E-2</v>
      </c>
      <c r="G40" s="30">
        <v>2.2559284535885737</v>
      </c>
      <c r="H40" s="30">
        <v>5.6835004320075377</v>
      </c>
      <c r="I40" s="30">
        <v>32.579299726765854</v>
      </c>
      <c r="J40" s="30">
        <v>177.11120063849992</v>
      </c>
      <c r="K40" s="30">
        <v>135.76926156572924</v>
      </c>
      <c r="L40" s="30">
        <v>168.51565810184641</v>
      </c>
      <c r="M40" s="30">
        <v>18.388280961028212</v>
      </c>
      <c r="N40" s="30">
        <v>10.148070951346725</v>
      </c>
      <c r="O40" s="30">
        <v>1.048544922133712</v>
      </c>
      <c r="P40" s="30">
        <v>10.13883506290326</v>
      </c>
      <c r="Q40" s="30">
        <v>10.614534118078977</v>
      </c>
      <c r="R40" s="30">
        <v>16.275692119679231</v>
      </c>
      <c r="S40" s="30">
        <v>1.1984859644330828</v>
      </c>
      <c r="T40" s="30">
        <v>4.6884683572739663</v>
      </c>
      <c r="U40" s="30">
        <v>5.4766424354650605</v>
      </c>
      <c r="V40" s="30">
        <v>51.17956439560686</v>
      </c>
      <c r="W40" s="30">
        <v>2.6296949596318053</v>
      </c>
      <c r="X40" s="30">
        <v>5.7208434083190971</v>
      </c>
      <c r="Y40" s="30">
        <v>19.571391010678266</v>
      </c>
      <c r="Z40" s="30">
        <v>7.2818432622501108</v>
      </c>
      <c r="AA40" s="30">
        <v>4.0418773180794663</v>
      </c>
      <c r="AB40" s="30">
        <v>167.73521308248101</v>
      </c>
      <c r="AC40" s="30">
        <v>2.5130189800622245</v>
      </c>
      <c r="AD40" s="30">
        <v>0.82469442433362872</v>
      </c>
      <c r="AE40" s="30">
        <v>13.581101769248304</v>
      </c>
      <c r="AF40" s="30">
        <v>1.9781248892976673</v>
      </c>
      <c r="AG40" s="30">
        <v>84.581842180744133</v>
      </c>
      <c r="AH40" s="30">
        <v>88.459568031329113</v>
      </c>
      <c r="AI40" s="30">
        <v>33.054277894020061</v>
      </c>
      <c r="AJ40" s="30">
        <v>16.736488276757655</v>
      </c>
      <c r="AK40" s="30">
        <v>10.539104116041045</v>
      </c>
      <c r="AL40" s="30">
        <v>3.1829149181331919</v>
      </c>
      <c r="AM40" s="30">
        <v>24.924475141544068</v>
      </c>
      <c r="AN40" s="30">
        <v>9.9408908776562885</v>
      </c>
      <c r="AO40" s="30">
        <v>3.5895639027940951</v>
      </c>
      <c r="AP40" s="30">
        <v>21.297518876884322</v>
      </c>
      <c r="AQ40" s="30">
        <v>5.1217907358645203</v>
      </c>
      <c r="AR40" s="30">
        <v>23.399187756757012</v>
      </c>
      <c r="AS40" s="30">
        <v>17.231368122230602</v>
      </c>
      <c r="AT40" s="30">
        <v>68.522738680226553</v>
      </c>
      <c r="AU40" s="30">
        <v>16.059441879004435</v>
      </c>
      <c r="AV40" s="30">
        <v>22.441342282249327</v>
      </c>
      <c r="AW40" s="30">
        <v>2.1932972354557361</v>
      </c>
      <c r="AX40" s="30">
        <v>0.46523108521247042</v>
      </c>
      <c r="AY40" s="30">
        <v>0.8851648159553408</v>
      </c>
      <c r="AZ40" s="30">
        <v>5.5103660948873552</v>
      </c>
      <c r="BA40" s="30">
        <v>70.875160524170923</v>
      </c>
      <c r="BB40" s="30">
        <v>4.4322179451801054</v>
      </c>
      <c r="BC40" s="30">
        <v>1.3711054060314585</v>
      </c>
      <c r="BD40" s="30">
        <v>2.2082610520704393</v>
      </c>
      <c r="BE40" s="30">
        <v>165.41720645781149</v>
      </c>
      <c r="BF40" s="30">
        <v>49.683542404541967</v>
      </c>
      <c r="BG40" s="30">
        <v>1.8088992852050598</v>
      </c>
      <c r="BH40" s="30">
        <v>14.096079279660989</v>
      </c>
      <c r="BI40" s="30">
        <v>4.7227548829924233</v>
      </c>
      <c r="BJ40" s="30">
        <v>0</v>
      </c>
      <c r="BK40" s="30">
        <v>2.1508892046948667</v>
      </c>
      <c r="BL40" s="30">
        <v>3.1725343954106173</v>
      </c>
      <c r="BM40" s="31">
        <f t="shared" si="0"/>
        <v>1661.6997830242178</v>
      </c>
      <c r="BO40" s="125">
        <v>515.90768154740181</v>
      </c>
      <c r="BP40" s="30">
        <v>1120.1133922813899</v>
      </c>
      <c r="BQ40" s="30">
        <v>0</v>
      </c>
      <c r="BR40" s="30">
        <v>0</v>
      </c>
      <c r="BS40" s="30">
        <v>0</v>
      </c>
      <c r="BT40" s="30">
        <v>62.489470268557355</v>
      </c>
      <c r="BU40" s="30">
        <v>0.19107555908236926</v>
      </c>
      <c r="BV40" s="30">
        <v>0</v>
      </c>
      <c r="BW40" s="30">
        <v>0.10395335023960636</v>
      </c>
      <c r="BX40" s="30">
        <v>0</v>
      </c>
      <c r="BY40" s="126">
        <v>0</v>
      </c>
      <c r="BZ40" s="30"/>
      <c r="CA40" s="43">
        <v>3360.5051522795447</v>
      </c>
      <c r="CB40" s="47"/>
      <c r="CC40" s="193"/>
    </row>
    <row r="41" spans="1:81" x14ac:dyDescent="0.2">
      <c r="A41" s="28" t="s">
        <v>100</v>
      </c>
      <c r="B41" s="29" t="s">
        <v>8</v>
      </c>
      <c r="C41" s="30">
        <v>0.23230164748964072</v>
      </c>
      <c r="D41" s="30">
        <v>4.8471009505922466E-2</v>
      </c>
      <c r="E41" s="30">
        <v>8.1192943015572852E-2</v>
      </c>
      <c r="F41" s="30">
        <v>5.3790765622791876E-3</v>
      </c>
      <c r="G41" s="30">
        <v>1.1781048134411225</v>
      </c>
      <c r="H41" s="30">
        <v>1.3566264866667819</v>
      </c>
      <c r="I41" s="30">
        <v>3.6148916337267578</v>
      </c>
      <c r="J41" s="30">
        <v>32.648925649603228</v>
      </c>
      <c r="K41" s="30">
        <v>3.3390759996607171</v>
      </c>
      <c r="L41" s="30">
        <v>5.0829226832830736</v>
      </c>
      <c r="M41" s="30">
        <v>1.2421056000173909</v>
      </c>
      <c r="N41" s="30">
        <v>1.1149744533073485</v>
      </c>
      <c r="O41" s="30">
        <v>0.11566769505622261</v>
      </c>
      <c r="P41" s="30">
        <v>5.6510293019174496</v>
      </c>
      <c r="Q41" s="30">
        <v>1.0487235363946739</v>
      </c>
      <c r="R41" s="30">
        <v>12.972904325928242</v>
      </c>
      <c r="S41" s="30">
        <v>0.42435126734049938</v>
      </c>
      <c r="T41" s="30">
        <v>0.2138808111457329</v>
      </c>
      <c r="U41" s="30">
        <v>3.5692752745027554</v>
      </c>
      <c r="V41" s="30">
        <v>50.447388879485224</v>
      </c>
      <c r="W41" s="30">
        <v>1.9609560103854997</v>
      </c>
      <c r="X41" s="30">
        <v>1.1031970462611052</v>
      </c>
      <c r="Y41" s="30">
        <v>9.9636068177630097</v>
      </c>
      <c r="Z41" s="30">
        <v>3.0022838776468914</v>
      </c>
      <c r="AA41" s="30">
        <v>0.97616988911850155</v>
      </c>
      <c r="AB41" s="30">
        <v>15.530851350576004</v>
      </c>
      <c r="AC41" s="30">
        <v>0.28289188893161865</v>
      </c>
      <c r="AD41" s="30">
        <v>9.2836291863317599E-2</v>
      </c>
      <c r="AE41" s="30">
        <v>46.930350724831122</v>
      </c>
      <c r="AF41" s="30">
        <v>7.327668515640398</v>
      </c>
      <c r="AG41" s="30">
        <v>16.892600686034363</v>
      </c>
      <c r="AH41" s="30">
        <v>35.733260978151776</v>
      </c>
      <c r="AI41" s="30">
        <v>32.33618169359471</v>
      </c>
      <c r="AJ41" s="30">
        <v>8.0890878936872834</v>
      </c>
      <c r="AK41" s="30">
        <v>17.585083260887139</v>
      </c>
      <c r="AL41" s="30">
        <v>60.971006755580703</v>
      </c>
      <c r="AM41" s="30">
        <v>42.42079082726638</v>
      </c>
      <c r="AN41" s="30">
        <v>5.1183058438932658</v>
      </c>
      <c r="AO41" s="30">
        <v>66.197564630963129</v>
      </c>
      <c r="AP41" s="30">
        <v>14.166981835915486</v>
      </c>
      <c r="AQ41" s="30">
        <v>0.92416457087645021</v>
      </c>
      <c r="AR41" s="30">
        <v>13.865822474114506</v>
      </c>
      <c r="AS41" s="30">
        <v>23.515771025771709</v>
      </c>
      <c r="AT41" s="30">
        <v>41.350281961546685</v>
      </c>
      <c r="AU41" s="30">
        <v>12.730056451251752</v>
      </c>
      <c r="AV41" s="30">
        <v>6.5689311842522393</v>
      </c>
      <c r="AW41" s="30">
        <v>1.9341323756746589</v>
      </c>
      <c r="AX41" s="30">
        <v>0.22315770440057717</v>
      </c>
      <c r="AY41" s="30">
        <v>1.7059632947878702</v>
      </c>
      <c r="AZ41" s="30">
        <v>5.7867008510809823</v>
      </c>
      <c r="BA41" s="30">
        <v>58.994424595173989</v>
      </c>
      <c r="BB41" s="30">
        <v>5.4504991449279414</v>
      </c>
      <c r="BC41" s="30">
        <v>2.6421215272583645</v>
      </c>
      <c r="BD41" s="30">
        <v>0.89694780481836689</v>
      </c>
      <c r="BE41" s="30">
        <v>36.596098688487537</v>
      </c>
      <c r="BF41" s="30">
        <v>8.0972710095550386</v>
      </c>
      <c r="BG41" s="30">
        <v>0.61782801818690825</v>
      </c>
      <c r="BH41" s="30">
        <v>2.6866585960645808</v>
      </c>
      <c r="BI41" s="30">
        <v>2.4631759189267748</v>
      </c>
      <c r="BJ41" s="30">
        <v>0</v>
      </c>
      <c r="BK41" s="30">
        <v>0.30095919521710796</v>
      </c>
      <c r="BL41" s="30">
        <v>0.81351955747178206</v>
      </c>
      <c r="BM41" s="31">
        <f t="shared" si="0"/>
        <v>739.23435585688833</v>
      </c>
      <c r="BO41" s="125">
        <v>899.19336688497719</v>
      </c>
      <c r="BP41" s="30">
        <v>0</v>
      </c>
      <c r="BQ41" s="30">
        <v>0</v>
      </c>
      <c r="BR41" s="30">
        <v>0</v>
      </c>
      <c r="BS41" s="30">
        <v>0</v>
      </c>
      <c r="BT41" s="30">
        <v>0</v>
      </c>
      <c r="BU41" s="30">
        <v>3.3686566413965923E-3</v>
      </c>
      <c r="BV41" s="30">
        <v>0</v>
      </c>
      <c r="BW41" s="30">
        <v>1.6625045575670815E-2</v>
      </c>
      <c r="BX41" s="30">
        <v>0</v>
      </c>
      <c r="BY41" s="126">
        <v>201.39784453386082</v>
      </c>
      <c r="BZ41" s="30"/>
      <c r="CA41" s="43">
        <v>1839.84552265861</v>
      </c>
      <c r="CB41" s="47"/>
      <c r="CC41" s="193"/>
    </row>
    <row r="42" spans="1:81" x14ac:dyDescent="0.2">
      <c r="A42" s="28" t="s">
        <v>101</v>
      </c>
      <c r="B42" s="29" t="s">
        <v>9</v>
      </c>
      <c r="C42" s="30">
        <v>0</v>
      </c>
      <c r="D42" s="30">
        <v>5.5224854885450473E-5</v>
      </c>
      <c r="E42" s="30">
        <v>6.6497224882428124E-2</v>
      </c>
      <c r="F42" s="30">
        <v>7.3424620937206336E-5</v>
      </c>
      <c r="G42" s="30">
        <v>0.23455433470312015</v>
      </c>
      <c r="H42" s="30">
        <v>0.53698061022900534</v>
      </c>
      <c r="I42" s="30">
        <v>15.588689142837085</v>
      </c>
      <c r="J42" s="30">
        <v>306.37707536734149</v>
      </c>
      <c r="K42" s="30">
        <v>260.23580421724517</v>
      </c>
      <c r="L42" s="30">
        <v>112.82860914408076</v>
      </c>
      <c r="M42" s="30">
        <v>0.93229295804265133</v>
      </c>
      <c r="N42" s="30">
        <v>0.51673850316686154</v>
      </c>
      <c r="O42" s="30">
        <v>3.6400250594645585E-2</v>
      </c>
      <c r="P42" s="30">
        <v>0.91327051118579161</v>
      </c>
      <c r="Q42" s="30">
        <v>0.33041121844366339</v>
      </c>
      <c r="R42" s="30">
        <v>1.4088453314587399</v>
      </c>
      <c r="S42" s="30">
        <v>0.10234218422854027</v>
      </c>
      <c r="T42" s="30">
        <v>3.0565832136869479E-2</v>
      </c>
      <c r="U42" s="30">
        <v>0.29649192830211119</v>
      </c>
      <c r="V42" s="30">
        <v>1.0972507011608863</v>
      </c>
      <c r="W42" s="30">
        <v>6.4617514619835503E-2</v>
      </c>
      <c r="X42" s="30">
        <v>9.3250678512534879E-2</v>
      </c>
      <c r="Y42" s="30">
        <v>1.2844031790206267</v>
      </c>
      <c r="Z42" s="30">
        <v>0.78625047677557025</v>
      </c>
      <c r="AA42" s="30">
        <v>0.17373093201811818</v>
      </c>
      <c r="AB42" s="30">
        <v>17.04930582433462</v>
      </c>
      <c r="AC42" s="30">
        <v>6.176862848224772E-2</v>
      </c>
      <c r="AD42" s="30">
        <v>2.0270536717865776E-2</v>
      </c>
      <c r="AE42" s="30">
        <v>7.2432930314676556</v>
      </c>
      <c r="AF42" s="30">
        <v>1.1309372580540817</v>
      </c>
      <c r="AG42" s="30">
        <v>3.1135499662964765</v>
      </c>
      <c r="AH42" s="30">
        <v>9.3618715022955694</v>
      </c>
      <c r="AI42" s="30">
        <v>4.8225437836361582</v>
      </c>
      <c r="AJ42" s="30">
        <v>0.82454938286215473</v>
      </c>
      <c r="AK42" s="30">
        <v>0.55497064466012525</v>
      </c>
      <c r="AL42" s="30">
        <v>35.061585598035684</v>
      </c>
      <c r="AM42" s="30">
        <v>45.721163603370137</v>
      </c>
      <c r="AN42" s="30">
        <v>1.9548045784572001</v>
      </c>
      <c r="AO42" s="30">
        <v>1.6126649672371998</v>
      </c>
      <c r="AP42" s="30">
        <v>48.763632590851429</v>
      </c>
      <c r="AQ42" s="30">
        <v>9.1983087849459966E-2</v>
      </c>
      <c r="AR42" s="30">
        <v>51.044182113521913</v>
      </c>
      <c r="AS42" s="30">
        <v>3.8248809664645509</v>
      </c>
      <c r="AT42" s="30">
        <v>2.5981614291378721</v>
      </c>
      <c r="AU42" s="30">
        <v>0.7662156049912604</v>
      </c>
      <c r="AV42" s="30">
        <v>1.7865843592560025</v>
      </c>
      <c r="AW42" s="30">
        <v>0.47901450411393537</v>
      </c>
      <c r="AX42" s="30">
        <v>0.15318431894612533</v>
      </c>
      <c r="AY42" s="30">
        <v>0.15060912992011585</v>
      </c>
      <c r="AZ42" s="30">
        <v>0.23229517553382359</v>
      </c>
      <c r="BA42" s="30">
        <v>7.5167113696246028</v>
      </c>
      <c r="BB42" s="30">
        <v>0.30213388649496303</v>
      </c>
      <c r="BC42" s="30">
        <v>0.15385052723858517</v>
      </c>
      <c r="BD42" s="30">
        <v>0.16519259356543642</v>
      </c>
      <c r="BE42" s="30">
        <v>23.865155422210258</v>
      </c>
      <c r="BF42" s="30">
        <v>12.265871278760139</v>
      </c>
      <c r="BG42" s="30">
        <v>2.3094527993733755E-2</v>
      </c>
      <c r="BH42" s="30">
        <v>0.90579017859073008</v>
      </c>
      <c r="BI42" s="30">
        <v>0.21724159348084124</v>
      </c>
      <c r="BJ42" s="30">
        <v>0</v>
      </c>
      <c r="BK42" s="30">
        <v>0.15894134970161183</v>
      </c>
      <c r="BL42" s="30">
        <v>5.2914131654652063</v>
      </c>
      <c r="BM42" s="31">
        <f t="shared" si="0"/>
        <v>993.22461937008211</v>
      </c>
      <c r="BO42" s="125">
        <v>0</v>
      </c>
      <c r="BP42" s="30">
        <v>0</v>
      </c>
      <c r="BQ42" s="30">
        <v>0</v>
      </c>
      <c r="BR42" s="30">
        <v>273.26992918078815</v>
      </c>
      <c r="BS42" s="30">
        <v>0</v>
      </c>
      <c r="BT42" s="30">
        <v>0</v>
      </c>
      <c r="BU42" s="30">
        <v>2.2187174332910602</v>
      </c>
      <c r="BV42" s="30">
        <v>18.151613152056473</v>
      </c>
      <c r="BW42" s="30">
        <v>6.5602413122871104</v>
      </c>
      <c r="BX42" s="30">
        <v>0</v>
      </c>
      <c r="BY42" s="126">
        <v>280.62110373604435</v>
      </c>
      <c r="BZ42" s="30"/>
      <c r="CA42" s="43">
        <v>1574.046</v>
      </c>
      <c r="CB42" s="47"/>
      <c r="CC42" s="193"/>
    </row>
    <row r="43" spans="1:81" x14ac:dyDescent="0.2">
      <c r="A43" s="28" t="s">
        <v>102</v>
      </c>
      <c r="B43" s="33" t="s">
        <v>10</v>
      </c>
      <c r="C43" s="30">
        <v>0</v>
      </c>
      <c r="D43" s="30">
        <v>0</v>
      </c>
      <c r="E43" s="30">
        <v>0</v>
      </c>
      <c r="F43" s="30">
        <v>3.534776398583818E-5</v>
      </c>
      <c r="G43" s="30">
        <v>8.5056623089194688E-3</v>
      </c>
      <c r="H43" s="30">
        <v>0.10997805888432961</v>
      </c>
      <c r="I43" s="30">
        <v>0.38387622372109503</v>
      </c>
      <c r="J43" s="30">
        <v>1.6339728831429388</v>
      </c>
      <c r="K43" s="30">
        <v>0.82136636937595398</v>
      </c>
      <c r="L43" s="30">
        <v>1.4631828292632252</v>
      </c>
      <c r="M43" s="30">
        <v>1.0590398684790356</v>
      </c>
      <c r="N43" s="30">
        <v>4.7308927652238597E-2</v>
      </c>
      <c r="O43" s="30">
        <v>1.3088653262774294E-2</v>
      </c>
      <c r="P43" s="30">
        <v>1.0120956039533806</v>
      </c>
      <c r="Q43" s="30">
        <v>0.25937763136729025</v>
      </c>
      <c r="R43" s="30">
        <v>3.5719927832812495</v>
      </c>
      <c r="S43" s="30">
        <v>4.1799739733909642E-3</v>
      </c>
      <c r="T43" s="30">
        <v>0.26443291757744264</v>
      </c>
      <c r="U43" s="30">
        <v>0.93981875706510121</v>
      </c>
      <c r="V43" s="30">
        <v>6.2081984753582748</v>
      </c>
      <c r="W43" s="30">
        <v>0.17808774555908777</v>
      </c>
      <c r="X43" s="30">
        <v>7.8619653805400619E-2</v>
      </c>
      <c r="Y43" s="30">
        <v>4.2691225290164168</v>
      </c>
      <c r="Z43" s="30">
        <v>0.23512303738954179</v>
      </c>
      <c r="AA43" s="30">
        <v>9.0953139105371658E-2</v>
      </c>
      <c r="AB43" s="30">
        <v>2.8297185574262924</v>
      </c>
      <c r="AC43" s="30">
        <v>3.0668297738567343E-2</v>
      </c>
      <c r="AD43" s="30">
        <v>1.0064378482399617E-2</v>
      </c>
      <c r="AE43" s="30">
        <v>2.5515755418759536</v>
      </c>
      <c r="AF43" s="30">
        <v>0.23104974929985536</v>
      </c>
      <c r="AG43" s="30">
        <v>4.4577940787601014</v>
      </c>
      <c r="AH43" s="30">
        <v>10.708666148600402</v>
      </c>
      <c r="AI43" s="30">
        <v>13.561002604483143</v>
      </c>
      <c r="AJ43" s="30">
        <v>4.7415566110280238</v>
      </c>
      <c r="AK43" s="30">
        <v>5.3320912740820141</v>
      </c>
      <c r="AL43" s="30">
        <v>0</v>
      </c>
      <c r="AM43" s="30">
        <v>2.8400158038011334</v>
      </c>
      <c r="AN43" s="30">
        <v>0.49532201341851401</v>
      </c>
      <c r="AO43" s="30">
        <v>1.5934819293063232</v>
      </c>
      <c r="AP43" s="30">
        <v>4.5688644767510462</v>
      </c>
      <c r="AQ43" s="30">
        <v>5.4250733011850613E-2</v>
      </c>
      <c r="AR43" s="30">
        <v>3.5292633874173611</v>
      </c>
      <c r="AS43" s="30">
        <v>4.3819387483948162</v>
      </c>
      <c r="AT43" s="30">
        <v>6.6746563415585047</v>
      </c>
      <c r="AU43" s="30">
        <v>0.28361332705625031</v>
      </c>
      <c r="AV43" s="30">
        <v>0.47215666518562033</v>
      </c>
      <c r="AW43" s="30">
        <v>0.18281060521001782</v>
      </c>
      <c r="AX43" s="30">
        <v>0.18272571962724496</v>
      </c>
      <c r="AY43" s="30">
        <v>0.19718048958472981</v>
      </c>
      <c r="AZ43" s="30">
        <v>1.2184039163962717</v>
      </c>
      <c r="BA43" s="30">
        <v>4.6926585747632812</v>
      </c>
      <c r="BB43" s="30">
        <v>0.9427316239839385</v>
      </c>
      <c r="BC43" s="30">
        <v>0.56015800120222081</v>
      </c>
      <c r="BD43" s="30">
        <v>0.2812734492202093</v>
      </c>
      <c r="BE43" s="30">
        <v>21.469166352800681</v>
      </c>
      <c r="BF43" s="30">
        <v>12.81384074007722</v>
      </c>
      <c r="BG43" s="30">
        <v>0.31874458578394232</v>
      </c>
      <c r="BH43" s="30">
        <v>1.3279044258967907</v>
      </c>
      <c r="BI43" s="30">
        <v>0.85341506956451096</v>
      </c>
      <c r="BJ43" s="30">
        <v>0</v>
      </c>
      <c r="BK43" s="30">
        <v>1.3655147611200438</v>
      </c>
      <c r="BL43" s="30">
        <v>0.32880619052915272</v>
      </c>
      <c r="BM43" s="31">
        <f t="shared" si="0"/>
        <v>138.73544224474489</v>
      </c>
      <c r="BO43" s="125">
        <v>0</v>
      </c>
      <c r="BP43" s="30">
        <v>116.00306171479474</v>
      </c>
      <c r="BQ43" s="30">
        <v>0</v>
      </c>
      <c r="BR43" s="30">
        <v>542.36976084782793</v>
      </c>
      <c r="BS43" s="30">
        <v>16.357905723976209</v>
      </c>
      <c r="BT43" s="30">
        <v>0</v>
      </c>
      <c r="BU43" s="30">
        <v>0</v>
      </c>
      <c r="BV43" s="30">
        <v>14.136613556549023</v>
      </c>
      <c r="BW43" s="30">
        <v>0</v>
      </c>
      <c r="BX43" s="30">
        <v>4.2404715176892864</v>
      </c>
      <c r="BY43" s="126">
        <v>118.50875159675539</v>
      </c>
      <c r="BZ43" s="30"/>
      <c r="CA43" s="43">
        <v>950.35199999999998</v>
      </c>
      <c r="CB43" s="47"/>
      <c r="CC43" s="193"/>
    </row>
    <row r="44" spans="1:81" x14ac:dyDescent="0.2">
      <c r="A44" s="28" t="s">
        <v>103</v>
      </c>
      <c r="B44" s="33" t="s">
        <v>151</v>
      </c>
      <c r="C44" s="30">
        <v>0</v>
      </c>
      <c r="D44" s="30">
        <v>0</v>
      </c>
      <c r="E44" s="30">
        <v>0</v>
      </c>
      <c r="F44" s="30">
        <v>0</v>
      </c>
      <c r="G44" s="30">
        <v>0.12430112422075028</v>
      </c>
      <c r="H44" s="30">
        <v>0.2330044080033804</v>
      </c>
      <c r="I44" s="30">
        <v>0.22356492553719973</v>
      </c>
      <c r="J44" s="30">
        <v>1.6388580846517602</v>
      </c>
      <c r="K44" s="30">
        <v>0.14322925966783115</v>
      </c>
      <c r="L44" s="30">
        <v>0.16984163805003885</v>
      </c>
      <c r="M44" s="30">
        <v>0.9098759887850405</v>
      </c>
      <c r="N44" s="30">
        <v>0.22762450255446345</v>
      </c>
      <c r="O44" s="30">
        <v>2.1130496616205405E-2</v>
      </c>
      <c r="P44" s="30">
        <v>0.22499795500544129</v>
      </c>
      <c r="Q44" s="30">
        <v>0.86581545557976836</v>
      </c>
      <c r="R44" s="30">
        <v>4.7315127432452302</v>
      </c>
      <c r="S44" s="30">
        <v>0.27650758794820923</v>
      </c>
      <c r="T44" s="30">
        <v>0.12238473811984001</v>
      </c>
      <c r="U44" s="30">
        <v>0.56702064544711628</v>
      </c>
      <c r="V44" s="30">
        <v>5.678313199774597</v>
      </c>
      <c r="W44" s="30">
        <v>0.26163953655218353</v>
      </c>
      <c r="X44" s="30">
        <v>0.77160124803321184</v>
      </c>
      <c r="Y44" s="30">
        <v>4.2471411811139035</v>
      </c>
      <c r="Z44" s="30">
        <v>0.60878036723032303</v>
      </c>
      <c r="AA44" s="30">
        <v>0.46974601352835654</v>
      </c>
      <c r="AB44" s="30">
        <v>10.554710465072629</v>
      </c>
      <c r="AC44" s="30">
        <v>1.5720710951214325</v>
      </c>
      <c r="AD44" s="30">
        <v>0.51590468559477609</v>
      </c>
      <c r="AE44" s="30">
        <v>43.545785502786259</v>
      </c>
      <c r="AF44" s="30">
        <v>3.7556355248481528</v>
      </c>
      <c r="AG44" s="30">
        <v>1.0985743511848218</v>
      </c>
      <c r="AH44" s="30">
        <v>0</v>
      </c>
      <c r="AI44" s="30">
        <v>67.795428055787568</v>
      </c>
      <c r="AJ44" s="30">
        <v>12.396743675628112</v>
      </c>
      <c r="AK44" s="30">
        <v>16.949444995920675</v>
      </c>
      <c r="AL44" s="30">
        <v>0</v>
      </c>
      <c r="AM44" s="30">
        <v>2.8198047689296812</v>
      </c>
      <c r="AN44" s="30">
        <v>7.1258248705634806</v>
      </c>
      <c r="AO44" s="30">
        <v>39.932530194990221</v>
      </c>
      <c r="AP44" s="30">
        <v>64.421103835277805</v>
      </c>
      <c r="AQ44" s="30">
        <v>2.8585411607094691</v>
      </c>
      <c r="AR44" s="30">
        <v>4.3110705041593489</v>
      </c>
      <c r="AS44" s="30">
        <v>16.063963361095993</v>
      </c>
      <c r="AT44" s="30">
        <v>90.664662688157236</v>
      </c>
      <c r="AU44" s="30">
        <v>0.69587038542927537</v>
      </c>
      <c r="AV44" s="30">
        <v>5.1938442624719992</v>
      </c>
      <c r="AW44" s="30">
        <v>7.0048702621721057</v>
      </c>
      <c r="AX44" s="30">
        <v>0.16750461438209863</v>
      </c>
      <c r="AY44" s="30">
        <v>0.44788878183812375</v>
      </c>
      <c r="AZ44" s="30">
        <v>6.5069574006814008</v>
      </c>
      <c r="BA44" s="30">
        <v>120.05404236683705</v>
      </c>
      <c r="BB44" s="30">
        <v>0.52365529938259481</v>
      </c>
      <c r="BC44" s="30">
        <v>3.7590183540187674</v>
      </c>
      <c r="BD44" s="30">
        <v>4.0361382070369745</v>
      </c>
      <c r="BE44" s="30">
        <v>182.44001020602769</v>
      </c>
      <c r="BF44" s="30">
        <v>121.62662987767084</v>
      </c>
      <c r="BG44" s="30">
        <v>0.23129419121102857</v>
      </c>
      <c r="BH44" s="30">
        <v>1.1520650174137361</v>
      </c>
      <c r="BI44" s="30">
        <v>10.861619980884958</v>
      </c>
      <c r="BJ44" s="30">
        <v>0</v>
      </c>
      <c r="BK44" s="30">
        <v>7.3372313808410636</v>
      </c>
      <c r="BL44" s="30">
        <v>0.97427399554334337</v>
      </c>
      <c r="BM44" s="31">
        <f t="shared" si="0"/>
        <v>881.91160541933561</v>
      </c>
      <c r="BO44" s="125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0</v>
      </c>
      <c r="BU44" s="30">
        <v>280.49427103022617</v>
      </c>
      <c r="BV44" s="30">
        <v>28.330367487433236</v>
      </c>
      <c r="BW44" s="30">
        <v>141.83604730029606</v>
      </c>
      <c r="BX44" s="30">
        <v>0</v>
      </c>
      <c r="BY44" s="126">
        <v>274.45670047911551</v>
      </c>
      <c r="BZ44" s="30"/>
      <c r="CA44" s="43">
        <v>1607.029</v>
      </c>
      <c r="CB44" s="47"/>
      <c r="CC44" s="193"/>
    </row>
    <row r="45" spans="1:81" x14ac:dyDescent="0.2">
      <c r="A45" s="28" t="s">
        <v>104</v>
      </c>
      <c r="B45" s="29" t="s">
        <v>11</v>
      </c>
      <c r="C45" s="30">
        <v>1.2653523972084799</v>
      </c>
      <c r="D45" s="30">
        <v>0.14613839571418685</v>
      </c>
      <c r="E45" s="30">
        <v>0.37822685996419037</v>
      </c>
      <c r="F45" s="30">
        <v>6.4051442627251556E-3</v>
      </c>
      <c r="G45" s="30">
        <v>0.2123115589220535</v>
      </c>
      <c r="H45" s="30">
        <v>1.6373491493476531</v>
      </c>
      <c r="I45" s="30">
        <v>9.1875413347492376</v>
      </c>
      <c r="J45" s="30">
        <v>47.122487068273664</v>
      </c>
      <c r="K45" s="30">
        <v>18.065596518117079</v>
      </c>
      <c r="L45" s="30">
        <v>23.628658875524469</v>
      </c>
      <c r="M45" s="30">
        <v>6.0902557164361797</v>
      </c>
      <c r="N45" s="30">
        <v>7.8355591050108364</v>
      </c>
      <c r="O45" s="30">
        <v>0.43818705395233676</v>
      </c>
      <c r="P45" s="30">
        <v>6.4429959886988515</v>
      </c>
      <c r="Q45" s="30">
        <v>3.0200806756102252</v>
      </c>
      <c r="R45" s="30">
        <v>21.819113976044324</v>
      </c>
      <c r="S45" s="30">
        <v>1.225958465121691</v>
      </c>
      <c r="T45" s="30">
        <v>0.50060450979244342</v>
      </c>
      <c r="U45" s="30">
        <v>2.6889525497303137</v>
      </c>
      <c r="V45" s="30">
        <v>27.628366356900884</v>
      </c>
      <c r="W45" s="30">
        <v>1.1936069614632812</v>
      </c>
      <c r="X45" s="30">
        <v>1.8236084203256646</v>
      </c>
      <c r="Y45" s="30">
        <v>22.563047631691148</v>
      </c>
      <c r="Z45" s="30">
        <v>12.448492106282844</v>
      </c>
      <c r="AA45" s="30">
        <v>3.0519227593409388</v>
      </c>
      <c r="AB45" s="30">
        <v>78.214711795253095</v>
      </c>
      <c r="AC45" s="30">
        <v>0.40109552266261056</v>
      </c>
      <c r="AD45" s="30">
        <v>0.10668653795251563</v>
      </c>
      <c r="AE45" s="30">
        <v>22.474019285166655</v>
      </c>
      <c r="AF45" s="30">
        <v>3.509301941868165</v>
      </c>
      <c r="AG45" s="30">
        <v>56.460250851361081</v>
      </c>
      <c r="AH45" s="30">
        <v>74.415006596970017</v>
      </c>
      <c r="AI45" s="30">
        <v>120.53152252600309</v>
      </c>
      <c r="AJ45" s="30">
        <v>24.222483611411509</v>
      </c>
      <c r="AK45" s="30">
        <v>17.430562975581864</v>
      </c>
      <c r="AL45" s="30">
        <v>7.2301871740291093</v>
      </c>
      <c r="AM45" s="30">
        <v>35.779307240295346</v>
      </c>
      <c r="AN45" s="30">
        <v>13.249507184969273</v>
      </c>
      <c r="AO45" s="30">
        <v>35.944529670698223</v>
      </c>
      <c r="AP45" s="30">
        <v>66.637907076023794</v>
      </c>
      <c r="AQ45" s="30">
        <v>1.5740169267536117</v>
      </c>
      <c r="AR45" s="30">
        <v>19.778320589202785</v>
      </c>
      <c r="AS45" s="30">
        <v>114.68985675323452</v>
      </c>
      <c r="AT45" s="30">
        <v>57.292375740971949</v>
      </c>
      <c r="AU45" s="30">
        <v>6.4632400968669854</v>
      </c>
      <c r="AV45" s="30">
        <v>28.78211049918929</v>
      </c>
      <c r="AW45" s="30">
        <v>1.793443422013749</v>
      </c>
      <c r="AX45" s="30">
        <v>0.87019738650663536</v>
      </c>
      <c r="AY45" s="30">
        <v>1.8572712275847796</v>
      </c>
      <c r="AZ45" s="30">
        <v>4.5912005269906935</v>
      </c>
      <c r="BA45" s="30">
        <v>96.078511280096237</v>
      </c>
      <c r="BB45" s="30">
        <v>4.125214978079633</v>
      </c>
      <c r="BC45" s="30">
        <v>3.8918659160625841</v>
      </c>
      <c r="BD45" s="30">
        <v>2.7858529791767999</v>
      </c>
      <c r="BE45" s="30">
        <v>172.23814067403109</v>
      </c>
      <c r="BF45" s="30">
        <v>87.797363583574068</v>
      </c>
      <c r="BG45" s="30">
        <v>2.3439312756022859</v>
      </c>
      <c r="BH45" s="30">
        <v>12.093726056272724</v>
      </c>
      <c r="BI45" s="30">
        <v>8.4649500200090451</v>
      </c>
      <c r="BJ45" s="30">
        <v>0</v>
      </c>
      <c r="BK45" s="30">
        <v>4.8021512491381628</v>
      </c>
      <c r="BL45" s="30">
        <v>2.2727292158359029</v>
      </c>
      <c r="BM45" s="31">
        <f t="shared" si="0"/>
        <v>1411.6143699659256</v>
      </c>
      <c r="BO45" s="125">
        <v>865.03009786022244</v>
      </c>
      <c r="BP45" s="30">
        <v>42.14407136655317</v>
      </c>
      <c r="BQ45" s="30">
        <v>0</v>
      </c>
      <c r="BR45" s="30">
        <v>0</v>
      </c>
      <c r="BS45" s="30">
        <v>0</v>
      </c>
      <c r="BT45" s="30">
        <v>17.327968430249062</v>
      </c>
      <c r="BU45" s="30">
        <v>7.279548287113089</v>
      </c>
      <c r="BV45" s="30">
        <v>0</v>
      </c>
      <c r="BW45" s="30">
        <v>15.701018278123971</v>
      </c>
      <c r="BX45" s="30">
        <v>0</v>
      </c>
      <c r="BY45" s="126">
        <v>205.00602857509759</v>
      </c>
      <c r="BZ45" s="30"/>
      <c r="CA45" s="43">
        <v>2564.1030000000001</v>
      </c>
      <c r="CB45" s="47"/>
      <c r="CC45" s="193"/>
    </row>
    <row r="46" spans="1:81" x14ac:dyDescent="0.2">
      <c r="A46" s="28" t="s">
        <v>105</v>
      </c>
      <c r="B46" s="29" t="s">
        <v>152</v>
      </c>
      <c r="C46" s="30">
        <v>1.7211556985394882</v>
      </c>
      <c r="D46" s="30">
        <v>0.44138632530996569</v>
      </c>
      <c r="E46" s="30">
        <v>0.61712497665184274</v>
      </c>
      <c r="F46" s="30">
        <v>2.4579693389011056E-2</v>
      </c>
      <c r="G46" s="30">
        <v>6.577583238220143E-3</v>
      </c>
      <c r="H46" s="30">
        <v>3.2865292219199593E-2</v>
      </c>
      <c r="I46" s="30">
        <v>3.183201709103995</v>
      </c>
      <c r="J46" s="30">
        <v>89.052612879894994</v>
      </c>
      <c r="K46" s="30">
        <v>10.890842331316009</v>
      </c>
      <c r="L46" s="30">
        <v>12.525628729160571</v>
      </c>
      <c r="M46" s="30">
        <v>66.465596339458543</v>
      </c>
      <c r="N46" s="30">
        <v>7.0217159258496356</v>
      </c>
      <c r="O46" s="30">
        <v>1.1400779844253934</v>
      </c>
      <c r="P46" s="30">
        <v>9.7464082467498265</v>
      </c>
      <c r="Q46" s="30">
        <v>13.412747528285809</v>
      </c>
      <c r="R46" s="30">
        <v>80.431542101601011</v>
      </c>
      <c r="S46" s="30">
        <v>2.4424237078401156</v>
      </c>
      <c r="T46" s="30">
        <v>1.5753064112037309</v>
      </c>
      <c r="U46" s="30">
        <v>8.5717077375813027</v>
      </c>
      <c r="V46" s="30">
        <v>25.528907235777766</v>
      </c>
      <c r="W46" s="30">
        <v>0</v>
      </c>
      <c r="X46" s="30">
        <v>2.5714306893836967</v>
      </c>
      <c r="Y46" s="30">
        <v>10.679787814878278</v>
      </c>
      <c r="Z46" s="30">
        <v>2.0235443331804648</v>
      </c>
      <c r="AA46" s="30">
        <v>1.0747185419190484</v>
      </c>
      <c r="AB46" s="30">
        <v>96.038037214039917</v>
      </c>
      <c r="AC46" s="30">
        <v>0.47343420297700256</v>
      </c>
      <c r="AD46" s="30">
        <v>0.1110502395372394</v>
      </c>
      <c r="AE46" s="30">
        <v>51.257094332155432</v>
      </c>
      <c r="AF46" s="30">
        <v>7.9967327560810322</v>
      </c>
      <c r="AG46" s="30">
        <v>83.33581173107153</v>
      </c>
      <c r="AH46" s="30">
        <v>124.35395692272871</v>
      </c>
      <c r="AI46" s="30">
        <v>84.155336421715688</v>
      </c>
      <c r="AJ46" s="30">
        <v>26.954373964885157</v>
      </c>
      <c r="AK46" s="30">
        <v>34.315452544353739</v>
      </c>
      <c r="AL46" s="30">
        <v>0</v>
      </c>
      <c r="AM46" s="30">
        <v>81.049234550735747</v>
      </c>
      <c r="AN46" s="30">
        <v>13.677542885087599</v>
      </c>
      <c r="AO46" s="30">
        <v>12.855175514506737</v>
      </c>
      <c r="AP46" s="30">
        <v>17.943126736148553</v>
      </c>
      <c r="AQ46" s="30">
        <v>1.7717705918917281</v>
      </c>
      <c r="AR46" s="30">
        <v>3.9986054450073687</v>
      </c>
      <c r="AS46" s="30">
        <v>26.59616423650905</v>
      </c>
      <c r="AT46" s="30">
        <v>26.768012166772422</v>
      </c>
      <c r="AU46" s="30">
        <v>12.091637535180135</v>
      </c>
      <c r="AV46" s="30">
        <v>14.191775349345686</v>
      </c>
      <c r="AW46" s="30">
        <v>2.7888577870354827</v>
      </c>
      <c r="AX46" s="30">
        <v>0.6954179339862353</v>
      </c>
      <c r="AY46" s="30">
        <v>2.5668325383657518</v>
      </c>
      <c r="AZ46" s="30">
        <v>12.069481044460018</v>
      </c>
      <c r="BA46" s="30">
        <v>213.5381575494921</v>
      </c>
      <c r="BB46" s="30">
        <v>2.8035318785016976</v>
      </c>
      <c r="BC46" s="30">
        <v>7.9242167636999614</v>
      </c>
      <c r="BD46" s="30">
        <v>3.0591096712634314</v>
      </c>
      <c r="BE46" s="30">
        <v>339.57783189294287</v>
      </c>
      <c r="BF46" s="30">
        <v>148.27817287888223</v>
      </c>
      <c r="BG46" s="30">
        <v>6.0985375788255789</v>
      </c>
      <c r="BH46" s="30">
        <v>23.949032196611476</v>
      </c>
      <c r="BI46" s="30">
        <v>4.1049385903993079</v>
      </c>
      <c r="BJ46" s="30">
        <v>0</v>
      </c>
      <c r="BK46" s="30">
        <v>0</v>
      </c>
      <c r="BL46" s="30">
        <v>0.75315903071627155</v>
      </c>
      <c r="BM46" s="31">
        <f t="shared" si="0"/>
        <v>1839.3234924928704</v>
      </c>
      <c r="BO46" s="125">
        <v>0</v>
      </c>
      <c r="BP46" s="30">
        <v>0</v>
      </c>
      <c r="BQ46" s="30">
        <v>0</v>
      </c>
      <c r="BR46" s="30">
        <v>0</v>
      </c>
      <c r="BS46" s="30">
        <v>0</v>
      </c>
      <c r="BT46" s="30">
        <v>0</v>
      </c>
      <c r="BU46" s="30">
        <v>0</v>
      </c>
      <c r="BV46" s="30">
        <v>0</v>
      </c>
      <c r="BW46" s="30">
        <v>0</v>
      </c>
      <c r="BX46" s="30">
        <v>0</v>
      </c>
      <c r="BY46" s="126">
        <v>0</v>
      </c>
      <c r="BZ46" s="30"/>
      <c r="CA46" s="43">
        <v>1839.3234343882216</v>
      </c>
      <c r="CB46" s="47"/>
      <c r="CC46" s="193"/>
    </row>
    <row r="47" spans="1:81" x14ac:dyDescent="0.2">
      <c r="A47" s="28" t="s">
        <v>106</v>
      </c>
      <c r="B47" s="33" t="s">
        <v>153</v>
      </c>
      <c r="C47" s="30">
        <v>0</v>
      </c>
      <c r="D47" s="30">
        <v>0</v>
      </c>
      <c r="E47" s="30">
        <v>0</v>
      </c>
      <c r="F47" s="30">
        <v>0</v>
      </c>
      <c r="G47" s="30">
        <v>1.5447896448592127E-3</v>
      </c>
      <c r="H47" s="30">
        <v>0</v>
      </c>
      <c r="I47" s="30">
        <v>1.2798861330737403E-2</v>
      </c>
      <c r="J47" s="30">
        <v>0</v>
      </c>
      <c r="K47" s="30">
        <v>0</v>
      </c>
      <c r="L47" s="30">
        <v>4.0202726380120048E-2</v>
      </c>
      <c r="M47" s="30">
        <v>0</v>
      </c>
      <c r="N47" s="30">
        <v>2.3375552254899139E-3</v>
      </c>
      <c r="O47" s="30">
        <v>0</v>
      </c>
      <c r="P47" s="30">
        <v>0</v>
      </c>
      <c r="Q47" s="30">
        <v>0</v>
      </c>
      <c r="R47" s="30">
        <v>145.66267853901161</v>
      </c>
      <c r="S47" s="30">
        <v>1.0700839776639322</v>
      </c>
      <c r="T47" s="30">
        <v>0.14942509491324926</v>
      </c>
      <c r="U47" s="30">
        <v>8.3425969110581484</v>
      </c>
      <c r="V47" s="30">
        <v>26.776028627360102</v>
      </c>
      <c r="W47" s="30">
        <v>0</v>
      </c>
      <c r="X47" s="30">
        <v>7.3855381372946616E-2</v>
      </c>
      <c r="Y47" s="30">
        <v>0.41426748431608501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4.1546387676037959</v>
      </c>
      <c r="AN47" s="30">
        <v>13.377749517076436</v>
      </c>
      <c r="AO47" s="30">
        <v>0</v>
      </c>
      <c r="AP47" s="30">
        <v>4.8300837610571162E-2</v>
      </c>
      <c r="AQ47" s="30">
        <v>0</v>
      </c>
      <c r="AR47" s="30">
        <v>0.11668659531576521</v>
      </c>
      <c r="AS47" s="30">
        <v>7.6730048177780468</v>
      </c>
      <c r="AT47" s="30">
        <v>0</v>
      </c>
      <c r="AU47" s="30">
        <v>0.60147212775266368</v>
      </c>
      <c r="AV47" s="30">
        <v>4.6059871320140999</v>
      </c>
      <c r="AW47" s="30">
        <v>0</v>
      </c>
      <c r="AX47" s="30">
        <v>2.5262668423573008E-3</v>
      </c>
      <c r="AY47" s="30">
        <v>1.1006426869813827E-2</v>
      </c>
      <c r="AZ47" s="30">
        <v>0</v>
      </c>
      <c r="BA47" s="30">
        <v>2.1359257980154691</v>
      </c>
      <c r="BB47" s="30">
        <v>1.684180649631567E-2</v>
      </c>
      <c r="BC47" s="30">
        <v>0</v>
      </c>
      <c r="BD47" s="30">
        <v>0</v>
      </c>
      <c r="BE47" s="30">
        <v>124.59526586972483</v>
      </c>
      <c r="BF47" s="30">
        <v>0</v>
      </c>
      <c r="BG47" s="30">
        <v>1.7420538848120085E-3</v>
      </c>
      <c r="BH47" s="30">
        <v>0.1447584988117539</v>
      </c>
      <c r="BI47" s="30">
        <v>1.507798024563771</v>
      </c>
      <c r="BJ47" s="30">
        <v>0</v>
      </c>
      <c r="BK47" s="30">
        <v>0</v>
      </c>
      <c r="BL47" s="30">
        <v>0</v>
      </c>
      <c r="BM47" s="31">
        <f t="shared" si="0"/>
        <v>341.53952448863777</v>
      </c>
      <c r="BO47" s="125">
        <v>132.99802355388783</v>
      </c>
      <c r="BP47" s="30">
        <v>307.75381993452328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126">
        <v>117.07225592934735</v>
      </c>
      <c r="BZ47" s="30"/>
      <c r="CA47" s="43">
        <v>899.36355450343876</v>
      </c>
      <c r="CB47" s="47"/>
      <c r="CC47" s="193"/>
    </row>
    <row r="48" spans="1:81" x14ac:dyDescent="0.2">
      <c r="A48" s="28" t="s">
        <v>107</v>
      </c>
      <c r="B48" s="33" t="s">
        <v>154</v>
      </c>
      <c r="C48" s="30">
        <v>3.1024114816593856E-4</v>
      </c>
      <c r="D48" s="30">
        <v>1.0337035826547844E-3</v>
      </c>
      <c r="E48" s="30">
        <v>0.60457771633291491</v>
      </c>
      <c r="F48" s="30">
        <v>1.0564265745726257E-3</v>
      </c>
      <c r="G48" s="30">
        <v>2.873834296099868E-2</v>
      </c>
      <c r="H48" s="30">
        <v>0.60530122030633748</v>
      </c>
      <c r="I48" s="30">
        <v>9.2401176643875935</v>
      </c>
      <c r="J48" s="30">
        <v>32.954009386469529</v>
      </c>
      <c r="K48" s="30">
        <v>43.310368046462912</v>
      </c>
      <c r="L48" s="30">
        <v>26.328020042174124</v>
      </c>
      <c r="M48" s="30">
        <v>10.665370804153502</v>
      </c>
      <c r="N48" s="30">
        <v>5.8654739931974644</v>
      </c>
      <c r="O48" s="30">
        <v>0.9078870633136259</v>
      </c>
      <c r="P48" s="30">
        <v>8.9294199231255611</v>
      </c>
      <c r="Q48" s="30">
        <v>5.5103649496992233</v>
      </c>
      <c r="R48" s="30">
        <v>21.108062835344779</v>
      </c>
      <c r="S48" s="30">
        <v>0.99358855356737519</v>
      </c>
      <c r="T48" s="30">
        <v>0.31775924971964026</v>
      </c>
      <c r="U48" s="30">
        <v>5.891643190306719</v>
      </c>
      <c r="V48" s="30">
        <v>32.133995720854699</v>
      </c>
      <c r="W48" s="30">
        <v>0.43508608511963892</v>
      </c>
      <c r="X48" s="30">
        <v>4.0537481213317577</v>
      </c>
      <c r="Y48" s="30">
        <v>21.45744231823759</v>
      </c>
      <c r="Z48" s="30">
        <v>2.5167621679343664</v>
      </c>
      <c r="AA48" s="30">
        <v>0.45174955310690884</v>
      </c>
      <c r="AB48" s="30">
        <v>14.054755078378115</v>
      </c>
      <c r="AC48" s="30">
        <v>1.7197002884749177</v>
      </c>
      <c r="AD48" s="30">
        <v>0.50010012758244504</v>
      </c>
      <c r="AE48" s="30">
        <v>15.277393471293006</v>
      </c>
      <c r="AF48" s="30">
        <v>2.3666442331156672</v>
      </c>
      <c r="AG48" s="30">
        <v>90.82908340854506</v>
      </c>
      <c r="AH48" s="30">
        <v>107.40710354365737</v>
      </c>
      <c r="AI48" s="30">
        <v>82.560082036289899</v>
      </c>
      <c r="AJ48" s="30">
        <v>13.588809170732016</v>
      </c>
      <c r="AK48" s="30">
        <v>9.9729168673085962</v>
      </c>
      <c r="AL48" s="30">
        <v>87.504407222411402</v>
      </c>
      <c r="AM48" s="30">
        <v>79.097844401404458</v>
      </c>
      <c r="AN48" s="30">
        <v>8.2857052435608018</v>
      </c>
      <c r="AO48" s="30">
        <v>14.427590767854737</v>
      </c>
      <c r="AP48" s="30">
        <v>18.260483527579431</v>
      </c>
      <c r="AQ48" s="30">
        <v>0.94514698704299982</v>
      </c>
      <c r="AR48" s="30">
        <v>8.7603062012675004</v>
      </c>
      <c r="AS48" s="30">
        <v>17.679517866991507</v>
      </c>
      <c r="AT48" s="30">
        <v>3.4483408814011636</v>
      </c>
      <c r="AU48" s="30">
        <v>6.478876182403738</v>
      </c>
      <c r="AV48" s="30">
        <v>34.467716295075569</v>
      </c>
      <c r="AW48" s="30">
        <v>2.1014845776755924</v>
      </c>
      <c r="AX48" s="30">
        <v>0.53432680771803531</v>
      </c>
      <c r="AY48" s="30">
        <v>4.0021803010522863</v>
      </c>
      <c r="AZ48" s="30">
        <v>12.814417276065479</v>
      </c>
      <c r="BA48" s="30">
        <v>132.66128555068281</v>
      </c>
      <c r="BB48" s="30">
        <v>10.230452472581453</v>
      </c>
      <c r="BC48" s="30">
        <v>7.3633663072485378</v>
      </c>
      <c r="BD48" s="30">
        <v>1.8391415834083673</v>
      </c>
      <c r="BE48" s="30">
        <v>447.48702499299412</v>
      </c>
      <c r="BF48" s="30">
        <v>38.188802521245641</v>
      </c>
      <c r="BG48" s="30">
        <v>1.7992692423364165</v>
      </c>
      <c r="BH48" s="30">
        <v>8.9665206287021988</v>
      </c>
      <c r="BI48" s="30">
        <v>12.045065405928106</v>
      </c>
      <c r="BJ48" s="30">
        <v>0</v>
      </c>
      <c r="BK48" s="30">
        <v>5.5096255833759935</v>
      </c>
      <c r="BL48" s="30">
        <v>1.6205020281570617</v>
      </c>
      <c r="BM48" s="31">
        <f t="shared" si="0"/>
        <v>1539.1078764009551</v>
      </c>
      <c r="BO48" s="125">
        <v>658.46600127471606</v>
      </c>
      <c r="BP48" s="30">
        <v>129.0112202483968</v>
      </c>
      <c r="BQ48" s="30">
        <v>0</v>
      </c>
      <c r="BR48" s="30">
        <v>0</v>
      </c>
      <c r="BS48" s="30">
        <v>0</v>
      </c>
      <c r="BT48" s="30">
        <v>0</v>
      </c>
      <c r="BU48" s="30">
        <v>58.562170514550807</v>
      </c>
      <c r="BV48" s="30">
        <v>5.9148723624382669</v>
      </c>
      <c r="BW48" s="30">
        <v>10.379075033560929</v>
      </c>
      <c r="BX48" s="30">
        <v>0</v>
      </c>
      <c r="BY48" s="126">
        <v>27.929850975496684</v>
      </c>
      <c r="BZ48" s="30"/>
      <c r="CA48" s="43">
        <v>2429.3710000000001</v>
      </c>
      <c r="CB48" s="47"/>
      <c r="CC48" s="193"/>
    </row>
    <row r="49" spans="1:81" x14ac:dyDescent="0.2">
      <c r="A49" s="28" t="s">
        <v>108</v>
      </c>
      <c r="B49" s="33" t="s">
        <v>155</v>
      </c>
      <c r="C49" s="30">
        <v>4.2227368670566392</v>
      </c>
      <c r="D49" s="30">
        <v>0.28264277440416419</v>
      </c>
      <c r="E49" s="30">
        <v>1.772514230823514</v>
      </c>
      <c r="F49" s="30">
        <v>3.3110795341250148E-3</v>
      </c>
      <c r="G49" s="30">
        <v>0</v>
      </c>
      <c r="H49" s="30">
        <v>0.21454315799400994</v>
      </c>
      <c r="I49" s="30">
        <v>3.9175273639175834</v>
      </c>
      <c r="J49" s="30">
        <v>15.59546559280362</v>
      </c>
      <c r="K49" s="30">
        <v>7.5456279709443592</v>
      </c>
      <c r="L49" s="30">
        <v>15.499809497672478</v>
      </c>
      <c r="M49" s="30">
        <v>4.9205906052762591</v>
      </c>
      <c r="N49" s="30">
        <v>0.89545046957274799</v>
      </c>
      <c r="O49" s="30">
        <v>0.13785678303905116</v>
      </c>
      <c r="P49" s="30">
        <v>12.464908896696132</v>
      </c>
      <c r="Q49" s="30">
        <v>1.8113112375693221</v>
      </c>
      <c r="R49" s="30">
        <v>2.7389037557271632</v>
      </c>
      <c r="S49" s="30">
        <v>2.4079785928861442E-2</v>
      </c>
      <c r="T49" s="30">
        <v>1.8773710425761021</v>
      </c>
      <c r="U49" s="30">
        <v>6.4409700492920861</v>
      </c>
      <c r="V49" s="30">
        <v>11.73820464089504</v>
      </c>
      <c r="W49" s="30">
        <v>3.6585394501222561</v>
      </c>
      <c r="X49" s="30">
        <v>0.36080671299621231</v>
      </c>
      <c r="Y49" s="30">
        <v>0.72337504612671322</v>
      </c>
      <c r="Z49" s="30">
        <v>0.43437742796997009</v>
      </c>
      <c r="AA49" s="30">
        <v>0.40359628033732758</v>
      </c>
      <c r="AB49" s="30">
        <v>9.0385281934927129</v>
      </c>
      <c r="AC49" s="30">
        <v>3.2764664374250678E-2</v>
      </c>
      <c r="AD49" s="30">
        <v>1.0752340606650807E-2</v>
      </c>
      <c r="AE49" s="30">
        <v>11.342781594415634</v>
      </c>
      <c r="AF49" s="30">
        <v>1.6521073891505789</v>
      </c>
      <c r="AG49" s="30">
        <v>5.3086507537180303</v>
      </c>
      <c r="AH49" s="30">
        <v>12.722502470824768</v>
      </c>
      <c r="AI49" s="30">
        <v>7.8890970939017864</v>
      </c>
      <c r="AJ49" s="30">
        <v>0.65321221075459945</v>
      </c>
      <c r="AK49" s="30">
        <v>0.3167753963968738</v>
      </c>
      <c r="AL49" s="30">
        <v>17.933368122280676</v>
      </c>
      <c r="AM49" s="30">
        <v>77.725091265768938</v>
      </c>
      <c r="AN49" s="30">
        <v>0.86071450670542693</v>
      </c>
      <c r="AO49" s="30">
        <v>0.55247162032599306</v>
      </c>
      <c r="AP49" s="30">
        <v>0.83071089809823939</v>
      </c>
      <c r="AQ49" s="30">
        <v>3.5417432078633897E-2</v>
      </c>
      <c r="AR49" s="30">
        <v>3.1677762162941341</v>
      </c>
      <c r="AS49" s="30">
        <v>2.8012569524293691</v>
      </c>
      <c r="AT49" s="30">
        <v>1.9209164166246593</v>
      </c>
      <c r="AU49" s="30">
        <v>0.71690599343156425</v>
      </c>
      <c r="AV49" s="30">
        <v>0.67961291350980535</v>
      </c>
      <c r="AW49" s="30">
        <v>75.109890563919137</v>
      </c>
      <c r="AX49" s="30">
        <v>0.1920886320076988</v>
      </c>
      <c r="AY49" s="30">
        <v>0.28509033999303873</v>
      </c>
      <c r="AZ49" s="30">
        <v>0.88873509335249068</v>
      </c>
      <c r="BA49" s="30">
        <v>56.741196289959539</v>
      </c>
      <c r="BB49" s="30">
        <v>3.8863933140283011</v>
      </c>
      <c r="BC49" s="30">
        <v>0.78004197364384431</v>
      </c>
      <c r="BD49" s="30">
        <v>0.53173457422125747</v>
      </c>
      <c r="BE49" s="30">
        <v>86.950968366233596</v>
      </c>
      <c r="BF49" s="30">
        <v>18.528552154119783</v>
      </c>
      <c r="BG49" s="30">
        <v>0.54213239078593922</v>
      </c>
      <c r="BH49" s="30">
        <v>5.0456302420738242</v>
      </c>
      <c r="BI49" s="30">
        <v>0.94392738383496944</v>
      </c>
      <c r="BJ49" s="30">
        <v>0</v>
      </c>
      <c r="BK49" s="30">
        <v>9.0112306223006957</v>
      </c>
      <c r="BL49" s="30">
        <v>15.308252173030203</v>
      </c>
      <c r="BM49" s="31">
        <f t="shared" si="0"/>
        <v>528.62179927796331</v>
      </c>
      <c r="BO49" s="125">
        <v>76.706805390446021</v>
      </c>
      <c r="BP49" s="30">
        <v>0</v>
      </c>
      <c r="BQ49" s="30">
        <v>0</v>
      </c>
      <c r="BR49" s="30">
        <v>0</v>
      </c>
      <c r="BS49" s="30">
        <v>0</v>
      </c>
      <c r="BT49" s="30">
        <v>0</v>
      </c>
      <c r="BU49" s="30">
        <v>28.208555305371249</v>
      </c>
      <c r="BV49" s="30">
        <v>0</v>
      </c>
      <c r="BW49" s="30">
        <v>4.0238632534485763</v>
      </c>
      <c r="BX49" s="30">
        <v>0</v>
      </c>
      <c r="BY49" s="126">
        <v>0</v>
      </c>
      <c r="BZ49" s="30"/>
      <c r="CA49" s="43">
        <v>637.56100000000004</v>
      </c>
      <c r="CB49" s="47"/>
      <c r="CC49" s="193"/>
    </row>
    <row r="50" spans="1:81" x14ac:dyDescent="0.2">
      <c r="A50" s="28" t="s">
        <v>109</v>
      </c>
      <c r="B50" s="33" t="s">
        <v>156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0.68327484514463777</v>
      </c>
      <c r="J50" s="30">
        <v>2.4738908223459219</v>
      </c>
      <c r="K50" s="30">
        <v>0.98630536938525293</v>
      </c>
      <c r="L50" s="30">
        <v>0.9393425858143748</v>
      </c>
      <c r="M50" s="30">
        <v>0</v>
      </c>
      <c r="N50" s="30">
        <v>0.13002868932180883</v>
      </c>
      <c r="O50" s="30">
        <v>0.38142020722672421</v>
      </c>
      <c r="P50" s="30">
        <v>3.6229072771567075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0.13913890750701047</v>
      </c>
      <c r="X50" s="30">
        <v>0</v>
      </c>
      <c r="Y50" s="30">
        <v>0</v>
      </c>
      <c r="Z50" s="30">
        <v>0</v>
      </c>
      <c r="AA50" s="30">
        <v>0.70156646679480417</v>
      </c>
      <c r="AB50" s="30">
        <v>21.826858128976863</v>
      </c>
      <c r="AC50" s="30">
        <v>0.46981187585554424</v>
      </c>
      <c r="AD50" s="30">
        <v>0.15222598457570746</v>
      </c>
      <c r="AE50" s="30">
        <v>26.825471045085301</v>
      </c>
      <c r="AF50" s="30">
        <v>4.189133768045652</v>
      </c>
      <c r="AG50" s="30">
        <v>0</v>
      </c>
      <c r="AH50" s="30">
        <v>0</v>
      </c>
      <c r="AI50" s="30">
        <v>48.340292616410274</v>
      </c>
      <c r="AJ50" s="30">
        <v>13.711210686751642</v>
      </c>
      <c r="AK50" s="30">
        <v>4.4850197612148843</v>
      </c>
      <c r="AL50" s="30">
        <v>0</v>
      </c>
      <c r="AM50" s="30">
        <v>2.4976724297878898</v>
      </c>
      <c r="AN50" s="30">
        <v>0</v>
      </c>
      <c r="AO50" s="30">
        <v>0</v>
      </c>
      <c r="AP50" s="30">
        <v>5.872955535218197</v>
      </c>
      <c r="AQ50" s="30">
        <v>0</v>
      </c>
      <c r="AR50" s="30">
        <v>0.48992981932748814</v>
      </c>
      <c r="AS50" s="30">
        <v>1.7219327171096139</v>
      </c>
      <c r="AT50" s="30">
        <v>0</v>
      </c>
      <c r="AU50" s="30">
        <v>0.10319619152100432</v>
      </c>
      <c r="AV50" s="30">
        <v>0.57402777644351355</v>
      </c>
      <c r="AW50" s="30">
        <v>0</v>
      </c>
      <c r="AX50" s="30">
        <v>1.2039828279549287E-2</v>
      </c>
      <c r="AY50" s="30">
        <v>7.289978495450529E-2</v>
      </c>
      <c r="AZ50" s="30">
        <v>0</v>
      </c>
      <c r="BA50" s="30">
        <v>43.930283258079818</v>
      </c>
      <c r="BB50" s="30">
        <v>0.26161226280282762</v>
      </c>
      <c r="BC50" s="30">
        <v>0</v>
      </c>
      <c r="BD50" s="30">
        <v>0</v>
      </c>
      <c r="BE50" s="30">
        <v>0</v>
      </c>
      <c r="BF50" s="30">
        <v>0</v>
      </c>
      <c r="BG50" s="30">
        <v>7.9163203634864038E-2</v>
      </c>
      <c r="BH50" s="30">
        <v>0.29139111386524152</v>
      </c>
      <c r="BI50" s="30">
        <v>0.10054916759202946</v>
      </c>
      <c r="BJ50" s="30">
        <v>0</v>
      </c>
      <c r="BK50" s="30">
        <v>0</v>
      </c>
      <c r="BL50" s="30">
        <v>0</v>
      </c>
      <c r="BM50" s="31">
        <f t="shared" si="0"/>
        <v>186.06555212622959</v>
      </c>
      <c r="BO50" s="125">
        <v>546.13831006484179</v>
      </c>
      <c r="BP50" s="30">
        <v>169.46552773529248</v>
      </c>
      <c r="BQ50" s="30">
        <v>0</v>
      </c>
      <c r="BR50" s="30">
        <v>0</v>
      </c>
      <c r="BS50" s="30">
        <v>0</v>
      </c>
      <c r="BT50" s="30">
        <v>0</v>
      </c>
      <c r="BU50" s="30">
        <v>0.25334557694802112</v>
      </c>
      <c r="BV50" s="30">
        <v>0</v>
      </c>
      <c r="BW50" s="30">
        <v>0</v>
      </c>
      <c r="BX50" s="30">
        <v>0</v>
      </c>
      <c r="BY50" s="126">
        <v>0</v>
      </c>
      <c r="BZ50" s="30"/>
      <c r="CA50" s="43">
        <v>901.92273025816382</v>
      </c>
      <c r="CB50" s="47"/>
      <c r="CC50" s="193"/>
    </row>
    <row r="51" spans="1:81" x14ac:dyDescent="0.2">
      <c r="A51" s="28" t="s">
        <v>110</v>
      </c>
      <c r="B51" s="33" t="s">
        <v>157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0.44107331415587653</v>
      </c>
      <c r="I51" s="30">
        <v>2.3862720772728826E-2</v>
      </c>
      <c r="J51" s="30">
        <v>7.7970578519532874E-2</v>
      </c>
      <c r="K51" s="30">
        <v>2.2537081305097632E-2</v>
      </c>
      <c r="L51" s="30">
        <v>3.753021777600795E-2</v>
      </c>
      <c r="M51" s="30">
        <v>0.14715144071835584</v>
      </c>
      <c r="N51" s="30">
        <v>6.1676297634346853E-3</v>
      </c>
      <c r="O51" s="30">
        <v>5.7593667546177431E-2</v>
      </c>
      <c r="P51" s="30">
        <v>1.6222520815442412</v>
      </c>
      <c r="Q51" s="30">
        <v>0.32258981438688566</v>
      </c>
      <c r="R51" s="30">
        <v>10.83913555463231</v>
      </c>
      <c r="S51" s="30">
        <v>0.15546271665135089</v>
      </c>
      <c r="T51" s="30">
        <v>1.4832954651959262E-2</v>
      </c>
      <c r="U51" s="30">
        <v>4.7455279565538001E-2</v>
      </c>
      <c r="V51" s="30">
        <v>2.357790860365327</v>
      </c>
      <c r="W51" s="30">
        <v>6.5652700973260082E-3</v>
      </c>
      <c r="X51" s="30">
        <v>8.9361812456750053E-2</v>
      </c>
      <c r="Y51" s="30">
        <v>2.7127726750671677</v>
      </c>
      <c r="Z51" s="30">
        <v>6.9296771261274495E-2</v>
      </c>
      <c r="AA51" s="30">
        <v>0.69018181647513621</v>
      </c>
      <c r="AB51" s="30">
        <v>5.0030418517390194</v>
      </c>
      <c r="AC51" s="30">
        <v>0.33282440161011556</v>
      </c>
      <c r="AD51" s="30">
        <v>0.10922258465522681</v>
      </c>
      <c r="AE51" s="30">
        <v>24.618917098023704</v>
      </c>
      <c r="AF51" s="30">
        <v>3.9329741334719817</v>
      </c>
      <c r="AG51" s="30">
        <v>3.147543669021426</v>
      </c>
      <c r="AH51" s="30">
        <v>5.215381493222182</v>
      </c>
      <c r="AI51" s="30">
        <v>2.9831818223621003</v>
      </c>
      <c r="AJ51" s="30">
        <v>0.12831965735202291</v>
      </c>
      <c r="AK51" s="30">
        <v>0.44791467425252363</v>
      </c>
      <c r="AL51" s="30">
        <v>0</v>
      </c>
      <c r="AM51" s="30">
        <v>0.30071461715980541</v>
      </c>
      <c r="AN51" s="30">
        <v>1.1704891117255158</v>
      </c>
      <c r="AO51" s="30">
        <v>0.2728168998921251</v>
      </c>
      <c r="AP51" s="30">
        <v>7.0981699179942057E-2</v>
      </c>
      <c r="AQ51" s="30">
        <v>0.99718277670046229</v>
      </c>
      <c r="AR51" s="30">
        <v>2.5373687654853962E-2</v>
      </c>
      <c r="AS51" s="30">
        <v>3.732335528546979</v>
      </c>
      <c r="AT51" s="30">
        <v>0</v>
      </c>
      <c r="AU51" s="30">
        <v>1.5362491641568035</v>
      </c>
      <c r="AV51" s="30">
        <v>0.84377354732398002</v>
      </c>
      <c r="AW51" s="30">
        <v>4.6233116310309227E-2</v>
      </c>
      <c r="AX51" s="30">
        <v>0.44424296901599442</v>
      </c>
      <c r="AY51" s="30">
        <v>1.0090673004385118</v>
      </c>
      <c r="AZ51" s="30">
        <v>9.5845368514308985E-2</v>
      </c>
      <c r="BA51" s="30">
        <v>13.614458371444583</v>
      </c>
      <c r="BB51" s="30">
        <v>3.6751279835312359E-2</v>
      </c>
      <c r="BC51" s="30">
        <v>0.33392119056440261</v>
      </c>
      <c r="BD51" s="30">
        <v>0.65872143928079385</v>
      </c>
      <c r="BE51" s="30">
        <v>2.43508273007494</v>
      </c>
      <c r="BF51" s="30">
        <v>0.92829544672440933</v>
      </c>
      <c r="BG51" s="30">
        <v>3.6476594469075103E-3</v>
      </c>
      <c r="BH51" s="30">
        <v>0.14301777011918348</v>
      </c>
      <c r="BI51" s="30">
        <v>0.7902483478264164</v>
      </c>
      <c r="BJ51" s="30">
        <v>0</v>
      </c>
      <c r="BK51" s="30">
        <v>0.16478704276243061</v>
      </c>
      <c r="BL51" s="30">
        <v>1.0790689145214465</v>
      </c>
      <c r="BM51" s="31">
        <f t="shared" si="0"/>
        <v>96.394211622643169</v>
      </c>
      <c r="BO51" s="125">
        <v>175.53100396434962</v>
      </c>
      <c r="BP51" s="30">
        <v>44.968443027864339</v>
      </c>
      <c r="BQ51" s="30">
        <v>0</v>
      </c>
      <c r="BR51" s="30">
        <v>0</v>
      </c>
      <c r="BS51" s="30">
        <v>0</v>
      </c>
      <c r="BT51" s="30">
        <v>0</v>
      </c>
      <c r="BU51" s="30">
        <v>7.585199263280247E-2</v>
      </c>
      <c r="BV51" s="30">
        <v>0</v>
      </c>
      <c r="BW51" s="30">
        <v>5.3775433497281762E-2</v>
      </c>
      <c r="BX51" s="30">
        <v>0</v>
      </c>
      <c r="BY51" s="126">
        <v>0</v>
      </c>
      <c r="BZ51" s="30"/>
      <c r="CA51" s="43">
        <v>317.02328049596156</v>
      </c>
      <c r="CB51" s="47"/>
      <c r="CC51" s="193"/>
    </row>
    <row r="52" spans="1:81" x14ac:dyDescent="0.2">
      <c r="A52" s="28" t="s">
        <v>111</v>
      </c>
      <c r="B52" s="29" t="s">
        <v>158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1.358260472023908E-2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7.7758799623862309</v>
      </c>
      <c r="U52" s="30">
        <v>0</v>
      </c>
      <c r="V52" s="30">
        <v>5.0870973125903616</v>
      </c>
      <c r="W52" s="30">
        <v>0.68916046792057439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7.4274896217861375E-2</v>
      </c>
      <c r="AI52" s="30">
        <v>0</v>
      </c>
      <c r="AJ52" s="30">
        <v>0</v>
      </c>
      <c r="AK52" s="30">
        <v>4.4657952733805455E-2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3.2353463852482695E-2</v>
      </c>
      <c r="AR52" s="30">
        <v>0</v>
      </c>
      <c r="AS52" s="30">
        <v>19.503222312214312</v>
      </c>
      <c r="AT52" s="30">
        <v>0</v>
      </c>
      <c r="AU52" s="30">
        <v>0</v>
      </c>
      <c r="AV52" s="30">
        <v>0.81628885848047839</v>
      </c>
      <c r="AW52" s="30">
        <v>0.91559119900594998</v>
      </c>
      <c r="AX52" s="30">
        <v>0</v>
      </c>
      <c r="AY52" s="30">
        <v>6.5184926021411052</v>
      </c>
      <c r="AZ52" s="30">
        <v>517.40857112998742</v>
      </c>
      <c r="BA52" s="30">
        <v>151.41308421233776</v>
      </c>
      <c r="BB52" s="30">
        <v>7.9325433736347879</v>
      </c>
      <c r="BC52" s="30">
        <v>0</v>
      </c>
      <c r="BD52" s="30">
        <v>2.0015855059364207</v>
      </c>
      <c r="BE52" s="30">
        <v>0</v>
      </c>
      <c r="BF52" s="30">
        <v>0</v>
      </c>
      <c r="BG52" s="30">
        <v>0</v>
      </c>
      <c r="BH52" s="30">
        <v>0</v>
      </c>
      <c r="BI52" s="30">
        <v>6.3057855390071875</v>
      </c>
      <c r="BJ52" s="30">
        <v>0</v>
      </c>
      <c r="BK52" s="30">
        <v>0</v>
      </c>
      <c r="BL52" s="30">
        <v>16.375537450624893</v>
      </c>
      <c r="BM52" s="31">
        <f t="shared" si="0"/>
        <v>742.90770884379174</v>
      </c>
      <c r="BO52" s="125">
        <v>4039.2148945366507</v>
      </c>
      <c r="BP52" s="30">
        <v>111.56879043333849</v>
      </c>
      <c r="BQ52" s="30">
        <v>0</v>
      </c>
      <c r="BR52" s="30">
        <v>0</v>
      </c>
      <c r="BS52" s="30">
        <v>0</v>
      </c>
      <c r="BT52" s="30">
        <v>0</v>
      </c>
      <c r="BU52" s="30">
        <v>4.0830000225838363</v>
      </c>
      <c r="BV52" s="30">
        <v>0</v>
      </c>
      <c r="BW52" s="30">
        <v>29.247581300301871</v>
      </c>
      <c r="BX52" s="30">
        <v>0</v>
      </c>
      <c r="BY52" s="126">
        <v>0</v>
      </c>
      <c r="BZ52" s="30"/>
      <c r="CA52" s="43">
        <v>4927.027</v>
      </c>
      <c r="CB52" s="47"/>
      <c r="CC52" s="193"/>
    </row>
    <row r="53" spans="1:81" x14ac:dyDescent="0.2">
      <c r="A53" s="28" t="s">
        <v>112</v>
      </c>
      <c r="B53" s="29" t="s">
        <v>12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1">
        <f t="shared" si="0"/>
        <v>0</v>
      </c>
      <c r="BO53" s="125">
        <v>5325.7016517862694</v>
      </c>
      <c r="BP53" s="30">
        <v>123.97498750389522</v>
      </c>
      <c r="BQ53" s="30">
        <v>0</v>
      </c>
      <c r="BR53" s="30">
        <v>0</v>
      </c>
      <c r="BS53" s="30">
        <v>0</v>
      </c>
      <c r="BT53" s="30">
        <v>0</v>
      </c>
      <c r="BU53" s="30">
        <v>1.7833055852606954</v>
      </c>
      <c r="BV53" s="30">
        <v>0</v>
      </c>
      <c r="BW53" s="30">
        <v>3.7055124574440851E-2</v>
      </c>
      <c r="BX53" s="30">
        <v>0</v>
      </c>
      <c r="BY53" s="126">
        <v>0</v>
      </c>
      <c r="BZ53" s="30"/>
      <c r="CA53" s="43">
        <v>5451.4970000000003</v>
      </c>
      <c r="CB53" s="47"/>
      <c r="CC53" s="193"/>
    </row>
    <row r="54" spans="1:81" x14ac:dyDescent="0.2">
      <c r="A54" s="28" t="s">
        <v>113</v>
      </c>
      <c r="B54" s="29" t="s">
        <v>20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0</v>
      </c>
      <c r="BJ54" s="30">
        <v>0</v>
      </c>
      <c r="BK54" s="30">
        <v>0</v>
      </c>
      <c r="BL54" s="30">
        <v>0</v>
      </c>
      <c r="BM54" s="31">
        <f t="shared" si="0"/>
        <v>0</v>
      </c>
      <c r="BO54" s="125">
        <v>810.31693350579974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16.526066494200258</v>
      </c>
      <c r="BX54" s="30">
        <v>0</v>
      </c>
      <c r="BY54" s="126">
        <v>0</v>
      </c>
      <c r="BZ54" s="30"/>
      <c r="CA54" s="43">
        <v>826.84299999999996</v>
      </c>
      <c r="CB54" s="47"/>
      <c r="CC54" s="193"/>
    </row>
    <row r="55" spans="1:81" x14ac:dyDescent="0.2">
      <c r="A55" s="28" t="s">
        <v>114</v>
      </c>
      <c r="B55" s="33" t="s">
        <v>21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0</v>
      </c>
      <c r="BK55" s="30">
        <v>0</v>
      </c>
      <c r="BL55" s="30">
        <v>0</v>
      </c>
      <c r="BM55" s="31">
        <f t="shared" si="0"/>
        <v>0</v>
      </c>
      <c r="BO55" s="125">
        <v>909.73348924639959</v>
      </c>
      <c r="BP55" s="30">
        <v>0</v>
      </c>
      <c r="BQ55" s="30">
        <v>0</v>
      </c>
      <c r="BR55" s="30">
        <v>0</v>
      </c>
      <c r="BS55" s="30">
        <v>0</v>
      </c>
      <c r="BT55" s="30">
        <v>0</v>
      </c>
      <c r="BU55" s="30">
        <v>8.4576863171826428E-4</v>
      </c>
      <c r="BV55" s="30">
        <v>0</v>
      </c>
      <c r="BW55" s="30">
        <v>2.7736649849686379</v>
      </c>
      <c r="BX55" s="30">
        <v>0</v>
      </c>
      <c r="BY55" s="126">
        <v>0</v>
      </c>
      <c r="BZ55" s="30"/>
      <c r="CA55" s="43">
        <v>912.50800000000004</v>
      </c>
      <c r="CB55" s="47"/>
      <c r="CC55" s="193"/>
    </row>
    <row r="56" spans="1:81" x14ac:dyDescent="0.2">
      <c r="A56" s="28" t="s">
        <v>115</v>
      </c>
      <c r="B56" s="33" t="s">
        <v>159</v>
      </c>
      <c r="C56" s="30">
        <v>0.14980572266192421</v>
      </c>
      <c r="D56" s="30">
        <v>2.6005203371995633E-2</v>
      </c>
      <c r="E56" s="30">
        <v>0.51883098269672279</v>
      </c>
      <c r="F56" s="30">
        <v>9.6504512026024079E-3</v>
      </c>
      <c r="G56" s="30">
        <v>8.5734297122048567E-2</v>
      </c>
      <c r="H56" s="30">
        <v>1.7794694727706706</v>
      </c>
      <c r="I56" s="30">
        <v>0.70613863319373671</v>
      </c>
      <c r="J56" s="30">
        <v>3.6214566440879783</v>
      </c>
      <c r="K56" s="30">
        <v>2.821427615940916</v>
      </c>
      <c r="L56" s="30">
        <v>7.9266583525181344</v>
      </c>
      <c r="M56" s="30">
        <v>2.324876944676983</v>
      </c>
      <c r="N56" s="30">
        <v>0.63865474391433419</v>
      </c>
      <c r="O56" s="30">
        <v>8.9982779987527753E-2</v>
      </c>
      <c r="P56" s="30">
        <v>1.5492947848673415</v>
      </c>
      <c r="Q56" s="30">
        <v>0.63663129114159211</v>
      </c>
      <c r="R56" s="30">
        <v>1.6307579599905313</v>
      </c>
      <c r="S56" s="30">
        <v>4.4430024107050901E-2</v>
      </c>
      <c r="T56" s="30">
        <v>5.0282812006155329E-2</v>
      </c>
      <c r="U56" s="30">
        <v>0.1936067246313366</v>
      </c>
      <c r="V56" s="30">
        <v>0.88146652719636398</v>
      </c>
      <c r="W56" s="30">
        <v>0.15538473390690383</v>
      </c>
      <c r="X56" s="30">
        <v>4.9901683313265888E-2</v>
      </c>
      <c r="Y56" s="30">
        <v>4.1065509777842584</v>
      </c>
      <c r="Z56" s="30">
        <v>9.3885517489173935</v>
      </c>
      <c r="AA56" s="30">
        <v>3.7303584271538122</v>
      </c>
      <c r="AB56" s="30">
        <v>0</v>
      </c>
      <c r="AC56" s="30">
        <v>0</v>
      </c>
      <c r="AD56" s="30">
        <v>0</v>
      </c>
      <c r="AE56" s="30">
        <v>1.1906746236159231</v>
      </c>
      <c r="AF56" s="30">
        <v>0.17342503929709979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0.17939463259103844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8.5861019874912375E-2</v>
      </c>
      <c r="AY56" s="30">
        <v>0.16524099004002774</v>
      </c>
      <c r="AZ56" s="30">
        <v>0</v>
      </c>
      <c r="BA56" s="30">
        <v>0</v>
      </c>
      <c r="BB56" s="30">
        <v>0.32180290753193663</v>
      </c>
      <c r="BC56" s="30">
        <v>0.20908161930965743</v>
      </c>
      <c r="BD56" s="30">
        <v>10.583216975235905</v>
      </c>
      <c r="BE56" s="30">
        <v>18.252661692300642</v>
      </c>
      <c r="BF56" s="30">
        <v>31.966265006482995</v>
      </c>
      <c r="BG56" s="30">
        <v>0.11343704150207469</v>
      </c>
      <c r="BH56" s="30">
        <v>0.68721738390417531</v>
      </c>
      <c r="BI56" s="30">
        <v>0.31093262160560614</v>
      </c>
      <c r="BJ56" s="30">
        <v>0</v>
      </c>
      <c r="BK56" s="30">
        <v>0.11956478023899392</v>
      </c>
      <c r="BL56" s="30">
        <v>1.3108105517450118E-2</v>
      </c>
      <c r="BM56" s="31">
        <f t="shared" si="0"/>
        <v>107.48779397821001</v>
      </c>
      <c r="BO56" s="125">
        <v>510.59453770898597</v>
      </c>
      <c r="BP56" s="30">
        <v>718.06724100528004</v>
      </c>
      <c r="BQ56" s="30">
        <v>0</v>
      </c>
      <c r="BR56" s="30">
        <v>0</v>
      </c>
      <c r="BS56" s="30">
        <v>0</v>
      </c>
      <c r="BT56" s="30">
        <v>0</v>
      </c>
      <c r="BU56" s="30">
        <v>0.6632068101298334</v>
      </c>
      <c r="BV56" s="30">
        <v>0</v>
      </c>
      <c r="BW56" s="30">
        <v>3.1771456550978745E-2</v>
      </c>
      <c r="BX56" s="30">
        <v>0</v>
      </c>
      <c r="BY56" s="126">
        <v>48.859466897554604</v>
      </c>
      <c r="BZ56" s="30"/>
      <c r="CA56" s="43">
        <v>1385.704</v>
      </c>
      <c r="CB56" s="47"/>
      <c r="CC56" s="193"/>
    </row>
    <row r="57" spans="1:81" x14ac:dyDescent="0.2">
      <c r="A57" s="28" t="s">
        <v>116</v>
      </c>
      <c r="B57" s="33" t="s">
        <v>59</v>
      </c>
      <c r="C57" s="30">
        <v>3.9773690506405335</v>
      </c>
      <c r="D57" s="30">
        <v>0.6960022683257332</v>
      </c>
      <c r="E57" s="30">
        <v>9.6327647832014571E-2</v>
      </c>
      <c r="F57" s="30">
        <v>1.8993330281139083E-3</v>
      </c>
      <c r="G57" s="30">
        <v>6.1699419602077706E-2</v>
      </c>
      <c r="H57" s="30">
        <v>1.4701692102513562</v>
      </c>
      <c r="I57" s="30">
        <v>16.478035620216815</v>
      </c>
      <c r="J57" s="30">
        <v>101.34543466874241</v>
      </c>
      <c r="K57" s="30">
        <v>71.952889372637216</v>
      </c>
      <c r="L57" s="30">
        <v>61.038623327870184</v>
      </c>
      <c r="M57" s="30">
        <v>45.565562840047868</v>
      </c>
      <c r="N57" s="30">
        <v>14.327477762588366</v>
      </c>
      <c r="O57" s="30">
        <v>1.9763016320748332</v>
      </c>
      <c r="P57" s="30">
        <v>31.091246996715483</v>
      </c>
      <c r="Q57" s="30">
        <v>12.66536303448822</v>
      </c>
      <c r="R57" s="30">
        <v>22.549686860583048</v>
      </c>
      <c r="S57" s="30">
        <v>0.53830530693295009</v>
      </c>
      <c r="T57" s="30">
        <v>0.96323012919399553</v>
      </c>
      <c r="U57" s="30">
        <v>4.6074190225557841</v>
      </c>
      <c r="V57" s="30">
        <v>14.354740815400785</v>
      </c>
      <c r="W57" s="30">
        <v>4.7188268223224865</v>
      </c>
      <c r="X57" s="30">
        <v>1.2262160138897109</v>
      </c>
      <c r="Y57" s="30">
        <v>37.657994921845493</v>
      </c>
      <c r="Z57" s="30">
        <v>15.959448918166466</v>
      </c>
      <c r="AA57" s="30">
        <v>1.4342318578443485</v>
      </c>
      <c r="AB57" s="30">
        <v>40.437480431950526</v>
      </c>
      <c r="AC57" s="30">
        <v>6.0324686298453285</v>
      </c>
      <c r="AD57" s="30">
        <v>1.9796679943411279</v>
      </c>
      <c r="AE57" s="30">
        <v>80.004153975995635</v>
      </c>
      <c r="AF57" s="30">
        <v>11.654787504526716</v>
      </c>
      <c r="AG57" s="30">
        <v>146.77829782268927</v>
      </c>
      <c r="AH57" s="30">
        <v>208.9948884192826</v>
      </c>
      <c r="AI57" s="30">
        <v>365.74144351729706</v>
      </c>
      <c r="AJ57" s="30">
        <v>21.478411555499314</v>
      </c>
      <c r="AK57" s="30">
        <v>40.229198240951291</v>
      </c>
      <c r="AL57" s="30">
        <v>0</v>
      </c>
      <c r="AM57" s="30">
        <v>250.88800407462372</v>
      </c>
      <c r="AN57" s="30">
        <v>98.154371149204209</v>
      </c>
      <c r="AO57" s="30">
        <v>294.29771003067287</v>
      </c>
      <c r="AP57" s="30">
        <v>16.984470312484049</v>
      </c>
      <c r="AQ57" s="30">
        <v>16.162692560743093</v>
      </c>
      <c r="AR57" s="30">
        <v>71.552953608747174</v>
      </c>
      <c r="AS57" s="30">
        <v>227.66026659489395</v>
      </c>
      <c r="AT57" s="30">
        <v>0</v>
      </c>
      <c r="AU57" s="30">
        <v>17.071342578404266</v>
      </c>
      <c r="AV57" s="30">
        <v>49.103077969347787</v>
      </c>
      <c r="AW57" s="30">
        <v>19.99671832397647</v>
      </c>
      <c r="AX57" s="30">
        <v>3.9157358225597232</v>
      </c>
      <c r="AY57" s="30">
        <v>3.178972702521941</v>
      </c>
      <c r="AZ57" s="30">
        <v>14.941951336176848</v>
      </c>
      <c r="BA57" s="30">
        <v>359.00430633964658</v>
      </c>
      <c r="BB57" s="30">
        <v>15.02908460769927</v>
      </c>
      <c r="BC57" s="30">
        <v>6.3714370445234314</v>
      </c>
      <c r="BD57" s="30">
        <v>2.5401749202644233</v>
      </c>
      <c r="BE57" s="30">
        <v>366.84153648338133</v>
      </c>
      <c r="BF57" s="30">
        <v>210.04817871838699</v>
      </c>
      <c r="BG57" s="30">
        <v>16.884870987254043</v>
      </c>
      <c r="BH57" s="30">
        <v>41.289698538028851</v>
      </c>
      <c r="BI57" s="30">
        <v>6.6126752928656467</v>
      </c>
      <c r="BJ57" s="30">
        <v>0</v>
      </c>
      <c r="BK57" s="30">
        <v>8.3916998907699814</v>
      </c>
      <c r="BL57" s="30">
        <v>18.735243165630564</v>
      </c>
      <c r="BM57" s="31">
        <f t="shared" si="0"/>
        <v>3525.7424739989824</v>
      </c>
      <c r="BO57" s="125">
        <v>836.89480889581864</v>
      </c>
      <c r="BP57" s="30">
        <v>7739.1405363635258</v>
      </c>
      <c r="BQ57" s="30">
        <v>0</v>
      </c>
      <c r="BR57" s="30">
        <v>0</v>
      </c>
      <c r="BS57" s="30">
        <v>0</v>
      </c>
      <c r="BT57" s="30">
        <v>30.571173695393785</v>
      </c>
      <c r="BU57" s="30">
        <v>0.39942866304184388</v>
      </c>
      <c r="BV57" s="30">
        <v>0</v>
      </c>
      <c r="BW57" s="30">
        <v>43.123302325696784</v>
      </c>
      <c r="BX57" s="30">
        <v>0</v>
      </c>
      <c r="BY57" s="126">
        <v>0</v>
      </c>
      <c r="BZ57" s="30"/>
      <c r="CA57" s="43">
        <v>12175.871600789576</v>
      </c>
      <c r="CB57" s="47"/>
      <c r="CC57" s="193"/>
    </row>
    <row r="58" spans="1:81" x14ac:dyDescent="0.2">
      <c r="A58" s="28" t="s">
        <v>117</v>
      </c>
      <c r="B58" s="29" t="s">
        <v>160</v>
      </c>
      <c r="C58" s="30">
        <v>0.39285825988733736</v>
      </c>
      <c r="D58" s="30">
        <v>7.3450674130138977E-2</v>
      </c>
      <c r="E58" s="30">
        <v>3.7875006123140231</v>
      </c>
      <c r="F58" s="30">
        <v>8.2086545776027643E-5</v>
      </c>
      <c r="G58" s="30">
        <v>7.4071209860291252E-3</v>
      </c>
      <c r="H58" s="30">
        <v>1.8056994344498707</v>
      </c>
      <c r="I58" s="30">
        <v>25.30515268568557</v>
      </c>
      <c r="J58" s="30">
        <v>94.072247407376778</v>
      </c>
      <c r="K58" s="30">
        <v>68.745920371331039</v>
      </c>
      <c r="L58" s="30">
        <v>59.163148234184021</v>
      </c>
      <c r="M58" s="30">
        <v>42.282784241652472</v>
      </c>
      <c r="N58" s="30">
        <v>9.2051329949194614</v>
      </c>
      <c r="O58" s="30">
        <v>1.3288572719933001</v>
      </c>
      <c r="P58" s="30">
        <v>10.369511157441172</v>
      </c>
      <c r="Q58" s="30">
        <v>13.157948573069941</v>
      </c>
      <c r="R58" s="30">
        <v>152.65244064363176</v>
      </c>
      <c r="S58" s="30">
        <v>1.1364238481791786</v>
      </c>
      <c r="T58" s="30">
        <v>1.5718149086805331</v>
      </c>
      <c r="U58" s="30">
        <v>11.548665478657682</v>
      </c>
      <c r="V58" s="30">
        <v>48.962222576851836</v>
      </c>
      <c r="W58" s="30">
        <v>17.280415951843732</v>
      </c>
      <c r="X58" s="30">
        <v>5.1498425221799886</v>
      </c>
      <c r="Y58" s="30">
        <v>35.027129399287119</v>
      </c>
      <c r="Z58" s="30">
        <v>7.5371143361239774</v>
      </c>
      <c r="AA58" s="30">
        <v>6.1456501164076052</v>
      </c>
      <c r="AB58" s="30">
        <v>103.36668440727824</v>
      </c>
      <c r="AC58" s="30">
        <v>2.0970152141118827</v>
      </c>
      <c r="AD58" s="30">
        <v>0.68817496745608975</v>
      </c>
      <c r="AE58" s="30">
        <v>67.326882108272244</v>
      </c>
      <c r="AF58" s="30">
        <v>10.517386777427774</v>
      </c>
      <c r="AG58" s="30">
        <v>87.721133057898086</v>
      </c>
      <c r="AH58" s="30">
        <v>117.24367162801821</v>
      </c>
      <c r="AI58" s="30">
        <v>226.83091667580032</v>
      </c>
      <c r="AJ58" s="30">
        <v>17.385166297795941</v>
      </c>
      <c r="AK58" s="30">
        <v>12.98129732449144</v>
      </c>
      <c r="AL58" s="30">
        <v>0</v>
      </c>
      <c r="AM58" s="30">
        <v>54.016626728673138</v>
      </c>
      <c r="AN58" s="30">
        <v>59.945736092799763</v>
      </c>
      <c r="AO58" s="30">
        <v>26.922893994320081</v>
      </c>
      <c r="AP58" s="30">
        <v>10.47749093494493</v>
      </c>
      <c r="AQ58" s="30">
        <v>2.7212699193578307</v>
      </c>
      <c r="AR58" s="30">
        <v>13.357599889231491</v>
      </c>
      <c r="AS58" s="30">
        <v>105.15079448772413</v>
      </c>
      <c r="AT58" s="30">
        <v>18.825790712053784</v>
      </c>
      <c r="AU58" s="30">
        <v>8.5086245959071398</v>
      </c>
      <c r="AV58" s="30">
        <v>26.605970274162743</v>
      </c>
      <c r="AW58" s="30">
        <v>7.5495852456691939</v>
      </c>
      <c r="AX58" s="30">
        <v>5.266734008331432</v>
      </c>
      <c r="AY58" s="30">
        <v>9.1402393016477639</v>
      </c>
      <c r="AZ58" s="30">
        <v>11.101883756498509</v>
      </c>
      <c r="BA58" s="30">
        <v>190.29192381479623</v>
      </c>
      <c r="BB58" s="30">
        <v>47.344756766995609</v>
      </c>
      <c r="BC58" s="30">
        <v>11.996599968587251</v>
      </c>
      <c r="BD58" s="30">
        <v>7.9114453879384339</v>
      </c>
      <c r="BE58" s="30">
        <v>326.83379613942782</v>
      </c>
      <c r="BF58" s="30">
        <v>236.29123736255119</v>
      </c>
      <c r="BG58" s="30">
        <v>3.0121358070806967</v>
      </c>
      <c r="BH58" s="30">
        <v>10.29145456409795</v>
      </c>
      <c r="BI58" s="30">
        <v>2.6882009368241104</v>
      </c>
      <c r="BJ58" s="30">
        <v>0</v>
      </c>
      <c r="BK58" s="30">
        <v>9.1007169339087604</v>
      </c>
      <c r="BL58" s="30">
        <v>10.182511663330443</v>
      </c>
      <c r="BM58" s="31">
        <f t="shared" si="0"/>
        <v>2478.4037686532206</v>
      </c>
      <c r="BO58" s="125">
        <v>2818.4290410124181</v>
      </c>
      <c r="BP58" s="30">
        <v>2216.4385328204685</v>
      </c>
      <c r="BQ58" s="30">
        <v>0</v>
      </c>
      <c r="BR58" s="30">
        <v>0</v>
      </c>
      <c r="BS58" s="30">
        <v>0</v>
      </c>
      <c r="BT58" s="30">
        <v>0</v>
      </c>
      <c r="BU58" s="30">
        <v>0.65959199327469309</v>
      </c>
      <c r="BV58" s="30">
        <v>0</v>
      </c>
      <c r="BW58" s="30">
        <v>0</v>
      </c>
      <c r="BX58" s="30">
        <v>0</v>
      </c>
      <c r="BY58" s="126">
        <v>17.782602058151888</v>
      </c>
      <c r="BZ58" s="30"/>
      <c r="CA58" s="43">
        <v>7531.7133878417253</v>
      </c>
      <c r="CB58" s="47"/>
      <c r="CC58" s="193"/>
    </row>
    <row r="59" spans="1:81" x14ac:dyDescent="0.2">
      <c r="A59" s="28" t="s">
        <v>118</v>
      </c>
      <c r="B59" s="29" t="s">
        <v>161</v>
      </c>
      <c r="C59" s="30">
        <v>7.8695715785164266E-2</v>
      </c>
      <c r="D59" s="30">
        <v>7.1646466354655138E-3</v>
      </c>
      <c r="E59" s="30">
        <v>4.1883127637101891E-2</v>
      </c>
      <c r="F59" s="30">
        <v>1.2373689424084791E-3</v>
      </c>
      <c r="G59" s="30">
        <v>0</v>
      </c>
      <c r="H59" s="30">
        <v>1.177980084441068E-2</v>
      </c>
      <c r="I59" s="30">
        <v>0.12517714419119805</v>
      </c>
      <c r="J59" s="30">
        <v>0.89216400932122342</v>
      </c>
      <c r="K59" s="30">
        <v>2.607983360893686</v>
      </c>
      <c r="L59" s="30">
        <v>0.85641164682394066</v>
      </c>
      <c r="M59" s="30">
        <v>0.33345800956543137</v>
      </c>
      <c r="N59" s="30">
        <v>0.10201914088338987</v>
      </c>
      <c r="O59" s="30">
        <v>1.6461265933242705E-2</v>
      </c>
      <c r="P59" s="30">
        <v>0.28619698251902326</v>
      </c>
      <c r="Q59" s="30">
        <v>0.17206372648838858</v>
      </c>
      <c r="R59" s="30">
        <v>0.4411523024675682</v>
      </c>
      <c r="S59" s="30">
        <v>3.9849306775544711E-3</v>
      </c>
      <c r="T59" s="30">
        <v>0.14344863624729279</v>
      </c>
      <c r="U59" s="30">
        <v>0.18505929220244655</v>
      </c>
      <c r="V59" s="30">
        <v>0.74542693946986549</v>
      </c>
      <c r="W59" s="30">
        <v>4.6965652887301347E-2</v>
      </c>
      <c r="X59" s="30">
        <v>5.4529752720862419E-2</v>
      </c>
      <c r="Y59" s="30">
        <v>0.72968827930834923</v>
      </c>
      <c r="Z59" s="30">
        <v>4.1628972198437447E-2</v>
      </c>
      <c r="AA59" s="30">
        <v>4.9318776345324188E-2</v>
      </c>
      <c r="AB59" s="30">
        <v>1.4267133114765329</v>
      </c>
      <c r="AC59" s="30">
        <v>1.3855095909803645E-2</v>
      </c>
      <c r="AD59" s="30">
        <v>1.947159728905362E-3</v>
      </c>
      <c r="AE59" s="30">
        <v>9.6258262364903077E-2</v>
      </c>
      <c r="AF59" s="30">
        <v>1.4020281109718848E-2</v>
      </c>
      <c r="AG59" s="30">
        <v>1.3450862605253393</v>
      </c>
      <c r="AH59" s="30">
        <v>1.0804427823771892</v>
      </c>
      <c r="AI59" s="30">
        <v>1.0481674666093335</v>
      </c>
      <c r="AJ59" s="30">
        <v>0.32337295049075182</v>
      </c>
      <c r="AK59" s="30">
        <v>6.1494279149316634E-2</v>
      </c>
      <c r="AL59" s="30">
        <v>0.60901774986837076</v>
      </c>
      <c r="AM59" s="30">
        <v>0.7478020558700138</v>
      </c>
      <c r="AN59" s="30">
        <v>1.3240935781796312</v>
      </c>
      <c r="AO59" s="30">
        <v>0.17293849130200376</v>
      </c>
      <c r="AP59" s="30">
        <v>0.28603739921164784</v>
      </c>
      <c r="AQ59" s="30">
        <v>6.3378295611112759E-2</v>
      </c>
      <c r="AR59" s="30">
        <v>0.494711193854598</v>
      </c>
      <c r="AS59" s="30">
        <v>0.4238241169799945</v>
      </c>
      <c r="AT59" s="30">
        <v>0.59223993188044288</v>
      </c>
      <c r="AU59" s="30">
        <v>0.12022890964858281</v>
      </c>
      <c r="AV59" s="30">
        <v>1.6801306483862206E-2</v>
      </c>
      <c r="AW59" s="30">
        <v>6.212080571104546E-2</v>
      </c>
      <c r="AX59" s="30">
        <v>2.2171933146586817E-2</v>
      </c>
      <c r="AY59" s="30">
        <v>1.8781611053422208E-2</v>
      </c>
      <c r="AZ59" s="30">
        <v>1.830230532615101E-2</v>
      </c>
      <c r="BA59" s="30">
        <v>1.4909676797350382</v>
      </c>
      <c r="BB59" s="30">
        <v>6.8794663982089818E-2</v>
      </c>
      <c r="BC59" s="30">
        <v>3.5541908114864594E-2</v>
      </c>
      <c r="BD59" s="30">
        <v>6.2825340753045231E-2</v>
      </c>
      <c r="BE59" s="30">
        <v>5.4717617985548896</v>
      </c>
      <c r="BF59" s="30">
        <v>1.7252883022763192</v>
      </c>
      <c r="BG59" s="30">
        <v>3.4347137148133741E-2</v>
      </c>
      <c r="BH59" s="30">
        <v>0.17116162800430837</v>
      </c>
      <c r="BI59" s="30">
        <v>3.4520047460997946E-2</v>
      </c>
      <c r="BJ59" s="30">
        <v>0</v>
      </c>
      <c r="BK59" s="30">
        <v>7.1867701962890052E-2</v>
      </c>
      <c r="BL59" s="30">
        <v>9.218438640158505E-2</v>
      </c>
      <c r="BM59" s="31">
        <f t="shared" si="0"/>
        <v>27.616967609252502</v>
      </c>
      <c r="BO59" s="125">
        <v>651.59126387980564</v>
      </c>
      <c r="BP59" s="30">
        <v>0</v>
      </c>
      <c r="BQ59" s="30">
        <v>0</v>
      </c>
      <c r="BR59" s="30">
        <v>0</v>
      </c>
      <c r="BS59" s="30">
        <v>0</v>
      </c>
      <c r="BT59" s="30">
        <v>253.93910688194208</v>
      </c>
      <c r="BU59" s="30">
        <v>2.1585161959612442</v>
      </c>
      <c r="BV59" s="30">
        <v>0</v>
      </c>
      <c r="BW59" s="30">
        <v>2.1895377788842505</v>
      </c>
      <c r="BX59" s="30">
        <v>0</v>
      </c>
      <c r="BY59" s="126">
        <v>0</v>
      </c>
      <c r="BZ59" s="30"/>
      <c r="CA59" s="43">
        <v>937.49538866326702</v>
      </c>
      <c r="CB59" s="47"/>
      <c r="CC59" s="193"/>
    </row>
    <row r="60" spans="1:81" x14ac:dyDescent="0.2">
      <c r="A60" s="28" t="s">
        <v>119</v>
      </c>
      <c r="B60" s="29" t="s">
        <v>162</v>
      </c>
      <c r="C60" s="30">
        <v>0</v>
      </c>
      <c r="D60" s="30">
        <v>5.0748880345392929E-3</v>
      </c>
      <c r="E60" s="30">
        <v>0</v>
      </c>
      <c r="F60" s="30">
        <v>1.1599481460845894E-3</v>
      </c>
      <c r="G60" s="30">
        <v>0.31762730155011448</v>
      </c>
      <c r="H60" s="30">
        <v>0.11257384893973152</v>
      </c>
      <c r="I60" s="30">
        <v>0</v>
      </c>
      <c r="J60" s="30">
        <v>0</v>
      </c>
      <c r="K60" s="30">
        <v>0</v>
      </c>
      <c r="L60" s="30">
        <v>0</v>
      </c>
      <c r="M60" s="30">
        <v>3.2120630224637097</v>
      </c>
      <c r="N60" s="30">
        <v>2.1110481736977387</v>
      </c>
      <c r="O60" s="30">
        <v>0.15779170719577265</v>
      </c>
      <c r="P60" s="30">
        <v>2.7433801658448451</v>
      </c>
      <c r="Q60" s="30">
        <v>1.4617680652519571</v>
      </c>
      <c r="R60" s="30">
        <v>1.6586497320689952</v>
      </c>
      <c r="S60" s="30">
        <v>8.9813799476195388E-2</v>
      </c>
      <c r="T60" s="30">
        <v>0.49862427016635508</v>
      </c>
      <c r="U60" s="30">
        <v>3.5756943025567769</v>
      </c>
      <c r="V60" s="30">
        <v>4.173666804355042</v>
      </c>
      <c r="W60" s="30">
        <v>0.30253673978619589</v>
      </c>
      <c r="X60" s="30">
        <v>0.52270237354055415</v>
      </c>
      <c r="Y60" s="30">
        <v>1.3158794571109027</v>
      </c>
      <c r="Z60" s="30">
        <v>0.69832032254459531</v>
      </c>
      <c r="AA60" s="30">
        <v>0.52472065399708612</v>
      </c>
      <c r="AB60" s="30">
        <v>13.693333513965751</v>
      </c>
      <c r="AC60" s="30">
        <v>0.17827892043709287</v>
      </c>
      <c r="AD60" s="30">
        <v>5.8505579475189022E-2</v>
      </c>
      <c r="AE60" s="30">
        <v>1.6147192032947824</v>
      </c>
      <c r="AF60" s="30">
        <v>0.2351883005911026</v>
      </c>
      <c r="AG60" s="30">
        <v>9.1388917709342365</v>
      </c>
      <c r="AH60" s="30">
        <v>14.499424077713638</v>
      </c>
      <c r="AI60" s="30">
        <v>6.9718984428549149</v>
      </c>
      <c r="AJ60" s="30">
        <v>6.4744358357216232</v>
      </c>
      <c r="AK60" s="30">
        <v>0.51577906662574302</v>
      </c>
      <c r="AL60" s="30">
        <v>0</v>
      </c>
      <c r="AM60" s="30">
        <v>0.85135020105972437</v>
      </c>
      <c r="AN60" s="30">
        <v>3.1554919953015701</v>
      </c>
      <c r="AO60" s="30">
        <v>1.4505097849968545</v>
      </c>
      <c r="AP60" s="30">
        <v>3.3409759379771913</v>
      </c>
      <c r="AQ60" s="30">
        <v>0.31828788175810002</v>
      </c>
      <c r="AR60" s="30">
        <v>0.30327219157882318</v>
      </c>
      <c r="AS60" s="30">
        <v>11.702897671384791</v>
      </c>
      <c r="AT60" s="30">
        <v>4.9673719817428506</v>
      </c>
      <c r="AU60" s="30">
        <v>6.3262434659387495E-2</v>
      </c>
      <c r="AV60" s="30">
        <v>1.6941601750164774</v>
      </c>
      <c r="AW60" s="30">
        <v>8.7856849016000744</v>
      </c>
      <c r="AX60" s="30">
        <v>0.33189374912045616</v>
      </c>
      <c r="AY60" s="30">
        <v>0.13284294360049981</v>
      </c>
      <c r="AZ60" s="30">
        <v>6.5497316680922749E-2</v>
      </c>
      <c r="BA60" s="30">
        <v>12.933420591266261</v>
      </c>
      <c r="BB60" s="30">
        <v>3.2029973156407854</v>
      </c>
      <c r="BC60" s="30">
        <v>0.5399948576190684</v>
      </c>
      <c r="BD60" s="30">
        <v>0.94925445258051444</v>
      </c>
      <c r="BE60" s="30">
        <v>23.646855657238827</v>
      </c>
      <c r="BF60" s="30">
        <v>14.470737807132791</v>
      </c>
      <c r="BG60" s="30">
        <v>0.70122702544474635</v>
      </c>
      <c r="BH60" s="30">
        <v>9.2757851140219199</v>
      </c>
      <c r="BI60" s="30">
        <v>2.0589122882814385E-2</v>
      </c>
      <c r="BJ60" s="30">
        <v>0</v>
      </c>
      <c r="BK60" s="30">
        <v>1.3029676654554472</v>
      </c>
      <c r="BL60" s="30">
        <v>1.5833396214627358</v>
      </c>
      <c r="BM60" s="31">
        <f t="shared" si="0"/>
        <v>182.65421868556487</v>
      </c>
      <c r="BO60" s="125">
        <v>843.39678642490776</v>
      </c>
      <c r="BP60" s="30">
        <v>153.92849705176903</v>
      </c>
      <c r="BQ60" s="30">
        <v>0</v>
      </c>
      <c r="BR60" s="30">
        <v>0</v>
      </c>
      <c r="BS60" s="30">
        <v>0</v>
      </c>
      <c r="BT60" s="30">
        <v>0</v>
      </c>
      <c r="BU60" s="30">
        <v>9.4965874324556387E-2</v>
      </c>
      <c r="BV60" s="30">
        <v>0</v>
      </c>
      <c r="BW60" s="30">
        <v>0.97854664828365157</v>
      </c>
      <c r="BX60" s="30">
        <v>0</v>
      </c>
      <c r="BY60" s="126">
        <v>0</v>
      </c>
      <c r="BZ60" s="30"/>
      <c r="CA60" s="43">
        <v>1181.0529999999999</v>
      </c>
      <c r="CB60" s="47"/>
      <c r="CC60" s="193"/>
    </row>
    <row r="61" spans="1:81" x14ac:dyDescent="0.2">
      <c r="A61" s="28" t="s">
        <v>120</v>
      </c>
      <c r="B61" s="33" t="s">
        <v>22</v>
      </c>
      <c r="C61" s="30">
        <v>0.44777336175880045</v>
      </c>
      <c r="D61" s="30">
        <v>9.9812794629106513E-2</v>
      </c>
      <c r="E61" s="30">
        <v>9.4183981112554688E-2</v>
      </c>
      <c r="F61" s="30">
        <v>6.6748892716949685E-5</v>
      </c>
      <c r="G61" s="30">
        <v>0</v>
      </c>
      <c r="H61" s="30">
        <v>4.3368879017145388E-2</v>
      </c>
      <c r="I61" s="30">
        <v>0.25620213319967072</v>
      </c>
      <c r="J61" s="30">
        <v>2.6882366335077728</v>
      </c>
      <c r="K61" s="30">
        <v>4.5554107607695142</v>
      </c>
      <c r="L61" s="30">
        <v>2.4645581708976705</v>
      </c>
      <c r="M61" s="30">
        <v>0.88967935248870456</v>
      </c>
      <c r="N61" s="30">
        <v>0.24742494472745441</v>
      </c>
      <c r="O61" s="30">
        <v>5.6186511478946669E-2</v>
      </c>
      <c r="P61" s="30">
        <v>0.97686351151592776</v>
      </c>
      <c r="Q61" s="30">
        <v>0.52050674675783493</v>
      </c>
      <c r="R61" s="30">
        <v>4.0071845004306201</v>
      </c>
      <c r="S61" s="30">
        <v>3.1980920701846917E-2</v>
      </c>
      <c r="T61" s="30">
        <v>0.19308167144734695</v>
      </c>
      <c r="U61" s="30">
        <v>0.53472543529836691</v>
      </c>
      <c r="V61" s="30">
        <v>1.486160343783107</v>
      </c>
      <c r="W61" s="30">
        <v>0.18463449853381464</v>
      </c>
      <c r="X61" s="30">
        <v>0.18612399493574761</v>
      </c>
      <c r="Y61" s="30">
        <v>0.46855869383642973</v>
      </c>
      <c r="Z61" s="30">
        <v>0.24169608098218084</v>
      </c>
      <c r="AA61" s="30">
        <v>0.19121884643270168</v>
      </c>
      <c r="AB61" s="30">
        <v>5.9491681496928956</v>
      </c>
      <c r="AC61" s="30">
        <v>6.348160361282458E-2</v>
      </c>
      <c r="AD61" s="30">
        <v>2.0832681711762308E-2</v>
      </c>
      <c r="AE61" s="30">
        <v>0.51994749778222971</v>
      </c>
      <c r="AF61" s="30">
        <v>8.3745910261815812E-2</v>
      </c>
      <c r="AG61" s="30">
        <v>3.2545034431359796</v>
      </c>
      <c r="AH61" s="30">
        <v>5.1629586361582769</v>
      </c>
      <c r="AI61" s="30">
        <v>12.091872535082516</v>
      </c>
      <c r="AJ61" s="30">
        <v>1.8957312989991364</v>
      </c>
      <c r="AK61" s="30">
        <v>0.18365874203776958</v>
      </c>
      <c r="AL61" s="30">
        <v>516.78744927808611</v>
      </c>
      <c r="AM61" s="30">
        <v>36.689647887712923</v>
      </c>
      <c r="AN61" s="30">
        <v>2.5498815001563391</v>
      </c>
      <c r="AO61" s="30">
        <v>0.51649789544347802</v>
      </c>
      <c r="AP61" s="30">
        <v>1.297806073078152</v>
      </c>
      <c r="AQ61" s="30">
        <v>0.11333603038987981</v>
      </c>
      <c r="AR61" s="30">
        <v>1.4735746810951431</v>
      </c>
      <c r="AS61" s="30">
        <v>7.5999290155776755</v>
      </c>
      <c r="AT61" s="30">
        <v>1.7687830864654559</v>
      </c>
      <c r="AU61" s="30">
        <v>0.66231285491787917</v>
      </c>
      <c r="AV61" s="30">
        <v>0.81948850386909955</v>
      </c>
      <c r="AW61" s="30">
        <v>3.1284089281175196</v>
      </c>
      <c r="AX61" s="30">
        <v>0.30677436750881792</v>
      </c>
      <c r="AY61" s="30">
        <v>7.4026903735445987E-2</v>
      </c>
      <c r="AZ61" s="30">
        <v>0.15299511232206731</v>
      </c>
      <c r="BA61" s="30">
        <v>2.7155298316764229</v>
      </c>
      <c r="BB61" s="30">
        <v>0.33074021999798631</v>
      </c>
      <c r="BC61" s="30">
        <v>0.19228150709176645</v>
      </c>
      <c r="BD61" s="30">
        <v>0.33801076839978039</v>
      </c>
      <c r="BE61" s="30">
        <v>16.341957374811852</v>
      </c>
      <c r="BF61" s="30">
        <v>5.152744021588707</v>
      </c>
      <c r="BG61" s="30">
        <v>0.21043421188518205</v>
      </c>
      <c r="BH61" s="30">
        <v>1.0202479674156986</v>
      </c>
      <c r="BI61" s="30">
        <v>0.14662760290202168</v>
      </c>
      <c r="BJ61" s="30">
        <v>0</v>
      </c>
      <c r="BK61" s="30">
        <v>0.46396105975948193</v>
      </c>
      <c r="BL61" s="30">
        <v>0.69172187298366916</v>
      </c>
      <c r="BM61" s="31">
        <f t="shared" si="0"/>
        <v>651.63670857259967</v>
      </c>
      <c r="BO61" s="125">
        <v>431.64545257848948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1.0085373973793256E-2</v>
      </c>
      <c r="BV61" s="30">
        <v>0</v>
      </c>
      <c r="BW61" s="30">
        <v>0.30097772569828551</v>
      </c>
      <c r="BX61" s="30">
        <v>0</v>
      </c>
      <c r="BY61" s="126">
        <v>0</v>
      </c>
      <c r="BZ61" s="30"/>
      <c r="CA61" s="43">
        <v>1083.5929422060487</v>
      </c>
      <c r="CB61" s="47"/>
      <c r="CC61" s="193"/>
    </row>
    <row r="62" spans="1:81" x14ac:dyDescent="0.2">
      <c r="A62" s="28" t="s">
        <v>121</v>
      </c>
      <c r="B62" s="197" t="s">
        <v>201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1">
        <f t="shared" si="0"/>
        <v>0</v>
      </c>
      <c r="BO62" s="125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8174.2358263302413</v>
      </c>
      <c r="BV62" s="30">
        <v>0</v>
      </c>
      <c r="BW62" s="30">
        <v>0</v>
      </c>
      <c r="BX62" s="30">
        <v>0</v>
      </c>
      <c r="BY62" s="126">
        <v>0</v>
      </c>
      <c r="BZ62" s="30"/>
      <c r="CA62" s="43">
        <v>8174.2358263302413</v>
      </c>
      <c r="CB62" s="47"/>
      <c r="CC62" s="193"/>
    </row>
    <row r="63" spans="1:81" x14ac:dyDescent="0.2">
      <c r="A63" s="28" t="s">
        <v>122</v>
      </c>
      <c r="B63" s="197" t="s">
        <v>203</v>
      </c>
      <c r="C63" s="30">
        <v>0</v>
      </c>
      <c r="D63" s="30">
        <v>0</v>
      </c>
      <c r="E63" s="30">
        <v>0.13289991302931581</v>
      </c>
      <c r="F63" s="30">
        <v>0</v>
      </c>
      <c r="G63" s="30">
        <v>0</v>
      </c>
      <c r="H63" s="30">
        <v>0.17749297356019436</v>
      </c>
      <c r="I63" s="30">
        <v>9.3092297508137349</v>
      </c>
      <c r="J63" s="30">
        <v>6.6030194174591363</v>
      </c>
      <c r="K63" s="30">
        <v>7.668396774032872</v>
      </c>
      <c r="L63" s="30">
        <v>13.652057668067114</v>
      </c>
      <c r="M63" s="30">
        <v>9.2540560986063269</v>
      </c>
      <c r="N63" s="30">
        <v>0.76154246739363785</v>
      </c>
      <c r="O63" s="30">
        <v>0.37444855423000006</v>
      </c>
      <c r="P63" s="30">
        <v>0.68700067545838361</v>
      </c>
      <c r="Q63" s="30">
        <v>3.2285754187848998</v>
      </c>
      <c r="R63" s="30">
        <v>33.098395131961077</v>
      </c>
      <c r="S63" s="30">
        <v>2.4435205037882702E-2</v>
      </c>
      <c r="T63" s="30">
        <v>0.42636206243390701</v>
      </c>
      <c r="U63" s="30">
        <v>0.58590200889700772</v>
      </c>
      <c r="V63" s="30">
        <v>15.03462915481494</v>
      </c>
      <c r="W63" s="30">
        <v>0</v>
      </c>
      <c r="X63" s="30">
        <v>0.89784918906516531</v>
      </c>
      <c r="Y63" s="30">
        <v>14.810241063472834</v>
      </c>
      <c r="Z63" s="30">
        <v>2.1143990044301524</v>
      </c>
      <c r="AA63" s="30">
        <v>0.68551125918389078</v>
      </c>
      <c r="AB63" s="30">
        <v>21.327509424276212</v>
      </c>
      <c r="AC63" s="30">
        <v>0.99575193913081383</v>
      </c>
      <c r="AD63" s="30">
        <v>0.32677471946520931</v>
      </c>
      <c r="AE63" s="30">
        <v>44.494396656019049</v>
      </c>
      <c r="AF63" s="30">
        <v>6.1041525253202122</v>
      </c>
      <c r="AG63" s="30">
        <v>37.667360740463039</v>
      </c>
      <c r="AH63" s="30">
        <v>76.885718235740555</v>
      </c>
      <c r="AI63" s="30">
        <v>96.931939772462641</v>
      </c>
      <c r="AJ63" s="30">
        <v>13.765695108469307</v>
      </c>
      <c r="AK63" s="30">
        <v>11.884419103246795</v>
      </c>
      <c r="AL63" s="30">
        <v>0</v>
      </c>
      <c r="AM63" s="30">
        <v>0</v>
      </c>
      <c r="AN63" s="30">
        <v>7.7995130784092153</v>
      </c>
      <c r="AO63" s="30">
        <v>30.04621043424935</v>
      </c>
      <c r="AP63" s="30">
        <v>6.7951488691220128</v>
      </c>
      <c r="AQ63" s="30">
        <v>1.3094828920175081</v>
      </c>
      <c r="AR63" s="30">
        <v>4.7276219793005048</v>
      </c>
      <c r="AS63" s="30">
        <v>24.316553956144119</v>
      </c>
      <c r="AT63" s="30">
        <v>7.6171114356258878</v>
      </c>
      <c r="AU63" s="30">
        <v>0.6647709460961817</v>
      </c>
      <c r="AV63" s="30">
        <v>10.12167224949768</v>
      </c>
      <c r="AW63" s="30">
        <v>2.6445563689381415</v>
      </c>
      <c r="AX63" s="30">
        <v>0.89086889122028645</v>
      </c>
      <c r="AY63" s="30">
        <v>0.59120424192316401</v>
      </c>
      <c r="AZ63" s="30">
        <v>5.0570228496254703</v>
      </c>
      <c r="BA63" s="30">
        <v>89.781797741531861</v>
      </c>
      <c r="BB63" s="30">
        <v>1.902040498579705</v>
      </c>
      <c r="BC63" s="30">
        <v>5.9966832569329229</v>
      </c>
      <c r="BD63" s="30">
        <v>4.1196498457899082</v>
      </c>
      <c r="BE63" s="30">
        <v>163.54476421015821</v>
      </c>
      <c r="BF63" s="30">
        <v>57.457470690711631</v>
      </c>
      <c r="BG63" s="30">
        <v>2.9814164745523057</v>
      </c>
      <c r="BH63" s="30">
        <v>9.7864704258951019</v>
      </c>
      <c r="BI63" s="30">
        <v>3.6704391236298841</v>
      </c>
      <c r="BJ63" s="30">
        <v>0</v>
      </c>
      <c r="BK63" s="30">
        <v>6.6929014488866505</v>
      </c>
      <c r="BL63" s="30">
        <v>2.1154250414328639</v>
      </c>
      <c r="BM63" s="31">
        <f t="shared" si="0"/>
        <v>880.54095896559704</v>
      </c>
      <c r="BO63" s="125">
        <v>551.80593811755773</v>
      </c>
      <c r="BP63" s="30">
        <v>78.267661809616627</v>
      </c>
      <c r="BQ63" s="30">
        <v>0</v>
      </c>
      <c r="BR63" s="30">
        <v>0</v>
      </c>
      <c r="BS63" s="30">
        <v>0</v>
      </c>
      <c r="BT63" s="30">
        <v>0</v>
      </c>
      <c r="BU63" s="30">
        <v>0</v>
      </c>
      <c r="BV63" s="30">
        <v>0</v>
      </c>
      <c r="BW63" s="30">
        <v>1521.0014653574628</v>
      </c>
      <c r="BX63" s="30">
        <v>0</v>
      </c>
      <c r="BY63" s="126">
        <v>0</v>
      </c>
      <c r="BZ63" s="30"/>
      <c r="CA63" s="43">
        <v>3031.6159896115951</v>
      </c>
      <c r="CB63" s="47"/>
      <c r="CC63" s="193"/>
    </row>
    <row r="64" spans="1:81" x14ac:dyDescent="0.2">
      <c r="A64" s="28" t="s">
        <v>123</v>
      </c>
      <c r="B64" s="33" t="s">
        <v>13</v>
      </c>
      <c r="C64" s="30">
        <v>5.2813698203007791</v>
      </c>
      <c r="D64" s="30">
        <v>2.6950364459853047</v>
      </c>
      <c r="E64" s="30">
        <v>0.19810528827156826</v>
      </c>
      <c r="F64" s="30">
        <v>0</v>
      </c>
      <c r="G64" s="30">
        <v>0</v>
      </c>
      <c r="H64" s="30">
        <v>2.5964243932027183E-2</v>
      </c>
      <c r="I64" s="30">
        <v>0</v>
      </c>
      <c r="J64" s="30">
        <v>0</v>
      </c>
      <c r="K64" s="30">
        <v>0</v>
      </c>
      <c r="L64" s="30">
        <v>0</v>
      </c>
      <c r="M64" s="30">
        <v>1.5168324076335462</v>
      </c>
      <c r="N64" s="30">
        <v>7.2384493390956886</v>
      </c>
      <c r="O64" s="30">
        <v>0.16191806606726777</v>
      </c>
      <c r="P64" s="30">
        <v>12.984785849029157</v>
      </c>
      <c r="Q64" s="30">
        <v>4.9521032633459265</v>
      </c>
      <c r="R64" s="30">
        <v>505.03100980603114</v>
      </c>
      <c r="S64" s="30">
        <v>12.148014608109456</v>
      </c>
      <c r="T64" s="30">
        <v>1.6573962078014199</v>
      </c>
      <c r="U64" s="30">
        <v>11.720028751355217</v>
      </c>
      <c r="V64" s="30">
        <v>4.2841660895722296</v>
      </c>
      <c r="W64" s="30">
        <v>36.411267364034956</v>
      </c>
      <c r="X64" s="30">
        <v>0.69898081574643456</v>
      </c>
      <c r="Y64" s="30">
        <v>2.6603920793522766</v>
      </c>
      <c r="Z64" s="30">
        <v>1.1085736639608395</v>
      </c>
      <c r="AA64" s="30">
        <v>0.55170346956400718</v>
      </c>
      <c r="AB64" s="30">
        <v>8.5113364660249342</v>
      </c>
      <c r="AC64" s="30">
        <v>5.1693202374822458E-2</v>
      </c>
      <c r="AD64" s="30">
        <v>1.6966191883042554E-2</v>
      </c>
      <c r="AE64" s="30">
        <v>3.8060105975762055</v>
      </c>
      <c r="AF64" s="30">
        <v>0.10067375571993843</v>
      </c>
      <c r="AG64" s="30">
        <v>6.9944225094747603</v>
      </c>
      <c r="AH64" s="30">
        <v>130.86008386278573</v>
      </c>
      <c r="AI64" s="30">
        <v>12.13040624823406</v>
      </c>
      <c r="AJ64" s="30">
        <v>4.2499318994887112</v>
      </c>
      <c r="AK64" s="30">
        <v>0.99456828219191284</v>
      </c>
      <c r="AL64" s="30">
        <v>0</v>
      </c>
      <c r="AM64" s="30">
        <v>79.830966210041041</v>
      </c>
      <c r="AN64" s="30">
        <v>171.14741443920309</v>
      </c>
      <c r="AO64" s="30">
        <v>3.5631358410402014</v>
      </c>
      <c r="AP64" s="30">
        <v>0</v>
      </c>
      <c r="AQ64" s="30">
        <v>0.10020231311061717</v>
      </c>
      <c r="AR64" s="30">
        <v>3.563932348782862</v>
      </c>
      <c r="AS64" s="30">
        <v>6.8362135340024341</v>
      </c>
      <c r="AT64" s="30">
        <v>7.2381149643368614</v>
      </c>
      <c r="AU64" s="30">
        <v>1.6688254382644616</v>
      </c>
      <c r="AV64" s="30">
        <v>5.7020105981990188</v>
      </c>
      <c r="AW64" s="30">
        <v>62.501671132834524</v>
      </c>
      <c r="AX64" s="30">
        <v>0.34876376358897393</v>
      </c>
      <c r="AY64" s="30">
        <v>0.40087993781017384</v>
      </c>
      <c r="AZ64" s="30">
        <v>0.90243144014828613</v>
      </c>
      <c r="BA64" s="30">
        <v>73.377864058209198</v>
      </c>
      <c r="BB64" s="30">
        <v>0</v>
      </c>
      <c r="BC64" s="30">
        <v>1.127460182168869</v>
      </c>
      <c r="BD64" s="30">
        <v>3.4725519620795127</v>
      </c>
      <c r="BE64" s="30">
        <v>180.49929342637259</v>
      </c>
      <c r="BF64" s="30">
        <v>43.882155345125845</v>
      </c>
      <c r="BG64" s="30">
        <v>0</v>
      </c>
      <c r="BH64" s="30">
        <v>2.1179885364216906</v>
      </c>
      <c r="BI64" s="30">
        <v>0</v>
      </c>
      <c r="BJ64" s="30">
        <v>0</v>
      </c>
      <c r="BK64" s="30">
        <v>9.405419954088952</v>
      </c>
      <c r="BL64" s="30">
        <v>5.0514291455561455</v>
      </c>
      <c r="BM64" s="31">
        <f t="shared" si="0"/>
        <v>1441.7809151663284</v>
      </c>
      <c r="BO64" s="125">
        <v>5163.1966743198818</v>
      </c>
      <c r="BP64" s="30">
        <v>100.04998935468599</v>
      </c>
      <c r="BQ64" s="30">
        <v>0</v>
      </c>
      <c r="BR64" s="30">
        <v>0</v>
      </c>
      <c r="BS64" s="30">
        <v>0</v>
      </c>
      <c r="BT64" s="30">
        <v>2410.8519999999999</v>
      </c>
      <c r="BU64" s="30">
        <v>0.1128345471844613</v>
      </c>
      <c r="BV64" s="30">
        <v>0</v>
      </c>
      <c r="BW64" s="30">
        <v>21.160654804277936</v>
      </c>
      <c r="BX64" s="30">
        <v>0</v>
      </c>
      <c r="BY64" s="126">
        <v>0</v>
      </c>
      <c r="BZ64" s="30"/>
      <c r="CA64" s="43">
        <v>9137.1528398156388</v>
      </c>
      <c r="CB64" s="47"/>
      <c r="CC64" s="193"/>
    </row>
    <row r="65" spans="1:80" x14ac:dyDescent="0.2">
      <c r="A65" s="34"/>
      <c r="B65" s="37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42">
        <f>+SUM(BM3:BM64)</f>
        <v>40963.579925801918</v>
      </c>
      <c r="BO65" s="34"/>
      <c r="BP65" s="35"/>
      <c r="BQ65" s="36"/>
      <c r="BR65" s="36"/>
      <c r="BS65" s="36"/>
      <c r="BT65" s="35"/>
      <c r="BU65" s="35"/>
      <c r="BV65" s="35"/>
      <c r="BW65" s="35"/>
      <c r="BX65" s="35"/>
      <c r="BY65" s="127"/>
      <c r="BZ65" s="35"/>
      <c r="CA65" s="37"/>
      <c r="CB65" s="47"/>
    </row>
    <row r="66" spans="1:80" x14ac:dyDescent="0.2">
      <c r="A66" s="46"/>
      <c r="B66" s="28" t="s">
        <v>24</v>
      </c>
      <c r="C66" s="30">
        <f>SUM(C3:C64)</f>
        <v>130.26611643879622</v>
      </c>
      <c r="D66" s="30">
        <f t="shared" ref="D66:BL66" si="1">SUM(D3:D64)</f>
        <v>37.836549583641201</v>
      </c>
      <c r="E66" s="30">
        <f t="shared" si="1"/>
        <v>51.679875053429612</v>
      </c>
      <c r="F66" s="30">
        <f t="shared" si="1"/>
        <v>5.0579977168538877</v>
      </c>
      <c r="G66" s="30">
        <f t="shared" si="1"/>
        <v>55.408309748203671</v>
      </c>
      <c r="H66" s="30">
        <f t="shared" si="1"/>
        <v>54.905408145427252</v>
      </c>
      <c r="I66" s="30">
        <f t="shared" si="1"/>
        <v>397.38245676664258</v>
      </c>
      <c r="J66" s="30">
        <f t="shared" si="1"/>
        <v>1759.5121431937869</v>
      </c>
      <c r="K66" s="30">
        <f t="shared" si="1"/>
        <v>1014.1207531859764</v>
      </c>
      <c r="L66" s="30">
        <f t="shared" si="1"/>
        <v>1154.5747405265495</v>
      </c>
      <c r="M66" s="30">
        <f t="shared" si="1"/>
        <v>434.436887553014</v>
      </c>
      <c r="N66" s="30">
        <f t="shared" si="1"/>
        <v>191.11717574113445</v>
      </c>
      <c r="O66" s="30">
        <f t="shared" si="1"/>
        <v>21.251913878367748</v>
      </c>
      <c r="P66" s="30">
        <f t="shared" si="1"/>
        <v>212.95935534346003</v>
      </c>
      <c r="Q66" s="30">
        <f t="shared" si="1"/>
        <v>134.32366837944812</v>
      </c>
      <c r="R66" s="30">
        <f t="shared" si="1"/>
        <v>1423.4755720684204</v>
      </c>
      <c r="S66" s="30">
        <f t="shared" si="1"/>
        <v>39.406872222510302</v>
      </c>
      <c r="T66" s="30">
        <f t="shared" si="1"/>
        <v>53.419125034784088</v>
      </c>
      <c r="U66" s="30">
        <f t="shared" si="1"/>
        <v>136.17232972731651</v>
      </c>
      <c r="V66" s="30">
        <f t="shared" si="1"/>
        <v>912.33725728095408</v>
      </c>
      <c r="W66" s="30">
        <f t="shared" si="1"/>
        <v>136.80417691981035</v>
      </c>
      <c r="X66" s="30">
        <f t="shared" si="1"/>
        <v>58.828131000947053</v>
      </c>
      <c r="Y66" s="30">
        <f t="shared" si="1"/>
        <v>365.06432652090217</v>
      </c>
      <c r="Z66" s="30">
        <f t="shared" si="1"/>
        <v>227.45481768276659</v>
      </c>
      <c r="AA66" s="30">
        <f t="shared" si="1"/>
        <v>53.79756934216519</v>
      </c>
      <c r="AB66" s="30">
        <f t="shared" si="1"/>
        <v>1214.0522047675299</v>
      </c>
      <c r="AC66" s="30">
        <f t="shared" si="1"/>
        <v>26.453385864980898</v>
      </c>
      <c r="AD66" s="30">
        <f t="shared" si="1"/>
        <v>8.7805892911620749</v>
      </c>
      <c r="AE66" s="30">
        <f t="shared" si="1"/>
        <v>1485.7460980455587</v>
      </c>
      <c r="AF66" s="30">
        <f t="shared" si="1"/>
        <v>240.47647704979082</v>
      </c>
      <c r="AG66" s="30">
        <f t="shared" si="1"/>
        <v>1075.3929796360349</v>
      </c>
      <c r="AH66" s="30">
        <f t="shared" si="1"/>
        <v>2207.9550019504177</v>
      </c>
      <c r="AI66" s="30">
        <f t="shared" si="1"/>
        <v>2207.9565461720131</v>
      </c>
      <c r="AJ66" s="30">
        <f t="shared" si="1"/>
        <v>738.59190077627261</v>
      </c>
      <c r="AK66" s="30">
        <f t="shared" si="1"/>
        <v>503.42571140928516</v>
      </c>
      <c r="AL66" s="30">
        <f t="shared" si="1"/>
        <v>2964.3281870939345</v>
      </c>
      <c r="AM66" s="30">
        <f t="shared" si="1"/>
        <v>1883.6706229659776</v>
      </c>
      <c r="AN66" s="30">
        <f t="shared" si="1"/>
        <v>678.64452540340153</v>
      </c>
      <c r="AO66" s="30">
        <f t="shared" si="1"/>
        <v>845.44168779626114</v>
      </c>
      <c r="AP66" s="30">
        <f t="shared" si="1"/>
        <v>661.85664869086884</v>
      </c>
      <c r="AQ66" s="30">
        <f t="shared" si="1"/>
        <v>59.195505975837946</v>
      </c>
      <c r="AR66" s="30">
        <f t="shared" si="1"/>
        <v>520.62752312668022</v>
      </c>
      <c r="AS66" s="30">
        <f t="shared" si="1"/>
        <v>1084.7155864488118</v>
      </c>
      <c r="AT66" s="30">
        <f t="shared" si="1"/>
        <v>457.68374716324212</v>
      </c>
      <c r="AU66" s="30">
        <f t="shared" si="1"/>
        <v>144.53104212054467</v>
      </c>
      <c r="AV66" s="30">
        <f t="shared" si="1"/>
        <v>396.19754459428441</v>
      </c>
      <c r="AW66" s="30">
        <f t="shared" si="1"/>
        <v>261.24046117258428</v>
      </c>
      <c r="AX66" s="30">
        <f t="shared" si="1"/>
        <v>33.244621992651567</v>
      </c>
      <c r="AY66" s="30">
        <f t="shared" si="1"/>
        <v>70.317614225142137</v>
      </c>
      <c r="AZ66" s="30">
        <f t="shared" si="1"/>
        <v>652.46022188606571</v>
      </c>
      <c r="BA66" s="30">
        <f t="shared" si="1"/>
        <v>2495.4908207099884</v>
      </c>
      <c r="BB66" s="30">
        <f t="shared" si="1"/>
        <v>206.34298752815579</v>
      </c>
      <c r="BC66" s="30">
        <f t="shared" si="1"/>
        <v>107.24954842733902</v>
      </c>
      <c r="BD66" s="30">
        <f t="shared" si="1"/>
        <v>72.053901244294778</v>
      </c>
      <c r="BE66" s="30">
        <f t="shared" si="1"/>
        <v>5035.9564830431009</v>
      </c>
      <c r="BF66" s="30">
        <f t="shared" si="1"/>
        <v>2698.0238084296893</v>
      </c>
      <c r="BG66" s="30">
        <f t="shared" si="1"/>
        <v>78.284699352045578</v>
      </c>
      <c r="BH66" s="30">
        <f t="shared" si="1"/>
        <v>296.78492648327483</v>
      </c>
      <c r="BI66" s="30">
        <f t="shared" si="1"/>
        <v>131.659886045722</v>
      </c>
      <c r="BJ66" s="30">
        <f t="shared" si="1"/>
        <v>0</v>
      </c>
      <c r="BK66" s="30">
        <f t="shared" si="1"/>
        <v>220.80418956300875</v>
      </c>
      <c r="BL66" s="30">
        <f t="shared" si="1"/>
        <v>136.34871030065176</v>
      </c>
      <c r="BM66" s="188">
        <f>SUM(C66:BL66)</f>
        <v>40963.579925801903</v>
      </c>
      <c r="BO66" s="125">
        <f>+SUM(BO3:BO64)</f>
        <v>62731.926323879743</v>
      </c>
      <c r="BP66" s="30">
        <f t="shared" ref="BP66:CA66" si="2">+SUM(BP3:BP64)</f>
        <v>21195.174644515631</v>
      </c>
      <c r="BQ66" s="30">
        <f t="shared" si="2"/>
        <v>23.8331834596855</v>
      </c>
      <c r="BR66" s="30">
        <f t="shared" si="2"/>
        <v>8567.7049725057259</v>
      </c>
      <c r="BS66" s="30">
        <f t="shared" si="2"/>
        <v>2482.7291509033544</v>
      </c>
      <c r="BT66" s="30">
        <f t="shared" si="2"/>
        <v>4406.8902739037358</v>
      </c>
      <c r="BU66" s="30">
        <f t="shared" si="2"/>
        <v>8716.764747453275</v>
      </c>
      <c r="BV66" s="30">
        <f t="shared" si="2"/>
        <v>295.36303592183447</v>
      </c>
      <c r="BW66" s="30">
        <f t="shared" si="2"/>
        <v>1912.2059762119679</v>
      </c>
      <c r="BX66" s="30">
        <f t="shared" si="2"/>
        <v>63.613105615627596</v>
      </c>
      <c r="BY66" s="126">
        <f t="shared" si="2"/>
        <v>7258.2871952114483</v>
      </c>
      <c r="BZ66" s="30"/>
      <c r="CA66" s="31">
        <f t="shared" si="2"/>
        <v>158618.07253538392</v>
      </c>
      <c r="CB66" s="47"/>
    </row>
    <row r="67" spans="1:80" x14ac:dyDescent="0.2">
      <c r="A67" s="46"/>
      <c r="B67" s="28" t="s">
        <v>23</v>
      </c>
      <c r="C67" s="30">
        <v>77.207241060666661</v>
      </c>
      <c r="D67" s="30">
        <v>29.775526497563526</v>
      </c>
      <c r="E67" s="30">
        <v>20.332291227549163</v>
      </c>
      <c r="F67" s="30">
        <v>1.1774178705405678</v>
      </c>
      <c r="G67" s="30">
        <v>19.035976836123965</v>
      </c>
      <c r="H67" s="30">
        <v>8.7652548776015706</v>
      </c>
      <c r="I67" s="30">
        <v>211.35707966025228</v>
      </c>
      <c r="J67" s="30">
        <v>774.12731121666775</v>
      </c>
      <c r="K67" s="30">
        <v>446.73359303748884</v>
      </c>
      <c r="L67" s="30">
        <v>609.39192241263436</v>
      </c>
      <c r="M67" s="30">
        <v>201.35918397755842</v>
      </c>
      <c r="N67" s="30">
        <v>96.976045125953902</v>
      </c>
      <c r="O67" s="30">
        <v>14.314030161661165</v>
      </c>
      <c r="P67" s="30">
        <v>2287.2500310951796</v>
      </c>
      <c r="Q67" s="30">
        <v>152.6833913555339</v>
      </c>
      <c r="R67" s="30">
        <v>528.60242793158</v>
      </c>
      <c r="S67" s="30">
        <v>17.203127777489705</v>
      </c>
      <c r="T67" s="30">
        <v>7.90487496521596</v>
      </c>
      <c r="U67" s="30">
        <v>50.000114650933426</v>
      </c>
      <c r="V67" s="30">
        <v>158.43093154885935</v>
      </c>
      <c r="W67" s="30">
        <v>32.797125750081733</v>
      </c>
      <c r="X67" s="30">
        <v>9.4113703824611079</v>
      </c>
      <c r="Y67" s="30">
        <v>208.82260151503539</v>
      </c>
      <c r="Z67" s="30">
        <v>62.567432488110086</v>
      </c>
      <c r="AA67" s="30">
        <v>44.810196540309924</v>
      </c>
      <c r="AB67" s="30">
        <v>872.82741725464712</v>
      </c>
      <c r="AC67" s="30">
        <v>15.830676169690065</v>
      </c>
      <c r="AD67" s="30">
        <v>5.8378504701321177</v>
      </c>
      <c r="AE67" s="30">
        <v>137.72549770000796</v>
      </c>
      <c r="AF67" s="30">
        <v>114.78842197030042</v>
      </c>
      <c r="AG67" s="30">
        <v>512.22218470881535</v>
      </c>
      <c r="AH67" s="30">
        <v>796.81420068078069</v>
      </c>
      <c r="AI67" s="30">
        <v>531.94717820277947</v>
      </c>
      <c r="AJ67" s="30">
        <v>130.32824186112009</v>
      </c>
      <c r="AK67" s="30">
        <v>193.15672566446875</v>
      </c>
      <c r="AL67" s="30">
        <v>320.35035486668221</v>
      </c>
      <c r="AM67" s="30">
        <v>154.1705187390553</v>
      </c>
      <c r="AN67" s="30">
        <v>177.81851008825106</v>
      </c>
      <c r="AO67" s="30">
        <v>82.803834862348708</v>
      </c>
      <c r="AP67" s="30">
        <v>132.28673669910518</v>
      </c>
      <c r="AQ67" s="30">
        <v>13.556494024162028</v>
      </c>
      <c r="AR67" s="30">
        <v>290.15656480967243</v>
      </c>
      <c r="AS67" s="30">
        <v>208.93494022486152</v>
      </c>
      <c r="AT67" s="30">
        <v>73.139687224979468</v>
      </c>
      <c r="AU67" s="30">
        <v>35.34166878014301</v>
      </c>
      <c r="AV67" s="30">
        <v>60.164299008487831</v>
      </c>
      <c r="AW67" s="30">
        <v>32.720538827415623</v>
      </c>
      <c r="AX67" s="30">
        <v>3.547790701243791</v>
      </c>
      <c r="AY67" s="30">
        <v>8.5359838350879329</v>
      </c>
      <c r="AZ67" s="30">
        <v>163.1667781139347</v>
      </c>
      <c r="BA67" s="30">
        <v>844.30617929001164</v>
      </c>
      <c r="BB67" s="30">
        <v>85.300012471844099</v>
      </c>
      <c r="BC67" s="30">
        <v>30.458451572661048</v>
      </c>
      <c r="BD67" s="30">
        <v>16.450098755705142</v>
      </c>
      <c r="BE67" s="30">
        <v>882.31511774647606</v>
      </c>
      <c r="BF67" s="30">
        <v>1188.4895794120357</v>
      </c>
      <c r="BG67" s="30">
        <v>57.937491783822978</v>
      </c>
      <c r="BH67" s="30">
        <v>102.28340690845732</v>
      </c>
      <c r="BI67" s="30">
        <v>25.790920295992578</v>
      </c>
      <c r="BJ67" s="30">
        <v>0</v>
      </c>
      <c r="BK67" s="30">
        <v>82.357409398150764</v>
      </c>
      <c r="BL67" s="30">
        <v>46.394346495661097</v>
      </c>
      <c r="BM67" s="188">
        <f>+SUM(C67:BL67)</f>
        <v>14501.292609582046</v>
      </c>
      <c r="BO67" s="125">
        <v>10288.719104743512</v>
      </c>
      <c r="BP67" s="30">
        <v>1450.150677590839</v>
      </c>
      <c r="BQ67" s="30">
        <v>22.502766225218853</v>
      </c>
      <c r="BR67" s="30">
        <v>8477.4453186607625</v>
      </c>
      <c r="BS67" s="30">
        <v>228.5795078245402</v>
      </c>
      <c r="BT67" s="30">
        <v>6798.9300077314883</v>
      </c>
      <c r="BU67" s="30">
        <v>274.55026900459501</v>
      </c>
      <c r="BV67" s="30">
        <v>97.05504840212879</v>
      </c>
      <c r="BW67" s="30">
        <v>148.80802398164559</v>
      </c>
      <c r="BX67" s="30">
        <v>98.191865463661784</v>
      </c>
      <c r="BY67" s="126">
        <v>964.74182120187095</v>
      </c>
      <c r="BZ67" s="30"/>
      <c r="CA67" s="89">
        <f>+SUM(BO67:BZ67)+BM67</f>
        <v>43350.967020412303</v>
      </c>
      <c r="CB67" s="47"/>
    </row>
    <row r="68" spans="1:80" x14ac:dyDescent="0.2">
      <c r="A68" s="44"/>
      <c r="B68" s="41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189"/>
      <c r="BO68" s="128"/>
      <c r="BP68" s="38"/>
      <c r="BQ68" s="38"/>
      <c r="BR68" s="38"/>
      <c r="BS68" s="38"/>
      <c r="BT68" s="38"/>
      <c r="BU68" s="38"/>
      <c r="BV68" s="38"/>
      <c r="BW68" s="38"/>
      <c r="BX68" s="38"/>
      <c r="BY68" s="129"/>
      <c r="BZ68" s="38"/>
      <c r="CA68" s="39"/>
    </row>
    <row r="69" spans="1:80" x14ac:dyDescent="0.2">
      <c r="B69" s="28" t="s">
        <v>25</v>
      </c>
      <c r="C69" s="30">
        <v>122.98710896505861</v>
      </c>
      <c r="D69" s="30">
        <v>40.079429323230016</v>
      </c>
      <c r="E69" s="30">
        <v>71.180589301855917</v>
      </c>
      <c r="F69" s="30">
        <v>6.1634106981440846</v>
      </c>
      <c r="G69" s="30">
        <v>44.129461711711365</v>
      </c>
      <c r="H69" s="30">
        <v>33.06</v>
      </c>
      <c r="I69" s="30">
        <v>362.84870770124485</v>
      </c>
      <c r="J69" s="30">
        <v>1510.2153660166032</v>
      </c>
      <c r="K69" s="30">
        <v>870.76504801752526</v>
      </c>
      <c r="L69" s="30">
        <v>1051.4398782646269</v>
      </c>
      <c r="M69" s="30">
        <v>311.88099999999997</v>
      </c>
      <c r="N69" s="30">
        <v>98.637</v>
      </c>
      <c r="O69" s="30">
        <v>25.064</v>
      </c>
      <c r="P69" s="30">
        <v>85.217368925831352</v>
      </c>
      <c r="Q69" s="30">
        <v>362.00663107416869</v>
      </c>
      <c r="R69" s="30">
        <v>1130.2660000000001</v>
      </c>
      <c r="S69" s="30">
        <v>173.68799999999999</v>
      </c>
      <c r="T69" s="30">
        <v>250.55699999999999</v>
      </c>
      <c r="U69" s="30">
        <v>195.11799999999999</v>
      </c>
      <c r="V69" s="30">
        <v>668.64599999999996</v>
      </c>
      <c r="W69" s="30">
        <v>139.82682223247107</v>
      </c>
      <c r="X69" s="30">
        <v>53.228177767528905</v>
      </c>
      <c r="Y69" s="30">
        <v>206.95391157528815</v>
      </c>
      <c r="Z69" s="30">
        <v>176.47499999999999</v>
      </c>
      <c r="AA69" s="30">
        <v>103.32973291191594</v>
      </c>
      <c r="AB69" s="30">
        <v>363.68299999999999</v>
      </c>
      <c r="AC69" s="30">
        <v>44.308891874508483</v>
      </c>
      <c r="AD69" s="30">
        <v>15.31846363828749</v>
      </c>
      <c r="AE69" s="30">
        <v>508.29395621137326</v>
      </c>
      <c r="AF69" s="30">
        <v>116.6800437886267</v>
      </c>
      <c r="AG69" s="30">
        <v>1521.088</v>
      </c>
      <c r="AH69" s="30">
        <v>3199.1559999999999</v>
      </c>
      <c r="AI69" s="30">
        <v>820.86599999999999</v>
      </c>
      <c r="AJ69" s="30">
        <v>797.68799999999999</v>
      </c>
      <c r="AK69" s="30">
        <v>234.93299999999999</v>
      </c>
      <c r="AL69" s="30">
        <v>0</v>
      </c>
      <c r="AM69" s="30">
        <v>713.03284827871573</v>
      </c>
      <c r="AN69" s="30">
        <v>299.67315172128434</v>
      </c>
      <c r="AO69" s="30">
        <v>627.81260238130778</v>
      </c>
      <c r="AP69" s="30">
        <v>537.11352575944136</v>
      </c>
      <c r="AQ69" s="30">
        <v>324.28970527706088</v>
      </c>
      <c r="AR69" s="30">
        <v>548.36835275949318</v>
      </c>
      <c r="AS69" s="30">
        <v>874.95181382269664</v>
      </c>
      <c r="AT69" s="30">
        <v>1182.23</v>
      </c>
      <c r="AU69" s="30">
        <v>511.51010963828196</v>
      </c>
      <c r="AV69" s="30">
        <v>1381.696890361718</v>
      </c>
      <c r="AW69" s="30">
        <v>182.62100000000001</v>
      </c>
      <c r="AX69" s="30">
        <v>301.59053330210884</v>
      </c>
      <c r="AY69" s="30">
        <v>117.78690744210131</v>
      </c>
      <c r="AZ69" s="30">
        <v>1924.7099999999998</v>
      </c>
      <c r="BA69" s="30">
        <v>1793.9839999999999</v>
      </c>
      <c r="BB69" s="30">
        <v>463.29199999999997</v>
      </c>
      <c r="BC69" s="30">
        <v>334.27749999999997</v>
      </c>
      <c r="BD69" s="30">
        <v>643.14400000000001</v>
      </c>
      <c r="BE69" s="30">
        <v>2895.6260000000002</v>
      </c>
      <c r="BF69" s="30">
        <v>2629.6909999999998</v>
      </c>
      <c r="BG69" s="30">
        <v>366.40162500000002</v>
      </c>
      <c r="BH69" s="30">
        <v>454.47606909387292</v>
      </c>
      <c r="BI69" s="30">
        <v>80.738687464701769</v>
      </c>
      <c r="BJ69" s="30">
        <v>7012.7114572163382</v>
      </c>
      <c r="BK69" s="30">
        <v>2340.7525513484638</v>
      </c>
      <c r="BL69" s="30">
        <v>7682.0259914351982</v>
      </c>
      <c r="BM69" s="188">
        <f t="shared" ref="BM69:BM73" si="3">+SUM(C69:BL69)</f>
        <v>51940.287322302778</v>
      </c>
      <c r="BO69" s="125"/>
      <c r="BP69" s="30"/>
      <c r="BQ69" s="30"/>
      <c r="BR69" s="30"/>
      <c r="BS69" s="30"/>
      <c r="BT69" s="30"/>
      <c r="BU69" s="30"/>
      <c r="BV69" s="30"/>
      <c r="BW69" s="30"/>
      <c r="BX69" s="30"/>
      <c r="BY69" s="126"/>
      <c r="BZ69" s="36"/>
      <c r="CA69" s="40"/>
    </row>
    <row r="70" spans="1:80" x14ac:dyDescent="0.2">
      <c r="B70" s="28" t="s">
        <v>26</v>
      </c>
      <c r="C70" s="30">
        <v>47.692258750244036</v>
      </c>
      <c r="D70" s="30">
        <v>15.542104615115946</v>
      </c>
      <c r="E70" s="30">
        <v>8.58742861470337</v>
      </c>
      <c r="F70" s="30">
        <v>0.74357138529662858</v>
      </c>
      <c r="G70" s="30">
        <v>17.112636634640019</v>
      </c>
      <c r="H70" s="30">
        <v>3.7259999999999991</v>
      </c>
      <c r="I70" s="30">
        <v>78.337546735783178</v>
      </c>
      <c r="J70" s="30">
        <v>326.04929907544943</v>
      </c>
      <c r="K70" s="30">
        <v>187.99459994528547</v>
      </c>
      <c r="L70" s="30">
        <v>227.00155424348191</v>
      </c>
      <c r="M70" s="30">
        <v>-1.2809999999999491</v>
      </c>
      <c r="N70" s="30">
        <v>0.25100000000000477</v>
      </c>
      <c r="O70" s="30">
        <v>5.4810000000000016</v>
      </c>
      <c r="P70" s="30">
        <v>0.70458088235293881</v>
      </c>
      <c r="Q70" s="30">
        <v>92.994580882352921</v>
      </c>
      <c r="R70" s="30">
        <v>11.1099999999999</v>
      </c>
      <c r="S70" s="30">
        <v>-2.4629999999999939</v>
      </c>
      <c r="T70" s="30">
        <v>54.561000000000007</v>
      </c>
      <c r="U70" s="30">
        <v>143.70400000000001</v>
      </c>
      <c r="V70" s="30">
        <v>85.267000000000053</v>
      </c>
      <c r="W70" s="30">
        <v>1.7455266197729031</v>
      </c>
      <c r="X70" s="30">
        <v>0.66447338022710767</v>
      </c>
      <c r="Y70" s="30">
        <v>-4.7124113562415175</v>
      </c>
      <c r="Z70" s="30">
        <v>15.444999999999993</v>
      </c>
      <c r="AA70" s="30">
        <v>-2.3528533628820583</v>
      </c>
      <c r="AB70" s="30">
        <v>-7.0219999999999914</v>
      </c>
      <c r="AC70" s="30">
        <v>-1.0089286240717001</v>
      </c>
      <c r="AD70" s="30">
        <v>-0.34880665680473122</v>
      </c>
      <c r="AE70" s="30">
        <v>11.840895314815384</v>
      </c>
      <c r="AF70" s="30">
        <v>2.7181046851846844</v>
      </c>
      <c r="AG70" s="30">
        <v>68.259999999999991</v>
      </c>
      <c r="AH70" s="30">
        <v>173.03800000000001</v>
      </c>
      <c r="AI70" s="30">
        <v>14.754999999999995</v>
      </c>
      <c r="AJ70" s="30">
        <v>29.826000000000022</v>
      </c>
      <c r="AK70" s="30">
        <v>11.378000000000014</v>
      </c>
      <c r="AL70" s="30">
        <v>0</v>
      </c>
      <c r="AM70" s="30">
        <v>1328.4391438918187</v>
      </c>
      <c r="AN70" s="30">
        <v>558.31585610818138</v>
      </c>
      <c r="AO70" s="30">
        <v>197.93538848531125</v>
      </c>
      <c r="AP70" s="30">
        <v>169.33998135535933</v>
      </c>
      <c r="AQ70" s="30">
        <v>102.24135124451794</v>
      </c>
      <c r="AR70" s="30">
        <v>172.88837867350878</v>
      </c>
      <c r="AS70" s="30">
        <v>275.85290024130234</v>
      </c>
      <c r="AT70" s="30">
        <v>1.6559999999999491</v>
      </c>
      <c r="AU70" s="30">
        <v>99.031362944663442</v>
      </c>
      <c r="AV70" s="30">
        <v>267.50463705533662</v>
      </c>
      <c r="AW70" s="30">
        <v>12.919999999999987</v>
      </c>
      <c r="AX70" s="30">
        <v>22.132966746774855</v>
      </c>
      <c r="AY70" s="30">
        <v>36.923033253225185</v>
      </c>
      <c r="AZ70" s="30">
        <v>469.2170000000001</v>
      </c>
      <c r="BA70" s="30">
        <v>1.4170000000001437</v>
      </c>
      <c r="BB70" s="30">
        <v>87.548000000000059</v>
      </c>
      <c r="BC70" s="30">
        <v>45.924000000000092</v>
      </c>
      <c r="BD70" s="30">
        <v>260.24599999999998</v>
      </c>
      <c r="BE70" s="30">
        <v>127.09099999999989</v>
      </c>
      <c r="BF70" s="30">
        <v>253.17200000000003</v>
      </c>
      <c r="BG70" s="30">
        <v>122.76650000000001</v>
      </c>
      <c r="BH70" s="30">
        <v>276.54667013122906</v>
      </c>
      <c r="BI70" s="30">
        <v>98.258265671266315</v>
      </c>
      <c r="BJ70" s="30">
        <v>0</v>
      </c>
      <c r="BK70" s="30">
        <v>0</v>
      </c>
      <c r="BL70" s="30">
        <v>0</v>
      </c>
      <c r="BM70" s="188">
        <f t="shared" si="3"/>
        <v>6604.7095975672009</v>
      </c>
      <c r="BO70" s="125"/>
      <c r="BP70" s="30"/>
      <c r="BQ70" s="30"/>
      <c r="BR70" s="30"/>
      <c r="BS70" s="30"/>
      <c r="BT70" s="30"/>
      <c r="BU70" s="30"/>
      <c r="BV70" s="30"/>
      <c r="BW70" s="30"/>
      <c r="BX70" s="30"/>
      <c r="BY70" s="126"/>
      <c r="BZ70" s="30"/>
      <c r="CA70" s="31"/>
    </row>
    <row r="71" spans="1:80" x14ac:dyDescent="0.2">
      <c r="B71" s="28" t="s">
        <v>168</v>
      </c>
      <c r="C71" s="30">
        <v>-3.3549061751699418</v>
      </c>
      <c r="D71" s="30">
        <v>-1.0933074699072187</v>
      </c>
      <c r="E71" s="30">
        <v>2.6735055327096018</v>
      </c>
      <c r="F71" s="30">
        <v>0.2314944672903983</v>
      </c>
      <c r="G71" s="30">
        <v>-1.2037863549228396</v>
      </c>
      <c r="H71" s="30">
        <v>6.0780000000000003</v>
      </c>
      <c r="I71" s="30">
        <v>12.570693232047104</v>
      </c>
      <c r="J71" s="30">
        <v>52.320577909152959</v>
      </c>
      <c r="K71" s="30">
        <v>30.16717453718941</v>
      </c>
      <c r="L71" s="30">
        <v>36.426554321610539</v>
      </c>
      <c r="M71" s="30">
        <v>28.675499026353368</v>
      </c>
      <c r="N71" s="30">
        <v>12.993500973646633</v>
      </c>
      <c r="O71" s="30">
        <v>1.07</v>
      </c>
      <c r="P71" s="30">
        <v>7.1510639386189343</v>
      </c>
      <c r="Q71" s="30">
        <v>29.381936061381076</v>
      </c>
      <c r="R71" s="30">
        <v>983.74900000000002</v>
      </c>
      <c r="S71" s="30">
        <v>21.797000000000001</v>
      </c>
      <c r="T71" s="30">
        <v>57.481000000000002</v>
      </c>
      <c r="U71" s="30">
        <v>7.7270000000000003</v>
      </c>
      <c r="V71" s="30">
        <v>12.484545655934845</v>
      </c>
      <c r="W71" s="30">
        <v>1.9774543440651555</v>
      </c>
      <c r="X71" s="30">
        <v>0.61</v>
      </c>
      <c r="Y71" s="30">
        <v>4.0369999999999999</v>
      </c>
      <c r="Z71" s="30">
        <v>8.6649999999999991</v>
      </c>
      <c r="AA71" s="30">
        <v>9.729004854889638</v>
      </c>
      <c r="AB71" s="30">
        <v>78.503995145110366</v>
      </c>
      <c r="AC71" s="30">
        <v>2.4291831541428071</v>
      </c>
      <c r="AD71" s="30">
        <v>0.83981684585719285</v>
      </c>
      <c r="AE71" s="30">
        <v>326.01785372042076</v>
      </c>
      <c r="AF71" s="30">
        <v>74.83814627957922</v>
      </c>
      <c r="AG71" s="30">
        <v>773.51300000000003</v>
      </c>
      <c r="AH71" s="30">
        <v>2836.7539999999999</v>
      </c>
      <c r="AI71" s="30">
        <v>71.731617656186273</v>
      </c>
      <c r="AJ71" s="30">
        <v>231.93799999999999</v>
      </c>
      <c r="AK71" s="30">
        <v>13.839382343813741</v>
      </c>
      <c r="AL71" s="30">
        <v>0</v>
      </c>
      <c r="AM71" s="30">
        <v>1544.2318670884331</v>
      </c>
      <c r="AN71" s="30">
        <v>649.00913291156701</v>
      </c>
      <c r="AO71" s="30">
        <v>83.965000000000003</v>
      </c>
      <c r="AP71" s="30">
        <v>28.582639032245829</v>
      </c>
      <c r="AQ71" s="30">
        <v>76.355999999999995</v>
      </c>
      <c r="AR71" s="30">
        <v>29.181567642464692</v>
      </c>
      <c r="AS71" s="30">
        <v>46.560793325289488</v>
      </c>
      <c r="AT71" s="30">
        <v>15.603</v>
      </c>
      <c r="AU71" s="30">
        <v>32.141099284272485</v>
      </c>
      <c r="AV71" s="30">
        <v>86.819900715727513</v>
      </c>
      <c r="AW71" s="30">
        <v>27.285</v>
      </c>
      <c r="AX71" s="30">
        <v>47.696733509905364</v>
      </c>
      <c r="AY71" s="30">
        <v>16.765266490094636</v>
      </c>
      <c r="AZ71" s="30">
        <v>109.116</v>
      </c>
      <c r="BA71" s="30">
        <v>50.451999999999998</v>
      </c>
      <c r="BB71" s="30">
        <v>18.475999999999999</v>
      </c>
      <c r="BC71" s="30">
        <v>55.061999999999998</v>
      </c>
      <c r="BD71" s="30">
        <v>123.13</v>
      </c>
      <c r="BE71" s="30">
        <v>1371.6859999999999</v>
      </c>
      <c r="BF71" s="30">
        <v>200.227</v>
      </c>
      <c r="BG71" s="30">
        <v>39.605528951827914</v>
      </c>
      <c r="BH71" s="30">
        <v>49.894889458431742</v>
      </c>
      <c r="BI71" s="30">
        <v>10</v>
      </c>
      <c r="BJ71" s="30">
        <v>-1.1579999999999999</v>
      </c>
      <c r="BK71" s="30">
        <v>0</v>
      </c>
      <c r="BL71" s="30">
        <v>-269.44</v>
      </c>
      <c r="BM71" s="188">
        <f t="shared" si="3"/>
        <v>10173.999418410258</v>
      </c>
      <c r="BO71" s="125"/>
      <c r="BP71" s="30"/>
      <c r="BQ71" s="30"/>
      <c r="BR71" s="30"/>
      <c r="BS71" s="30"/>
      <c r="BT71" s="30"/>
      <c r="BU71" s="30"/>
      <c r="BV71" s="30"/>
      <c r="BW71" s="30"/>
      <c r="BX71" s="30"/>
      <c r="BY71" s="126"/>
      <c r="BZ71" s="30"/>
      <c r="CA71" s="31"/>
    </row>
    <row r="72" spans="1:80" x14ac:dyDescent="0.2">
      <c r="B72" s="28" t="s">
        <v>27</v>
      </c>
      <c r="C72" s="30">
        <v>113.97243096040435</v>
      </c>
      <c r="D72" s="30">
        <v>37.141697450356531</v>
      </c>
      <c r="E72" s="30">
        <v>14.651362506277749</v>
      </c>
      <c r="F72" s="30">
        <v>1.2686374937222524</v>
      </c>
      <c r="G72" s="30">
        <v>40.894871589239116</v>
      </c>
      <c r="H72" s="30">
        <v>47.635999999999996</v>
      </c>
      <c r="I72" s="30">
        <v>99.493138616129897</v>
      </c>
      <c r="J72" s="30">
        <v>414.10114894225853</v>
      </c>
      <c r="K72" s="30">
        <v>238.7638312765348</v>
      </c>
      <c r="L72" s="30">
        <v>288.30488116507718</v>
      </c>
      <c r="M72" s="30">
        <v>54.841429443074162</v>
      </c>
      <c r="N72" s="30">
        <v>66.701570556925901</v>
      </c>
      <c r="O72" s="30">
        <v>3.1849999999999952</v>
      </c>
      <c r="P72" s="30">
        <v>398.32698625319676</v>
      </c>
      <c r="Q72" s="30">
        <v>212.21685198209735</v>
      </c>
      <c r="R72" s="30">
        <v>865.375</v>
      </c>
      <c r="S72" s="30">
        <v>167.97800000000001</v>
      </c>
      <c r="T72" s="30">
        <v>92.800999999999988</v>
      </c>
      <c r="U72" s="30">
        <v>39.551000000000045</v>
      </c>
      <c r="V72" s="30">
        <v>293.00187551425188</v>
      </c>
      <c r="W72" s="30">
        <v>24.250775633504077</v>
      </c>
      <c r="X72" s="30">
        <v>5.6973488522439908</v>
      </c>
      <c r="Y72" s="30">
        <v>51.421499780953354</v>
      </c>
      <c r="Z72" s="30">
        <v>231.815</v>
      </c>
      <c r="AA72" s="30">
        <v>205.88823941421879</v>
      </c>
      <c r="AB72" s="30">
        <v>828.24738283271245</v>
      </c>
      <c r="AC72" s="30">
        <v>90.029791560749459</v>
      </c>
      <c r="AD72" s="30">
        <v>31.125086411365857</v>
      </c>
      <c r="AE72" s="30">
        <v>1071.7756990078237</v>
      </c>
      <c r="AF72" s="30">
        <v>263.43530099217605</v>
      </c>
      <c r="AG72" s="30">
        <v>976.33899999999994</v>
      </c>
      <c r="AH72" s="30">
        <v>1618.3519999999999</v>
      </c>
      <c r="AI72" s="30">
        <v>1067.2473823438136</v>
      </c>
      <c r="AJ72" s="30">
        <v>929.84799999999996</v>
      </c>
      <c r="AK72" s="30">
        <v>-47.15038234381376</v>
      </c>
      <c r="AL72" s="30">
        <v>9603.4190249171406</v>
      </c>
      <c r="AM72" s="30">
        <v>2372.3349990359984</v>
      </c>
      <c r="AN72" s="30">
        <v>997.04397604685937</v>
      </c>
      <c r="AO72" s="30">
        <v>1.8870091333809569</v>
      </c>
      <c r="AP72" s="30">
        <v>44.866468462979583</v>
      </c>
      <c r="AQ72" s="30">
        <v>374.71294347842121</v>
      </c>
      <c r="AR72" s="30">
        <v>45.806612988180632</v>
      </c>
      <c r="AS72" s="30">
        <v>73.086965937038485</v>
      </c>
      <c r="AT72" s="30">
        <v>109.01099999999997</v>
      </c>
      <c r="AU72" s="30">
        <v>76.80827173553314</v>
      </c>
      <c r="AV72" s="30">
        <v>236.98772826444588</v>
      </c>
      <c r="AW72" s="30">
        <v>120.77400000000003</v>
      </c>
      <c r="AX72" s="30">
        <v>493.71008400547942</v>
      </c>
      <c r="AY72" s="30">
        <v>66.694475250310347</v>
      </c>
      <c r="AZ72" s="30">
        <v>1608.357</v>
      </c>
      <c r="BA72" s="30">
        <v>265.84699999999975</v>
      </c>
      <c r="BB72" s="30">
        <v>-34.115999999999985</v>
      </c>
      <c r="BC72" s="30">
        <v>339.53649999999988</v>
      </c>
      <c r="BD72" s="30">
        <v>270.68000000000006</v>
      </c>
      <c r="BE72" s="30">
        <v>1863.1970000000001</v>
      </c>
      <c r="BF72" s="30">
        <v>562.11000000000013</v>
      </c>
      <c r="BG72" s="30">
        <v>272.49954357557056</v>
      </c>
      <c r="BH72" s="30">
        <v>1.0670379247338815</v>
      </c>
      <c r="BI72" s="30">
        <v>737.14518272836608</v>
      </c>
      <c r="BJ72" s="30">
        <v>1162.6823691139034</v>
      </c>
      <c r="BK72" s="30">
        <v>387.70183930197163</v>
      </c>
      <c r="BL72" s="30">
        <v>1541.8237915841273</v>
      </c>
      <c r="BM72" s="188">
        <f t="shared" si="3"/>
        <v>34434.20366171973</v>
      </c>
      <c r="BO72" s="125"/>
      <c r="BP72" s="30"/>
      <c r="BQ72" s="30"/>
      <c r="BR72" s="30"/>
      <c r="BS72" s="30"/>
      <c r="BT72" s="30"/>
      <c r="BU72" s="30"/>
      <c r="BV72" s="30"/>
      <c r="BW72" s="30"/>
      <c r="BX72" s="30"/>
      <c r="BY72" s="126"/>
      <c r="BZ72" s="30"/>
      <c r="CA72" s="31"/>
    </row>
    <row r="73" spans="1:80" x14ac:dyDescent="0.2">
      <c r="B73" s="41" t="s">
        <v>28</v>
      </c>
      <c r="C73" s="38">
        <v>281.29689250053707</v>
      </c>
      <c r="D73" s="38">
        <v>91.669923918795277</v>
      </c>
      <c r="E73" s="38">
        <v>97.092885955546635</v>
      </c>
      <c r="F73" s="38">
        <v>8.4071140444533636</v>
      </c>
      <c r="G73" s="38">
        <v>100.93318358066766</v>
      </c>
      <c r="H73" s="38">
        <v>90.5</v>
      </c>
      <c r="I73" s="38">
        <v>553.25008628520504</v>
      </c>
      <c r="J73" s="38">
        <v>2302.6863919434641</v>
      </c>
      <c r="K73" s="38">
        <v>1327.6906537765349</v>
      </c>
      <c r="L73" s="38">
        <v>1603.1728679947967</v>
      </c>
      <c r="M73" s="38">
        <v>394.11692846942753</v>
      </c>
      <c r="N73" s="38">
        <v>178.58307153057254</v>
      </c>
      <c r="O73" s="38">
        <v>34.799999999999997</v>
      </c>
      <c r="P73" s="38">
        <v>491.4</v>
      </c>
      <c r="Q73" s="38">
        <v>696.6</v>
      </c>
      <c r="R73" s="38">
        <v>2990.5</v>
      </c>
      <c r="S73" s="38">
        <v>361</v>
      </c>
      <c r="T73" s="38">
        <v>455.4</v>
      </c>
      <c r="U73" s="38">
        <v>386.1</v>
      </c>
      <c r="V73" s="38">
        <v>1059.3994211701868</v>
      </c>
      <c r="W73" s="38">
        <v>167.80057882981322</v>
      </c>
      <c r="X73" s="38">
        <v>60.2</v>
      </c>
      <c r="Y73" s="38">
        <v>257.7</v>
      </c>
      <c r="Z73" s="38">
        <v>432.4</v>
      </c>
      <c r="AA73" s="38">
        <v>316.59412381814229</v>
      </c>
      <c r="AB73" s="38">
        <v>1263.4123779778229</v>
      </c>
      <c r="AC73" s="38">
        <v>135.75893796532904</v>
      </c>
      <c r="AD73" s="38">
        <v>46.934560238705807</v>
      </c>
      <c r="AE73" s="38">
        <v>1917.9284042544332</v>
      </c>
      <c r="AF73" s="38">
        <v>457.67159574556666</v>
      </c>
      <c r="AG73" s="38">
        <v>3339.2</v>
      </c>
      <c r="AH73" s="38">
        <v>7827.3</v>
      </c>
      <c r="AI73" s="38">
        <v>1974.6</v>
      </c>
      <c r="AJ73" s="38">
        <v>1989.3</v>
      </c>
      <c r="AK73" s="38">
        <v>213</v>
      </c>
      <c r="AL73" s="38">
        <v>9603.4190249171406</v>
      </c>
      <c r="AM73" s="38">
        <v>5958.0388582949663</v>
      </c>
      <c r="AN73" s="38">
        <v>2504.0421167878922</v>
      </c>
      <c r="AO73" s="38">
        <v>911.6</v>
      </c>
      <c r="AP73" s="38">
        <v>779.90261461002615</v>
      </c>
      <c r="AQ73" s="38">
        <v>877.6</v>
      </c>
      <c r="AR73" s="38">
        <v>796.24491206364723</v>
      </c>
      <c r="AS73" s="38">
        <v>1270.452473326327</v>
      </c>
      <c r="AT73" s="38">
        <v>1308.5</v>
      </c>
      <c r="AU73" s="38">
        <v>719.49084360275106</v>
      </c>
      <c r="AV73" s="38">
        <v>1973.009156397228</v>
      </c>
      <c r="AW73" s="38">
        <v>343.6</v>
      </c>
      <c r="AX73" s="38">
        <v>865.13031756426847</v>
      </c>
      <c r="AY73" s="38">
        <v>238.16968243573149</v>
      </c>
      <c r="AZ73" s="38">
        <v>4111.3999999999996</v>
      </c>
      <c r="BA73" s="38">
        <v>2111.6999999999998</v>
      </c>
      <c r="BB73" s="38">
        <v>535.20000000000005</v>
      </c>
      <c r="BC73" s="38">
        <v>774.8</v>
      </c>
      <c r="BD73" s="38">
        <v>1297.2</v>
      </c>
      <c r="BE73" s="38">
        <v>6257.6</v>
      </c>
      <c r="BF73" s="38">
        <v>3645.2</v>
      </c>
      <c r="BG73" s="38">
        <v>801.27319752739845</v>
      </c>
      <c r="BH73" s="38">
        <v>781.98466660826762</v>
      </c>
      <c r="BI73" s="38">
        <v>926.14213586433414</v>
      </c>
      <c r="BJ73" s="38">
        <v>8174.2358263302413</v>
      </c>
      <c r="BK73" s="38">
        <v>2728.4543906504355</v>
      </c>
      <c r="BL73" s="38">
        <v>8954.4097830193259</v>
      </c>
      <c r="BM73" s="188">
        <f t="shared" si="3"/>
        <v>103153.19999999998</v>
      </c>
      <c r="BO73" s="128"/>
      <c r="BP73" s="38"/>
      <c r="BQ73" s="38"/>
      <c r="BR73" s="38"/>
      <c r="BS73" s="38"/>
      <c r="BT73" s="38"/>
      <c r="BU73" s="38"/>
      <c r="BV73" s="38"/>
      <c r="BW73" s="38"/>
      <c r="BX73" s="38"/>
      <c r="BY73" s="129"/>
      <c r="BZ73" s="38"/>
      <c r="CA73" s="39"/>
    </row>
    <row r="74" spans="1:80" x14ac:dyDescent="0.2">
      <c r="B74" s="28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190"/>
      <c r="BO74" s="191"/>
      <c r="BP74" s="36"/>
      <c r="BQ74" s="36"/>
      <c r="BR74" s="36"/>
      <c r="BS74" s="36"/>
      <c r="BT74" s="36"/>
      <c r="BU74" s="36"/>
      <c r="BV74" s="36"/>
      <c r="BW74" s="36"/>
      <c r="BX74" s="36"/>
      <c r="BY74" s="192"/>
      <c r="BZ74" s="30"/>
      <c r="CA74" s="40"/>
    </row>
    <row r="75" spans="1:80" x14ac:dyDescent="0.2">
      <c r="B75" s="28" t="s">
        <v>29</v>
      </c>
      <c r="C75" s="30">
        <v>488.77024999999998</v>
      </c>
      <c r="D75" s="30">
        <v>159.28200000000001</v>
      </c>
      <c r="E75" s="30">
        <v>169.10505223652544</v>
      </c>
      <c r="F75" s="30">
        <v>14.642529631847818</v>
      </c>
      <c r="G75" s="30">
        <v>175.37747016499529</v>
      </c>
      <c r="H75" s="30">
        <v>154.17066302302882</v>
      </c>
      <c r="I75" s="30">
        <v>1161.9896227121001</v>
      </c>
      <c r="J75" s="30">
        <v>4836.3258463539187</v>
      </c>
      <c r="K75" s="30">
        <v>2788.5450000000001</v>
      </c>
      <c r="L75" s="30">
        <v>3367.13953093398</v>
      </c>
      <c r="M75" s="30">
        <v>1029.913</v>
      </c>
      <c r="N75" s="30">
        <v>466.67629239766086</v>
      </c>
      <c r="O75" s="30">
        <v>70.365944040028907</v>
      </c>
      <c r="P75" s="30">
        <v>2991.6093864386398</v>
      </c>
      <c r="Q75" s="30">
        <v>983.60705973498204</v>
      </c>
      <c r="R75" s="30">
        <v>4942.5780000000004</v>
      </c>
      <c r="S75" s="30">
        <v>417.61</v>
      </c>
      <c r="T75" s="30">
        <v>516.72400000000005</v>
      </c>
      <c r="U75" s="30">
        <v>572.27244437824993</v>
      </c>
      <c r="V75" s="30">
        <v>2130.16761</v>
      </c>
      <c r="W75" s="30">
        <v>337.40188149970533</v>
      </c>
      <c r="X75" s="30">
        <v>128.43950138340816</v>
      </c>
      <c r="Y75" s="30">
        <v>831.58692803593772</v>
      </c>
      <c r="Z75" s="30">
        <v>722.42225017087674</v>
      </c>
      <c r="AA75" s="30">
        <v>415.20188970061741</v>
      </c>
      <c r="AB75" s="30">
        <v>3350.2919999999999</v>
      </c>
      <c r="AC75" s="30">
        <v>178.04300000000001</v>
      </c>
      <c r="AD75" s="30">
        <v>61.552999999999997</v>
      </c>
      <c r="AE75" s="30">
        <v>3541.4</v>
      </c>
      <c r="AF75" s="30">
        <v>812.93649476565793</v>
      </c>
      <c r="AG75" s="30">
        <v>4926.81516434485</v>
      </c>
      <c r="AH75" s="30">
        <v>10832.069202631199</v>
      </c>
      <c r="AI75" s="30">
        <v>4714.503724374792</v>
      </c>
      <c r="AJ75" s="30">
        <v>2858.2201426373927</v>
      </c>
      <c r="AK75" s="30">
        <v>909.58243707375391</v>
      </c>
      <c r="AL75" s="30">
        <v>12888.097566877757</v>
      </c>
      <c r="AM75" s="30">
        <v>7995.88</v>
      </c>
      <c r="AN75" s="30">
        <v>3360.5051522795447</v>
      </c>
      <c r="AO75" s="30">
        <v>1839.84552265861</v>
      </c>
      <c r="AP75" s="30">
        <v>1574.046</v>
      </c>
      <c r="AQ75" s="30">
        <v>950.35199999999998</v>
      </c>
      <c r="AR75" s="30">
        <v>1607.029</v>
      </c>
      <c r="AS75" s="30">
        <v>2564.1030000000001</v>
      </c>
      <c r="AT75" s="30">
        <v>1839.3234343882216</v>
      </c>
      <c r="AU75" s="30">
        <v>899.36355450343876</v>
      </c>
      <c r="AV75" s="30">
        <v>2429.3710000000001</v>
      </c>
      <c r="AW75" s="30">
        <v>637.56100000000004</v>
      </c>
      <c r="AX75" s="30">
        <v>901.92273025816382</v>
      </c>
      <c r="AY75" s="30">
        <v>317.02328049596156</v>
      </c>
      <c r="AZ75" s="30">
        <v>4927.027</v>
      </c>
      <c r="BA75" s="30">
        <v>5451.4970000000003</v>
      </c>
      <c r="BB75" s="30">
        <v>826.84299999999996</v>
      </c>
      <c r="BC75" s="30">
        <v>912.50800000000004</v>
      </c>
      <c r="BD75" s="30">
        <v>1385.704</v>
      </c>
      <c r="BE75" s="30">
        <v>12175.871600789576</v>
      </c>
      <c r="BF75" s="30">
        <v>7531.7133878417253</v>
      </c>
      <c r="BG75" s="30">
        <v>937.49538866326702</v>
      </c>
      <c r="BH75" s="30">
        <v>1181.0529999999999</v>
      </c>
      <c r="BI75" s="30">
        <v>1083.5929422060487</v>
      </c>
      <c r="BJ75" s="30">
        <v>8174.2358263302413</v>
      </c>
      <c r="BK75" s="30">
        <v>3031.6159896115951</v>
      </c>
      <c r="BL75" s="30">
        <v>9137.1528398156388</v>
      </c>
      <c r="BM75" s="188">
        <v>143110.56827138609</v>
      </c>
      <c r="BO75" s="125">
        <f>+BO66+BO67</f>
        <v>73020.645428623247</v>
      </c>
      <c r="BP75" s="30">
        <f t="shared" ref="BP75:CA75" si="4">+BP66+BP67</f>
        <v>22645.32532210647</v>
      </c>
      <c r="BQ75" s="30">
        <f t="shared" si="4"/>
        <v>46.33594968490435</v>
      </c>
      <c r="BR75" s="30">
        <f t="shared" si="4"/>
        <v>17045.150291166487</v>
      </c>
      <c r="BS75" s="30">
        <f t="shared" si="4"/>
        <v>2711.3086587278945</v>
      </c>
      <c r="BT75" s="30">
        <f t="shared" si="4"/>
        <v>11205.820281635224</v>
      </c>
      <c r="BU75" s="30">
        <f t="shared" si="4"/>
        <v>8991.3150164578692</v>
      </c>
      <c r="BV75" s="30">
        <f t="shared" si="4"/>
        <v>392.41808432396328</v>
      </c>
      <c r="BW75" s="30">
        <f t="shared" si="4"/>
        <v>2061.0140001936134</v>
      </c>
      <c r="BX75" s="30">
        <f t="shared" si="4"/>
        <v>161.80497107928937</v>
      </c>
      <c r="BY75" s="126">
        <f t="shared" si="4"/>
        <v>8223.0290164133185</v>
      </c>
      <c r="BZ75" s="30"/>
      <c r="CA75" s="31">
        <f t="shared" si="4"/>
        <v>201969.03955579622</v>
      </c>
    </row>
    <row r="76" spans="1:80" x14ac:dyDescent="0.2">
      <c r="B76" s="28"/>
      <c r="BM76" s="43"/>
      <c r="BO76" s="44"/>
      <c r="BP76" s="45"/>
      <c r="BQ76" s="45"/>
      <c r="BR76" s="45"/>
      <c r="BS76" s="38"/>
      <c r="BT76" s="38"/>
      <c r="BU76" s="45"/>
      <c r="BV76" s="45"/>
      <c r="BW76" s="45"/>
      <c r="BX76" s="45"/>
      <c r="BY76" s="130"/>
      <c r="CA76" s="41"/>
    </row>
    <row r="77" spans="1:80" s="32" customFormat="1" x14ac:dyDescent="0.2">
      <c r="A77" s="22"/>
      <c r="B77" s="42" t="s">
        <v>30</v>
      </c>
      <c r="C77" s="100">
        <v>3387.5529974690126</v>
      </c>
      <c r="D77" s="100">
        <v>1103.9465199505478</v>
      </c>
      <c r="E77" s="100">
        <v>1495.5065372299837</v>
      </c>
      <c r="F77" s="100">
        <v>129.49346277001627</v>
      </c>
      <c r="G77" s="100">
        <v>1215.5004825804394</v>
      </c>
      <c r="H77" s="100">
        <v>256</v>
      </c>
      <c r="I77" s="100">
        <v>3606.8142592098643</v>
      </c>
      <c r="J77" s="100">
        <v>15011.949060354451</v>
      </c>
      <c r="K77" s="100">
        <v>8655.6400090505176</v>
      </c>
      <c r="L77" s="100">
        <v>10451.596671385167</v>
      </c>
      <c r="M77" s="100">
        <v>5862</v>
      </c>
      <c r="N77" s="100">
        <v>1261</v>
      </c>
      <c r="O77" s="100">
        <v>489</v>
      </c>
      <c r="P77" s="100">
        <v>389.32644086466422</v>
      </c>
      <c r="Q77" s="100">
        <v>4527.6735591353354</v>
      </c>
      <c r="R77" s="100">
        <v>9385</v>
      </c>
      <c r="S77" s="100">
        <v>1230</v>
      </c>
      <c r="T77" s="100">
        <v>3329</v>
      </c>
      <c r="U77" s="100">
        <v>3944</v>
      </c>
      <c r="V77" s="100">
        <v>8616</v>
      </c>
      <c r="W77" s="100">
        <v>2229.348935958903</v>
      </c>
      <c r="X77" s="100">
        <v>848.65106404109702</v>
      </c>
      <c r="Y77" s="100">
        <v>1291.9460430595298</v>
      </c>
      <c r="Z77" s="100">
        <v>2423</v>
      </c>
      <c r="AA77" s="100">
        <v>645.05395694047047</v>
      </c>
      <c r="AB77" s="100">
        <v>3227</v>
      </c>
      <c r="AC77" s="100">
        <v>617</v>
      </c>
      <c r="AD77" s="100">
        <v>306</v>
      </c>
      <c r="AE77" s="100">
        <v>2940.9078548232819</v>
      </c>
      <c r="AF77" s="100">
        <v>675.09214517671808</v>
      </c>
      <c r="AG77" s="100">
        <v>17333</v>
      </c>
      <c r="AH77" s="100">
        <v>64327</v>
      </c>
      <c r="AI77" s="100">
        <v>7718</v>
      </c>
      <c r="AJ77" s="100">
        <v>7403</v>
      </c>
      <c r="AK77" s="100">
        <v>1223</v>
      </c>
      <c r="AL77" s="100">
        <v>0</v>
      </c>
      <c r="AM77" s="100">
        <v>8791.9309024102968</v>
      </c>
      <c r="AN77" s="100">
        <v>3695.0690975897028</v>
      </c>
      <c r="AO77" s="100">
        <v>5648.4113613702257</v>
      </c>
      <c r="AP77" s="100">
        <v>4832.3944593304268</v>
      </c>
      <c r="AQ77" s="100">
        <v>2917.6248592567117</v>
      </c>
      <c r="AR77" s="100">
        <v>4933.6538040078331</v>
      </c>
      <c r="AS77" s="100">
        <v>7871.9155160348046</v>
      </c>
      <c r="AT77" s="100">
        <v>8670</v>
      </c>
      <c r="AU77" s="100">
        <v>9441.503639755063</v>
      </c>
      <c r="AV77" s="100">
        <v>25503.496360244939</v>
      </c>
      <c r="AW77" s="100">
        <v>2136</v>
      </c>
      <c r="AX77" s="100">
        <v>3747.6260761705407</v>
      </c>
      <c r="AY77" s="100">
        <v>12387.37392382946</v>
      </c>
      <c r="AZ77" s="100">
        <v>32521</v>
      </c>
      <c r="BA77" s="100">
        <v>16395</v>
      </c>
      <c r="BB77" s="100">
        <v>7893</v>
      </c>
      <c r="BC77" s="100">
        <v>16530</v>
      </c>
      <c r="BD77" s="100">
        <v>12045</v>
      </c>
      <c r="BE77" s="100">
        <v>37127</v>
      </c>
      <c r="BF77" s="100">
        <v>63783</v>
      </c>
      <c r="BG77" s="100">
        <v>4231</v>
      </c>
      <c r="BH77" s="100">
        <v>7424</v>
      </c>
      <c r="BI77" s="100">
        <v>15398</v>
      </c>
      <c r="BJ77" s="100">
        <v>63902.252937965313</v>
      </c>
      <c r="BK77" s="100">
        <v>21329.747062034683</v>
      </c>
      <c r="BL77" s="100">
        <v>87250</v>
      </c>
      <c r="BM77" s="188">
        <f t="shared" ref="BM77:BM79" si="5">+SUM(C77:BL77)</f>
        <v>683961</v>
      </c>
      <c r="BN77" s="22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22"/>
    </row>
    <row r="78" spans="1:80" s="32" customFormat="1" ht="12.75" customHeight="1" x14ac:dyDescent="0.2">
      <c r="A78" s="22"/>
      <c r="B78" s="43" t="s">
        <v>31</v>
      </c>
      <c r="C78" s="101">
        <v>3486.680621540736</v>
      </c>
      <c r="D78" s="101">
        <v>1136.2505446275657</v>
      </c>
      <c r="E78" s="101">
        <v>2280.5324303113225</v>
      </c>
      <c r="F78" s="101">
        <v>197.46756968867709</v>
      </c>
      <c r="G78" s="101">
        <v>1251.0688338316982</v>
      </c>
      <c r="H78" s="101">
        <v>445</v>
      </c>
      <c r="I78" s="101">
        <v>1103.287826731746</v>
      </c>
      <c r="J78" s="101">
        <v>4592.0026548399073</v>
      </c>
      <c r="K78" s="101">
        <v>2647.6723136416003</v>
      </c>
      <c r="L78" s="102">
        <v>3197.0372047867477</v>
      </c>
      <c r="M78" s="102">
        <v>616</v>
      </c>
      <c r="N78" s="102">
        <v>44</v>
      </c>
      <c r="O78" s="102">
        <v>673</v>
      </c>
      <c r="P78" s="102">
        <v>97.331610216166041</v>
      </c>
      <c r="Q78" s="102">
        <v>2302.6683897838348</v>
      </c>
      <c r="R78" s="102">
        <v>96</v>
      </c>
      <c r="S78" s="101">
        <v>65</v>
      </c>
      <c r="T78" s="101">
        <v>366</v>
      </c>
      <c r="U78" s="101">
        <v>7453</v>
      </c>
      <c r="V78" s="101">
        <v>848</v>
      </c>
      <c r="W78" s="101">
        <v>4313.1166061193207</v>
      </c>
      <c r="X78" s="101">
        <v>1641.8833938806802</v>
      </c>
      <c r="Y78" s="101">
        <v>640.97064913794929</v>
      </c>
      <c r="Z78" s="101">
        <v>533</v>
      </c>
      <c r="AA78" s="101">
        <v>320.02935086205059</v>
      </c>
      <c r="AB78" s="101">
        <v>525</v>
      </c>
      <c r="AC78" s="101">
        <v>396</v>
      </c>
      <c r="AD78" s="101">
        <v>94</v>
      </c>
      <c r="AE78" s="101">
        <v>355.41391940203948</v>
      </c>
      <c r="AF78" s="101">
        <v>81.586080597960745</v>
      </c>
      <c r="AG78" s="101">
        <v>4356</v>
      </c>
      <c r="AH78" s="101">
        <v>19981</v>
      </c>
      <c r="AI78" s="101">
        <v>1256</v>
      </c>
      <c r="AJ78" s="101">
        <v>6402</v>
      </c>
      <c r="AK78" s="101">
        <v>11780</v>
      </c>
      <c r="AL78" s="101">
        <v>0</v>
      </c>
      <c r="AM78" s="101">
        <v>28588.737275684121</v>
      </c>
      <c r="AN78" s="101">
        <v>12015.262724315868</v>
      </c>
      <c r="AO78" s="101">
        <v>5105.6430890480506</v>
      </c>
      <c r="AP78" s="101">
        <v>4368.0390460884</v>
      </c>
      <c r="AQ78" s="101">
        <v>2637.2638687358585</v>
      </c>
      <c r="AR78" s="101">
        <v>4459.568157599203</v>
      </c>
      <c r="AS78" s="101">
        <v>7115.4858385284797</v>
      </c>
      <c r="AT78" s="101">
        <v>863</v>
      </c>
      <c r="AU78" s="101">
        <v>3904.3974559479302</v>
      </c>
      <c r="AV78" s="101">
        <v>10546.602544052072</v>
      </c>
      <c r="AW78" s="101">
        <v>195</v>
      </c>
      <c r="AX78" s="101">
        <v>1007.805983545335</v>
      </c>
      <c r="AY78" s="101">
        <v>3331.194016454665</v>
      </c>
      <c r="AZ78" s="101">
        <v>9051</v>
      </c>
      <c r="BA78" s="101">
        <v>14</v>
      </c>
      <c r="BB78" s="101">
        <v>1450</v>
      </c>
      <c r="BC78" s="101">
        <v>2100</v>
      </c>
      <c r="BD78" s="101">
        <v>9803</v>
      </c>
      <c r="BE78" s="101">
        <v>1392</v>
      </c>
      <c r="BF78" s="101">
        <v>4072</v>
      </c>
      <c r="BG78" s="101">
        <v>15730.535957109005</v>
      </c>
      <c r="BH78" s="101">
        <v>17335.8257645907</v>
      </c>
      <c r="BI78" s="101">
        <v>1133.1990454076367</v>
      </c>
      <c r="BJ78" s="101">
        <v>0</v>
      </c>
      <c r="BK78" s="101">
        <v>0</v>
      </c>
      <c r="BL78" s="101">
        <v>0</v>
      </c>
      <c r="BM78" s="188">
        <f t="shared" si="5"/>
        <v>231793.56076710735</v>
      </c>
      <c r="BN78" s="22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22"/>
    </row>
    <row r="79" spans="1:80" ht="12.75" customHeight="1" x14ac:dyDescent="0.2">
      <c r="B79" s="41" t="s">
        <v>32</v>
      </c>
      <c r="C79" s="103">
        <v>6874.2336190097485</v>
      </c>
      <c r="D79" s="103">
        <v>2240.1970645781134</v>
      </c>
      <c r="E79" s="103">
        <v>3776.0389675413062</v>
      </c>
      <c r="F79" s="103">
        <v>326.96103245869335</v>
      </c>
      <c r="G79" s="103">
        <v>2466.5693164121376</v>
      </c>
      <c r="H79" s="103">
        <v>701</v>
      </c>
      <c r="I79" s="103">
        <v>4710.1020859416103</v>
      </c>
      <c r="J79" s="103">
        <v>19603.951715194358</v>
      </c>
      <c r="K79" s="103">
        <v>11303.312322692118</v>
      </c>
      <c r="L79" s="103">
        <v>13648.633876171914</v>
      </c>
      <c r="M79" s="103">
        <v>6478</v>
      </c>
      <c r="N79" s="103">
        <v>1305</v>
      </c>
      <c r="O79" s="103">
        <v>1162</v>
      </c>
      <c r="P79" s="103">
        <v>486.65805108083026</v>
      </c>
      <c r="Q79" s="103">
        <v>6830.3419489191701</v>
      </c>
      <c r="R79" s="103">
        <v>9481</v>
      </c>
      <c r="S79" s="103">
        <v>1295</v>
      </c>
      <c r="T79" s="103">
        <v>3695</v>
      </c>
      <c r="U79" s="103">
        <v>11397</v>
      </c>
      <c r="V79" s="103">
        <v>9464</v>
      </c>
      <c r="W79" s="103">
        <v>6542.4655420782237</v>
      </c>
      <c r="X79" s="103">
        <v>2490.5344579217772</v>
      </c>
      <c r="Y79" s="103">
        <v>1932.9166921974791</v>
      </c>
      <c r="Z79" s="103">
        <v>2956</v>
      </c>
      <c r="AA79" s="103">
        <v>965.08330780252106</v>
      </c>
      <c r="AB79" s="103">
        <v>3752</v>
      </c>
      <c r="AC79" s="103">
        <v>1013</v>
      </c>
      <c r="AD79" s="103">
        <v>400</v>
      </c>
      <c r="AE79" s="103">
        <v>3296.3217742253214</v>
      </c>
      <c r="AF79" s="103">
        <v>756.67822577467882</v>
      </c>
      <c r="AG79" s="103">
        <v>21689</v>
      </c>
      <c r="AH79" s="103">
        <v>84308</v>
      </c>
      <c r="AI79" s="103">
        <v>8974</v>
      </c>
      <c r="AJ79" s="103">
        <v>13805</v>
      </c>
      <c r="AK79" s="103">
        <v>13003</v>
      </c>
      <c r="AL79" s="103">
        <v>0</v>
      </c>
      <c r="AM79" s="103">
        <v>37380.66817809442</v>
      </c>
      <c r="AN79" s="103">
        <v>15710.331821905571</v>
      </c>
      <c r="AO79" s="103">
        <v>10754.054450418276</v>
      </c>
      <c r="AP79" s="103">
        <v>9200.4335054188268</v>
      </c>
      <c r="AQ79" s="103">
        <v>5554.8887279925702</v>
      </c>
      <c r="AR79" s="103">
        <v>9393.2219616070361</v>
      </c>
      <c r="AS79" s="103">
        <v>14987.401354563284</v>
      </c>
      <c r="AT79" s="103">
        <v>9533</v>
      </c>
      <c r="AU79" s="103">
        <v>13345.901095702993</v>
      </c>
      <c r="AV79" s="103">
        <v>36050.09890429701</v>
      </c>
      <c r="AW79" s="103">
        <v>2331</v>
      </c>
      <c r="AX79" s="103">
        <v>4755.4320597158758</v>
      </c>
      <c r="AY79" s="103">
        <v>15718.567940284125</v>
      </c>
      <c r="AZ79" s="103">
        <v>41572</v>
      </c>
      <c r="BA79" s="103">
        <v>16409</v>
      </c>
      <c r="BB79" s="103">
        <v>9343</v>
      </c>
      <c r="BC79" s="103">
        <v>18630</v>
      </c>
      <c r="BD79" s="103">
        <v>21848</v>
      </c>
      <c r="BE79" s="103">
        <v>38519</v>
      </c>
      <c r="BF79" s="103">
        <v>67855</v>
      </c>
      <c r="BG79" s="103">
        <v>19961.535957109005</v>
      </c>
      <c r="BH79" s="103">
        <v>24759.8257645907</v>
      </c>
      <c r="BI79" s="103">
        <v>16531.199045407637</v>
      </c>
      <c r="BJ79" s="103">
        <v>63902.252937965313</v>
      </c>
      <c r="BK79" s="103">
        <v>21329.747062034683</v>
      </c>
      <c r="BL79" s="103">
        <v>87250</v>
      </c>
      <c r="BM79" s="188">
        <f t="shared" si="5"/>
        <v>915754.56076710718</v>
      </c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</row>
    <row r="80" spans="1:80" ht="12.75" customHeight="1" x14ac:dyDescent="0.2">
      <c r="AX80" s="22">
        <f>+AX75*1000000/AX79</f>
        <v>189661.57416031958</v>
      </c>
      <c r="BM80" s="32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</row>
    <row r="81" spans="2:79" ht="12.75" customHeight="1" x14ac:dyDescent="0.2">
      <c r="B81" s="135" t="s">
        <v>171</v>
      </c>
      <c r="C81" s="36">
        <v>150.39096393125172</v>
      </c>
      <c r="D81" s="36">
        <v>49.009884535520811</v>
      </c>
      <c r="E81" s="36">
        <v>63.454995924836673</v>
      </c>
      <c r="F81" s="36">
        <v>5.494464215170952</v>
      </c>
      <c r="G81" s="36">
        <v>53.962340772454915</v>
      </c>
      <c r="H81" s="36">
        <v>31.479863513571601</v>
      </c>
      <c r="I81" s="36">
        <v>383.43947013034034</v>
      </c>
      <c r="J81" s="36">
        <v>1595.9163349284754</v>
      </c>
      <c r="K81" s="36">
        <v>920.17880051199836</v>
      </c>
      <c r="L81" s="36">
        <v>1111.1064783718259</v>
      </c>
      <c r="M81" s="36">
        <v>235.61936893405772</v>
      </c>
      <c r="N81" s="36">
        <v>75.724265232246552</v>
      </c>
      <c r="O81" s="36">
        <v>24.930258865335368</v>
      </c>
      <c r="P81" s="36">
        <v>53.525040427372815</v>
      </c>
      <c r="Q81" s="36">
        <v>383.27005443761334</v>
      </c>
      <c r="R81" s="36">
        <v>870.64325269425649</v>
      </c>
      <c r="S81" s="36">
        <v>130.67959124458139</v>
      </c>
      <c r="T81" s="36">
        <v>242.53697328916479</v>
      </c>
      <c r="U81" s="36">
        <v>302.10117008154259</v>
      </c>
      <c r="V81" s="36">
        <v>638.80980185601811</v>
      </c>
      <c r="W81" s="36">
        <v>122.66947034927</v>
      </c>
      <c r="X81" s="36">
        <v>46.696851649420246</v>
      </c>
      <c r="Y81" s="36">
        <v>146.77935586783693</v>
      </c>
      <c r="Z81" s="36">
        <v>154.71930650456946</v>
      </c>
      <c r="AA81" s="36">
        <v>73.285262034243502</v>
      </c>
      <c r="AB81" s="36">
        <v>286.43302424462706</v>
      </c>
      <c r="AC81" s="36">
        <v>31.425502224402365</v>
      </c>
      <c r="AD81" s="36">
        <v>12.250378613218437</v>
      </c>
      <c r="AE81" s="36">
        <v>368.15318155296575</v>
      </c>
      <c r="AF81" s="36">
        <v>84.510407451429614</v>
      </c>
      <c r="AG81" s="36">
        <v>1348.9181019018688</v>
      </c>
      <c r="AH81" s="36">
        <v>2821.9954443301185</v>
      </c>
      <c r="AI81" s="36">
        <v>707.83897243283343</v>
      </c>
      <c r="AJ81" s="36">
        <v>708.83083982130756</v>
      </c>
      <c r="AK81" s="36">
        <v>206.20416874366097</v>
      </c>
      <c r="AL81" s="36">
        <v>0</v>
      </c>
      <c r="AM81" s="36">
        <v>1942.1750602089828</v>
      </c>
      <c r="AN81" s="36">
        <v>816.25653417273929</v>
      </c>
      <c r="AO81" s="36">
        <v>739.46204086018759</v>
      </c>
      <c r="AP81" s="36">
        <v>632.63314948631682</v>
      </c>
      <c r="AQ81" s="36">
        <v>381.96099661675714</v>
      </c>
      <c r="AR81" s="36">
        <v>645.88952139000128</v>
      </c>
      <c r="AS81" s="36">
        <v>1030.5521925644566</v>
      </c>
      <c r="AT81" s="36">
        <v>976.10810700527793</v>
      </c>
      <c r="AU81" s="36">
        <v>535.00999421695758</v>
      </c>
      <c r="AV81" s="36">
        <v>1445.1750442327655</v>
      </c>
      <c r="AW81" s="36">
        <v>169.22639271552384</v>
      </c>
      <c r="AX81" s="36">
        <v>287.9488790690354</v>
      </c>
      <c r="AY81" s="36">
        <v>133.64024487552612</v>
      </c>
      <c r="AZ81" s="36">
        <v>2049.6353030534433</v>
      </c>
      <c r="BA81" s="36">
        <v>1481.114643786181</v>
      </c>
      <c r="BB81" s="36">
        <v>458.50753562677596</v>
      </c>
      <c r="BC81" s="36">
        <v>320.40601510822285</v>
      </c>
      <c r="BD81" s="36">
        <v>801.6331433652183</v>
      </c>
      <c r="BE81" s="36">
        <v>2755.5666267852466</v>
      </c>
      <c r="BF81" s="36">
        <v>2617.486066470995</v>
      </c>
      <c r="BG81" s="36">
        <v>366.38055315159744</v>
      </c>
      <c r="BH81" s="36">
        <v>599.00468702759417</v>
      </c>
      <c r="BI81" s="36">
        <v>164.55443467009022</v>
      </c>
      <c r="BJ81" s="36">
        <v>4950.7132048324838</v>
      </c>
      <c r="BK81" s="36">
        <v>1652.4841547959711</v>
      </c>
      <c r="BL81" s="36">
        <v>5491.9291747841044</v>
      </c>
      <c r="BM81" s="188">
        <f t="shared" ref="BM81:BM86" si="6">+SUM(C81:BL81)</f>
        <v>47888.437342491859</v>
      </c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</row>
    <row r="82" spans="2:79" ht="12.75" customHeight="1" x14ac:dyDescent="0.2">
      <c r="B82" s="135" t="s">
        <v>57</v>
      </c>
      <c r="C82" s="140">
        <v>13.109729339293105</v>
      </c>
      <c r="D82" s="140">
        <v>3.6459777305656944</v>
      </c>
      <c r="E82" s="140">
        <v>5.2030705219889164</v>
      </c>
      <c r="F82" s="140">
        <v>0.44786418196869138</v>
      </c>
      <c r="G82" s="140">
        <v>8.0197401906577888</v>
      </c>
      <c r="H82" s="140">
        <v>4.0651306857946423</v>
      </c>
      <c r="I82" s="140">
        <v>74.031267148565277</v>
      </c>
      <c r="J82" s="140">
        <v>308.12610005351797</v>
      </c>
      <c r="K82" s="140">
        <v>177.9452157400315</v>
      </c>
      <c r="L82" s="140">
        <v>214.8670257280537</v>
      </c>
      <c r="M82" s="140">
        <v>28.702418158843404</v>
      </c>
      <c r="N82" s="140">
        <v>10.636997823610564</v>
      </c>
      <c r="O82" s="140">
        <v>2.7879974176467144</v>
      </c>
      <c r="P82" s="140">
        <v>25.08727479854058</v>
      </c>
      <c r="Q82" s="140">
        <v>40.356701793308787</v>
      </c>
      <c r="R82" s="140">
        <v>125.08110916174829</v>
      </c>
      <c r="S82" s="140">
        <v>19.054670193108279</v>
      </c>
      <c r="T82" s="140">
        <v>33.55727172575908</v>
      </c>
      <c r="U82" s="140">
        <v>35.48262282205043</v>
      </c>
      <c r="V82" s="140">
        <v>103.61785257421332</v>
      </c>
      <c r="W82" s="140">
        <v>19.593509498638287</v>
      </c>
      <c r="X82" s="140">
        <v>7.2275377167133605</v>
      </c>
      <c r="Y82" s="140">
        <v>35.26955521038321</v>
      </c>
      <c r="Z82" s="140">
        <v>33.232260588433078</v>
      </c>
      <c r="AA82" s="140">
        <v>16.122089929538181</v>
      </c>
      <c r="AB82" s="140">
        <v>101.85137951111022</v>
      </c>
      <c r="AC82" s="140">
        <v>7.7648808339814641</v>
      </c>
      <c r="AD82" s="140">
        <v>2.6086645086846745</v>
      </c>
      <c r="AE82" s="140">
        <v>213.98603042369822</v>
      </c>
      <c r="AF82" s="140">
        <v>23.576274651806607</v>
      </c>
      <c r="AG82" s="140">
        <v>253.97659269751023</v>
      </c>
      <c r="AH82" s="140">
        <v>2002.0327421164448</v>
      </c>
      <c r="AI82" s="140">
        <v>115.69255586904566</v>
      </c>
      <c r="AJ82" s="140">
        <v>335.24236388240882</v>
      </c>
      <c r="AK82" s="140">
        <v>32.701911617671342</v>
      </c>
      <c r="AL82" s="140">
        <v>76.584693760511897</v>
      </c>
      <c r="AM82" s="140">
        <v>709.86376815897938</v>
      </c>
      <c r="AN82" s="140">
        <v>262.38979179363406</v>
      </c>
      <c r="AO82" s="140">
        <v>109.79345523538268</v>
      </c>
      <c r="AP82" s="140">
        <v>94.121817512401861</v>
      </c>
      <c r="AQ82" s="140">
        <v>57.340450981158007</v>
      </c>
      <c r="AR82" s="140">
        <v>87.825278331339831</v>
      </c>
      <c r="AS82" s="140">
        <v>148.64960296673198</v>
      </c>
      <c r="AT82" s="140">
        <v>135.59547839165776</v>
      </c>
      <c r="AU82" s="140">
        <v>60.102720429555937</v>
      </c>
      <c r="AV82" s="140">
        <v>175.17915022474571</v>
      </c>
      <c r="AW82" s="140">
        <v>30.974664419184634</v>
      </c>
      <c r="AX82" s="140">
        <v>53.089502366222433</v>
      </c>
      <c r="AY82" s="140">
        <v>19.703790102129808</v>
      </c>
      <c r="AZ82" s="140">
        <v>294.04071548047727</v>
      </c>
      <c r="BA82" s="140">
        <v>279.77955546004324</v>
      </c>
      <c r="BB82" s="140">
        <v>39.318358874965746</v>
      </c>
      <c r="BC82" s="140">
        <v>49.703737120994433</v>
      </c>
      <c r="BD82" s="140">
        <v>88.913740243362241</v>
      </c>
      <c r="BE82" s="140">
        <v>1299.1188802977906</v>
      </c>
      <c r="BF82" s="140">
        <v>384.52472910233598</v>
      </c>
      <c r="BG82" s="140">
        <v>42.825363220086643</v>
      </c>
      <c r="BH82" s="140">
        <v>72.177879814534904</v>
      </c>
      <c r="BI82" s="140">
        <v>19.765200159260665</v>
      </c>
      <c r="BJ82" s="140">
        <v>541.7005238035448</v>
      </c>
      <c r="BK82" s="140">
        <v>183.80307619122178</v>
      </c>
      <c r="BL82" s="140">
        <v>527.91368871241116</v>
      </c>
      <c r="BM82" s="188">
        <f t="shared" si="6"/>
        <v>10279.504000000003</v>
      </c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47"/>
    </row>
    <row r="83" spans="2:79" x14ac:dyDescent="0.2">
      <c r="B83" s="137" t="s">
        <v>172</v>
      </c>
      <c r="C83" s="138">
        <v>8.0309122426009516</v>
      </c>
      <c r="D83" s="138">
        <v>2.0530836948279445</v>
      </c>
      <c r="E83" s="138">
        <v>3.6646173361142447</v>
      </c>
      <c r="F83" s="138">
        <v>0.30881503607665711</v>
      </c>
      <c r="G83" s="138">
        <v>3.0559297395654363</v>
      </c>
      <c r="H83" s="138">
        <v>2.4420488912776133</v>
      </c>
      <c r="I83" s="138">
        <v>25.555092640510455</v>
      </c>
      <c r="J83" s="138">
        <v>106.36304544166437</v>
      </c>
      <c r="K83" s="138">
        <v>61.327161976633505</v>
      </c>
      <c r="L83" s="138">
        <v>74.051920055625416</v>
      </c>
      <c r="M83" s="138">
        <v>18.60040141942023</v>
      </c>
      <c r="N83" s="138">
        <v>5.9317561069333111</v>
      </c>
      <c r="O83" s="138">
        <v>2.0243330509299273</v>
      </c>
      <c r="P83" s="138">
        <v>5.6805333694576632</v>
      </c>
      <c r="Q83" s="138">
        <v>29.549225938807592</v>
      </c>
      <c r="R83" s="138">
        <v>72.072446441641119</v>
      </c>
      <c r="S83" s="138">
        <v>11.037169462225974</v>
      </c>
      <c r="T83" s="138">
        <v>18.250093213110279</v>
      </c>
      <c r="U83" s="138">
        <v>18.706851383857845</v>
      </c>
      <c r="V83" s="138">
        <v>41.842152040633557</v>
      </c>
      <c r="W83" s="138">
        <v>9.710793788875149</v>
      </c>
      <c r="X83" s="138">
        <v>3.1759366555172641</v>
      </c>
      <c r="Y83" s="138">
        <v>11.159288663814097</v>
      </c>
      <c r="Z83" s="138">
        <v>12.125325940959245</v>
      </c>
      <c r="AA83" s="138">
        <v>4.2271130862059119</v>
      </c>
      <c r="AB83" s="138">
        <v>22.069496698899997</v>
      </c>
      <c r="AC83" s="138">
        <v>2.6230247674902336</v>
      </c>
      <c r="AD83" s="138">
        <v>0.8186235721244326</v>
      </c>
      <c r="AE83" s="138">
        <v>29.086505103660119</v>
      </c>
      <c r="AF83" s="138">
        <v>6.4302895059668597</v>
      </c>
      <c r="AG83" s="138">
        <v>98.767961933988744</v>
      </c>
      <c r="AH83" s="138">
        <v>186.75571752392619</v>
      </c>
      <c r="AI83" s="138">
        <v>52.148997418041077</v>
      </c>
      <c r="AJ83" s="138">
        <v>55.685183170894135</v>
      </c>
      <c r="AK83" s="138">
        <v>15.82027731682663</v>
      </c>
      <c r="AL83" s="138">
        <v>0</v>
      </c>
      <c r="AM83" s="138">
        <v>124.09666123497041</v>
      </c>
      <c r="AN83" s="138">
        <v>51.368149645293791</v>
      </c>
      <c r="AO83" s="138">
        <v>53.494140477032637</v>
      </c>
      <c r="AP83" s="138">
        <v>45.557594503724516</v>
      </c>
      <c r="AQ83" s="138">
        <v>27.725811858863697</v>
      </c>
      <c r="AR83" s="138">
        <v>39.24272560470984</v>
      </c>
      <c r="AS83" s="138">
        <v>71.509982500920472</v>
      </c>
      <c r="AT83" s="138">
        <v>77.548450292943969</v>
      </c>
      <c r="AU83" s="138">
        <v>33.621199744506868</v>
      </c>
      <c r="AV83" s="138">
        <v>100.65669928203002</v>
      </c>
      <c r="AW83" s="138">
        <v>12.705668143191412</v>
      </c>
      <c r="AX83" s="138">
        <v>23.835470090311944</v>
      </c>
      <c r="AY83" s="138">
        <v>9.8379313183137196</v>
      </c>
      <c r="AZ83" s="138">
        <v>142.69658610073589</v>
      </c>
      <c r="BA83" s="138">
        <v>116.31812016782443</v>
      </c>
      <c r="BB83" s="138">
        <v>32.318750297663122</v>
      </c>
      <c r="BC83" s="138">
        <v>22.161396081974488</v>
      </c>
      <c r="BD83" s="138">
        <v>48.579976654317065</v>
      </c>
      <c r="BE83" s="138">
        <v>150.82839312511635</v>
      </c>
      <c r="BF83" s="138">
        <v>162.46685436233707</v>
      </c>
      <c r="BG83" s="138">
        <v>22.298073523628776</v>
      </c>
      <c r="BH83" s="138">
        <v>37.244193285084968</v>
      </c>
      <c r="BI83" s="138">
        <v>11.297603948415889</v>
      </c>
      <c r="BJ83" s="138">
        <v>461.04953736795875</v>
      </c>
      <c r="BK83" s="138">
        <v>153.89238349191427</v>
      </c>
      <c r="BL83" s="138">
        <v>443.70252226711034</v>
      </c>
      <c r="BM83" s="188">
        <f t="shared" si="6"/>
        <v>3497.2069999999985</v>
      </c>
      <c r="BO83" s="30"/>
    </row>
    <row r="84" spans="2:79" x14ac:dyDescent="0.2">
      <c r="B84" s="137" t="s">
        <v>173</v>
      </c>
      <c r="C84" s="138">
        <v>1.2539404276803694</v>
      </c>
      <c r="D84" s="138">
        <v>0.40963304736914646</v>
      </c>
      <c r="E84" s="138">
        <v>0.44117870407371379</v>
      </c>
      <c r="F84" s="138">
        <v>3.9581564246873466E-2</v>
      </c>
      <c r="G84" s="138">
        <v>3.6173173076606382</v>
      </c>
      <c r="H84" s="138">
        <v>0.43429808271409753</v>
      </c>
      <c r="I84" s="138">
        <v>39.491872259610822</v>
      </c>
      <c r="J84" s="138">
        <v>164.36942189232025</v>
      </c>
      <c r="K84" s="138">
        <v>94.772673333470451</v>
      </c>
      <c r="L84" s="138">
        <v>114.4370325145985</v>
      </c>
      <c r="M84" s="138">
        <v>2.8484790565053948</v>
      </c>
      <c r="N84" s="138">
        <v>1.2842259077731022</v>
      </c>
      <c r="O84" s="138">
        <v>0.19880326945193882</v>
      </c>
      <c r="P84" s="138">
        <v>0</v>
      </c>
      <c r="Q84" s="138">
        <v>2.7032911620384295</v>
      </c>
      <c r="R84" s="138">
        <v>0</v>
      </c>
      <c r="S84" s="138">
        <v>0</v>
      </c>
      <c r="T84" s="138">
        <v>11.186820123096821</v>
      </c>
      <c r="U84" s="138">
        <v>12.49681864014844</v>
      </c>
      <c r="V84" s="138">
        <v>44.979609007947886</v>
      </c>
      <c r="W84" s="138">
        <v>7.337175115353717</v>
      </c>
      <c r="X84" s="138">
        <v>2.8065806617464317</v>
      </c>
      <c r="Y84" s="138">
        <v>18.365607660358759</v>
      </c>
      <c r="Z84" s="138">
        <v>15.954704390421213</v>
      </c>
      <c r="AA84" s="138">
        <v>8.9606682927090215</v>
      </c>
      <c r="AB84" s="138">
        <v>0</v>
      </c>
      <c r="AC84" s="138">
        <v>3.9320818719410471</v>
      </c>
      <c r="AD84" s="138">
        <v>1.3593987714405356</v>
      </c>
      <c r="AE84" s="138">
        <v>0</v>
      </c>
      <c r="AF84" s="138">
        <v>0</v>
      </c>
      <c r="AG84" s="138">
        <v>117.902</v>
      </c>
      <c r="AH84" s="138">
        <v>1732.2760000000001</v>
      </c>
      <c r="AI84" s="138">
        <v>0</v>
      </c>
      <c r="AJ84" s="138">
        <v>2.397965933385755</v>
      </c>
      <c r="AK84" s="138">
        <v>0.76214058343539859</v>
      </c>
      <c r="AL84" s="138">
        <v>0</v>
      </c>
      <c r="AM84" s="138">
        <v>441.13940607059101</v>
      </c>
      <c r="AN84" s="138">
        <v>190.52559392940907</v>
      </c>
      <c r="AO84" s="138">
        <v>41.086229965707169</v>
      </c>
      <c r="AP84" s="138">
        <v>35.396739282579219</v>
      </c>
      <c r="AQ84" s="138">
        <v>21.244729795834715</v>
      </c>
      <c r="AR84" s="138">
        <v>34.567674891307327</v>
      </c>
      <c r="AS84" s="138">
        <v>56.690169558264493</v>
      </c>
      <c r="AT84" s="138">
        <v>41.631564971512688</v>
      </c>
      <c r="AU84" s="138">
        <v>19.797981211038461</v>
      </c>
      <c r="AV84" s="138">
        <v>52.776816242654668</v>
      </c>
      <c r="AW84" s="138">
        <v>13.689950273594111</v>
      </c>
      <c r="AX84" s="138">
        <v>20.581579477788399</v>
      </c>
      <c r="AY84" s="138">
        <v>6.9338903597862345</v>
      </c>
      <c r="AZ84" s="138">
        <v>107.9948798896726</v>
      </c>
      <c r="BA84" s="138">
        <v>120.24495078246481</v>
      </c>
      <c r="BB84" s="138">
        <v>0</v>
      </c>
      <c r="BC84" s="138">
        <v>20.132339311009652</v>
      </c>
      <c r="BD84" s="138">
        <v>29.21131984403355</v>
      </c>
      <c r="BE84" s="138">
        <v>252.05102492649991</v>
      </c>
      <c r="BF84" s="138">
        <v>163.68294396177524</v>
      </c>
      <c r="BG84" s="138">
        <v>14.943764831057138</v>
      </c>
      <c r="BH84" s="138">
        <v>25.649130841919991</v>
      </c>
      <c r="BI84" s="138">
        <v>0</v>
      </c>
      <c r="BJ84" s="138">
        <v>0</v>
      </c>
      <c r="BK84" s="138">
        <v>0</v>
      </c>
      <c r="BL84" s="138">
        <v>0</v>
      </c>
      <c r="BM84" s="188">
        <f t="shared" si="6"/>
        <v>4116.9920000000002</v>
      </c>
      <c r="BO84" s="30"/>
    </row>
    <row r="85" spans="2:79" x14ac:dyDescent="0.2">
      <c r="B85" s="137" t="s">
        <v>174</v>
      </c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138"/>
      <c r="AZ85" s="138"/>
      <c r="BA85" s="138"/>
      <c r="BB85" s="138"/>
      <c r="BC85" s="138"/>
      <c r="BD85" s="138"/>
      <c r="BE85" s="138">
        <v>810.03800000000047</v>
      </c>
      <c r="BF85" s="138"/>
      <c r="BG85" s="138"/>
      <c r="BH85" s="138"/>
      <c r="BI85" s="138"/>
      <c r="BJ85" s="138"/>
      <c r="BK85" s="138"/>
      <c r="BL85" s="138"/>
      <c r="BM85" s="188">
        <f t="shared" si="6"/>
        <v>810.03800000000047</v>
      </c>
    </row>
    <row r="86" spans="2:79" x14ac:dyDescent="0.2">
      <c r="B86" s="136" t="s">
        <v>175</v>
      </c>
      <c r="C86" s="139">
        <v>3.8248766690117839</v>
      </c>
      <c r="D86" s="139">
        <v>1.1832609883686036</v>
      </c>
      <c r="E86" s="139">
        <v>1.0972744818009574</v>
      </c>
      <c r="F86" s="139">
        <v>9.9467581645160813E-2</v>
      </c>
      <c r="G86" s="139">
        <v>1.3464931434317138</v>
      </c>
      <c r="H86" s="139">
        <v>1.1887837118029312</v>
      </c>
      <c r="I86" s="139">
        <v>8.9843022484439956</v>
      </c>
      <c r="J86" s="139">
        <v>37.393632719533329</v>
      </c>
      <c r="K86" s="139">
        <v>21.845380429927534</v>
      </c>
      <c r="L86" s="139">
        <v>26.378073157829789</v>
      </c>
      <c r="M86" s="139">
        <v>7.2535376829177798</v>
      </c>
      <c r="N86" s="139">
        <v>3.4210158089041514</v>
      </c>
      <c r="O86" s="139">
        <v>0.56486109726484812</v>
      </c>
      <c r="P86" s="139">
        <v>19.406741429082917</v>
      </c>
      <c r="Q86" s="139">
        <v>8.1041846924627663</v>
      </c>
      <c r="R86" s="139">
        <v>53.008662720107161</v>
      </c>
      <c r="S86" s="139">
        <v>8.0175007308823076</v>
      </c>
      <c r="T86" s="139">
        <v>4.1203583895519813</v>
      </c>
      <c r="U86" s="139">
        <v>4.2789527980441457</v>
      </c>
      <c r="V86" s="139">
        <v>16.796091525631883</v>
      </c>
      <c r="W86" s="139">
        <v>2.5455405944094212</v>
      </c>
      <c r="X86" s="139">
        <v>1.2450203994496643</v>
      </c>
      <c r="Y86" s="139">
        <v>5.7446588862103507</v>
      </c>
      <c r="Z86" s="139">
        <v>5.1522302570526231</v>
      </c>
      <c r="AA86" s="139">
        <v>2.9343085506232467</v>
      </c>
      <c r="AB86" s="139">
        <v>79.781882812210227</v>
      </c>
      <c r="AC86" s="139">
        <v>1.2097741945501836</v>
      </c>
      <c r="AD86" s="139">
        <v>0.43064216511970638</v>
      </c>
      <c r="AE86" s="139">
        <v>184.89952532003809</v>
      </c>
      <c r="AF86" s="139">
        <v>17.145985145839749</v>
      </c>
      <c r="AG86" s="139">
        <v>37.306630763521461</v>
      </c>
      <c r="AH86" s="139">
        <v>83.001024592518533</v>
      </c>
      <c r="AI86" s="139">
        <v>63.543558451004593</v>
      </c>
      <c r="AJ86" s="139">
        <v>277.15921477812896</v>
      </c>
      <c r="AK86" s="139">
        <v>16.119493717409316</v>
      </c>
      <c r="AL86" s="139">
        <v>76.584693760511897</v>
      </c>
      <c r="AM86" s="139">
        <v>144.62770085341802</v>
      </c>
      <c r="AN86" s="139">
        <v>20.496048218931186</v>
      </c>
      <c r="AO86" s="139">
        <v>15.213084792642869</v>
      </c>
      <c r="AP86" s="139">
        <v>13.167483726098121</v>
      </c>
      <c r="AQ86" s="139">
        <v>8.3699093264595987</v>
      </c>
      <c r="AR86" s="139">
        <v>14.014877835322659</v>
      </c>
      <c r="AS86" s="139">
        <v>20.449450907547007</v>
      </c>
      <c r="AT86" s="139">
        <v>16.415463127201118</v>
      </c>
      <c r="AU86" s="139">
        <v>6.6835394740106064</v>
      </c>
      <c r="AV86" s="139">
        <v>21.745634700061043</v>
      </c>
      <c r="AW86" s="139">
        <v>4.5790460023991093</v>
      </c>
      <c r="AX86" s="139">
        <v>8.6724527981220962</v>
      </c>
      <c r="AY86" s="139">
        <v>2.9319684240298551</v>
      </c>
      <c r="AZ86" s="139">
        <v>43.3492494900688</v>
      </c>
      <c r="BA86" s="139">
        <v>43.216484509754011</v>
      </c>
      <c r="BB86" s="139">
        <v>6.9996085773026238</v>
      </c>
      <c r="BC86" s="139">
        <v>7.4100017280102923</v>
      </c>
      <c r="BD86" s="139">
        <v>11.122443745011621</v>
      </c>
      <c r="BE86" s="139">
        <v>86.201462246173733</v>
      </c>
      <c r="BF86" s="139">
        <v>58.374930778223671</v>
      </c>
      <c r="BG86" s="139">
        <v>5.5835248654007303</v>
      </c>
      <c r="BH86" s="139">
        <v>9.2845556875299398</v>
      </c>
      <c r="BI86" s="139">
        <v>8.4675962108447784</v>
      </c>
      <c r="BJ86" s="139">
        <v>80.65098643558602</v>
      </c>
      <c r="BK86" s="139">
        <v>29.910692699307496</v>
      </c>
      <c r="BL86" s="139">
        <v>84.211166445300762</v>
      </c>
      <c r="BM86" s="188">
        <f t="shared" si="6"/>
        <v>1855.2670000000016</v>
      </c>
    </row>
    <row r="88" spans="2:79" x14ac:dyDescent="0.2">
      <c r="B88" s="122" t="s">
        <v>180</v>
      </c>
      <c r="C88" s="30">
        <f>C69+C70</f>
        <v>170.67936771530265</v>
      </c>
      <c r="D88" s="30">
        <f t="shared" ref="D88:BL88" si="7">D69+D70</f>
        <v>55.621533938345962</v>
      </c>
      <c r="E88" s="30">
        <f t="shared" si="7"/>
        <v>79.768017916559288</v>
      </c>
      <c r="F88" s="30">
        <f t="shared" si="7"/>
        <v>6.9069820834407132</v>
      </c>
      <c r="G88" s="30">
        <f t="shared" si="7"/>
        <v>61.242098346351383</v>
      </c>
      <c r="H88" s="30">
        <f t="shared" si="7"/>
        <v>36.786000000000001</v>
      </c>
      <c r="I88" s="30">
        <f t="shared" si="7"/>
        <v>441.18625443702803</v>
      </c>
      <c r="J88" s="30">
        <f t="shared" si="7"/>
        <v>1836.2646650920526</v>
      </c>
      <c r="K88" s="30">
        <f t="shared" si="7"/>
        <v>1058.7596479628107</v>
      </c>
      <c r="L88" s="30">
        <f t="shared" si="7"/>
        <v>1278.4414325081088</v>
      </c>
      <c r="M88" s="30">
        <f t="shared" si="7"/>
        <v>310.60000000000002</v>
      </c>
      <c r="N88" s="30">
        <f t="shared" si="7"/>
        <v>98.888000000000005</v>
      </c>
      <c r="O88" s="30">
        <f t="shared" si="7"/>
        <v>30.545000000000002</v>
      </c>
      <c r="P88" s="30">
        <f t="shared" si="7"/>
        <v>85.921949808184294</v>
      </c>
      <c r="Q88" s="30">
        <f t="shared" si="7"/>
        <v>455.00121195652162</v>
      </c>
      <c r="R88" s="30">
        <f t="shared" si="7"/>
        <v>1141.376</v>
      </c>
      <c r="S88" s="30">
        <f t="shared" si="7"/>
        <v>171.22499999999999</v>
      </c>
      <c r="T88" s="30">
        <f t="shared" si="7"/>
        <v>305.11799999999999</v>
      </c>
      <c r="U88" s="30">
        <f t="shared" si="7"/>
        <v>338.822</v>
      </c>
      <c r="V88" s="30">
        <f t="shared" si="7"/>
        <v>753.91300000000001</v>
      </c>
      <c r="W88" s="30">
        <f t="shared" si="7"/>
        <v>141.57234885224398</v>
      </c>
      <c r="X88" s="30">
        <f t="shared" si="7"/>
        <v>53.892651147756013</v>
      </c>
      <c r="Y88" s="30">
        <f t="shared" si="7"/>
        <v>202.24150021904663</v>
      </c>
      <c r="Z88" s="30">
        <f t="shared" si="7"/>
        <v>191.92</v>
      </c>
      <c r="AA88" s="30">
        <f t="shared" si="7"/>
        <v>100.97687954903388</v>
      </c>
      <c r="AB88" s="30">
        <f t="shared" si="7"/>
        <v>356.661</v>
      </c>
      <c r="AC88" s="30">
        <f t="shared" si="7"/>
        <v>43.299963250436782</v>
      </c>
      <c r="AD88" s="30">
        <f t="shared" si="7"/>
        <v>14.969656981482759</v>
      </c>
      <c r="AE88" s="30">
        <f t="shared" si="7"/>
        <v>520.13485152618864</v>
      </c>
      <c r="AF88" s="30">
        <f t="shared" si="7"/>
        <v>119.39814847381139</v>
      </c>
      <c r="AG88" s="30">
        <f t="shared" si="7"/>
        <v>1589.348</v>
      </c>
      <c r="AH88" s="30">
        <f t="shared" si="7"/>
        <v>3372.194</v>
      </c>
      <c r="AI88" s="30">
        <f t="shared" si="7"/>
        <v>835.62099999999998</v>
      </c>
      <c r="AJ88" s="30">
        <f t="shared" si="7"/>
        <v>827.51400000000001</v>
      </c>
      <c r="AK88" s="30">
        <f t="shared" si="7"/>
        <v>246.31100000000001</v>
      </c>
      <c r="AL88" s="30">
        <f t="shared" si="7"/>
        <v>0</v>
      </c>
      <c r="AM88" s="30">
        <f t="shared" si="7"/>
        <v>2041.4719921705346</v>
      </c>
      <c r="AN88" s="30">
        <f t="shared" si="7"/>
        <v>857.98900782946566</v>
      </c>
      <c r="AO88" s="30">
        <f t="shared" si="7"/>
        <v>825.74799086661903</v>
      </c>
      <c r="AP88" s="30">
        <f t="shared" si="7"/>
        <v>706.45350711480069</v>
      </c>
      <c r="AQ88" s="30">
        <f t="shared" si="7"/>
        <v>426.53105652157882</v>
      </c>
      <c r="AR88" s="30">
        <f t="shared" si="7"/>
        <v>721.25673143300196</v>
      </c>
      <c r="AS88" s="30">
        <f t="shared" si="7"/>
        <v>1150.804714063999</v>
      </c>
      <c r="AT88" s="30">
        <f t="shared" si="7"/>
        <v>1183.886</v>
      </c>
      <c r="AU88" s="30">
        <f t="shared" si="7"/>
        <v>610.5414725829454</v>
      </c>
      <c r="AV88" s="30">
        <f t="shared" si="7"/>
        <v>1649.2015274170546</v>
      </c>
      <c r="AW88" s="30">
        <f t="shared" si="7"/>
        <v>195.541</v>
      </c>
      <c r="AX88" s="30">
        <f t="shared" si="7"/>
        <v>323.72350004888369</v>
      </c>
      <c r="AY88" s="30">
        <f t="shared" si="7"/>
        <v>154.70994069532651</v>
      </c>
      <c r="AZ88" s="30">
        <f t="shared" si="7"/>
        <v>2393.9269999999997</v>
      </c>
      <c r="BA88" s="30">
        <f t="shared" si="7"/>
        <v>1795.4010000000001</v>
      </c>
      <c r="BB88" s="30">
        <f t="shared" si="7"/>
        <v>550.84</v>
      </c>
      <c r="BC88" s="30">
        <f t="shared" si="7"/>
        <v>380.20150000000007</v>
      </c>
      <c r="BD88" s="30">
        <f t="shared" si="7"/>
        <v>903.39</v>
      </c>
      <c r="BE88" s="30">
        <f t="shared" si="7"/>
        <v>3022.7170000000001</v>
      </c>
      <c r="BF88" s="30">
        <f t="shared" si="7"/>
        <v>2882.8629999999998</v>
      </c>
      <c r="BG88" s="30">
        <f t="shared" si="7"/>
        <v>489.16812500000003</v>
      </c>
      <c r="BH88" s="30">
        <f t="shared" si="7"/>
        <v>731.02273922510199</v>
      </c>
      <c r="BI88" s="30">
        <f t="shared" si="7"/>
        <v>178.99695313596808</v>
      </c>
      <c r="BJ88" s="30">
        <f t="shared" si="7"/>
        <v>7012.7114572163382</v>
      </c>
      <c r="BK88" s="30">
        <f t="shared" si="7"/>
        <v>2340.7525513484638</v>
      </c>
      <c r="BL88" s="30">
        <f t="shared" si="7"/>
        <v>7682.0259914351982</v>
      </c>
      <c r="BM88" s="32">
        <f t="shared" ref="BM88" si="8">BM69+BM70</f>
        <v>58544.996919869976</v>
      </c>
    </row>
    <row r="89" spans="2:79" x14ac:dyDescent="0.2">
      <c r="B89" s="122" t="s">
        <v>181</v>
      </c>
      <c r="C89" s="151">
        <f>C88/C75</f>
        <v>0.34920162942671462</v>
      </c>
      <c r="D89" s="151">
        <f t="shared" ref="D89:BL89" si="9">D88/D75</f>
        <v>0.34920162942671462</v>
      </c>
      <c r="E89" s="151">
        <f t="shared" si="9"/>
        <v>0.47170688788758725</v>
      </c>
      <c r="F89" s="151">
        <f t="shared" si="9"/>
        <v>0.47170688788758725</v>
      </c>
      <c r="G89" s="151">
        <f t="shared" si="9"/>
        <v>0.34920162942671462</v>
      </c>
      <c r="H89" s="151">
        <f t="shared" si="9"/>
        <v>0.23860570668042852</v>
      </c>
      <c r="I89" s="151">
        <f t="shared" si="9"/>
        <v>0.37968175086391315</v>
      </c>
      <c r="J89" s="151">
        <f t="shared" si="9"/>
        <v>0.3796817508639132</v>
      </c>
      <c r="K89" s="151">
        <f t="shared" si="9"/>
        <v>0.37968175086391315</v>
      </c>
      <c r="L89" s="151">
        <f t="shared" si="9"/>
        <v>0.37968175086391315</v>
      </c>
      <c r="M89" s="151">
        <f t="shared" si="9"/>
        <v>0.30157887122504523</v>
      </c>
      <c r="N89" s="151">
        <f t="shared" si="9"/>
        <v>0.21189848640465386</v>
      </c>
      <c r="O89" s="151">
        <f t="shared" si="9"/>
        <v>0.434087830650349</v>
      </c>
      <c r="P89" s="151">
        <f t="shared" si="9"/>
        <v>2.8720978814172675E-2</v>
      </c>
      <c r="Q89" s="151">
        <f t="shared" si="9"/>
        <v>0.46258432923317444</v>
      </c>
      <c r="R89" s="151">
        <f t="shared" si="9"/>
        <v>0.23092726103664926</v>
      </c>
      <c r="S89" s="151">
        <f t="shared" si="9"/>
        <v>0.41001173343550201</v>
      </c>
      <c r="T89" s="151">
        <f t="shared" si="9"/>
        <v>0.59048544290569038</v>
      </c>
      <c r="U89" s="151">
        <f t="shared" si="9"/>
        <v>0.59206415288458614</v>
      </c>
      <c r="V89" s="151">
        <f t="shared" si="9"/>
        <v>0.35392191509286913</v>
      </c>
      <c r="W89" s="151">
        <f t="shared" si="9"/>
        <v>0.4195956116870902</v>
      </c>
      <c r="X89" s="151">
        <f t="shared" si="9"/>
        <v>0.4195956116870902</v>
      </c>
      <c r="Y89" s="151">
        <f t="shared" si="9"/>
        <v>0.2431994700742898</v>
      </c>
      <c r="Z89" s="151">
        <f t="shared" si="9"/>
        <v>0.26566180644990456</v>
      </c>
      <c r="AA89" s="151">
        <f t="shared" si="9"/>
        <v>0.2431994700742898</v>
      </c>
      <c r="AB89" s="151">
        <f t="shared" si="9"/>
        <v>0.10645669093917784</v>
      </c>
      <c r="AC89" s="151">
        <f t="shared" si="9"/>
        <v>0.2431994700742898</v>
      </c>
      <c r="AD89" s="151">
        <f t="shared" si="9"/>
        <v>0.2431994700742898</v>
      </c>
      <c r="AE89" s="151">
        <f t="shared" si="9"/>
        <v>0.14687266378443231</v>
      </c>
      <c r="AF89" s="151">
        <f t="shared" si="9"/>
        <v>0.14687266378443231</v>
      </c>
      <c r="AG89" s="151">
        <f t="shared" si="9"/>
        <v>0.3225913591201966</v>
      </c>
      <c r="AH89" s="151">
        <f t="shared" si="9"/>
        <v>0.31131577327634374</v>
      </c>
      <c r="AI89" s="151">
        <f t="shared" si="9"/>
        <v>0.17724474278802585</v>
      </c>
      <c r="AJ89" s="151">
        <f t="shared" si="9"/>
        <v>0.28952073622867275</v>
      </c>
      <c r="AK89" s="151">
        <f t="shared" si="9"/>
        <v>0.27079568597697951</v>
      </c>
      <c r="AL89" s="151">
        <f t="shared" si="9"/>
        <v>0</v>
      </c>
      <c r="AM89" s="151">
        <f t="shared" si="9"/>
        <v>0.2553154864968627</v>
      </c>
      <c r="AN89" s="151">
        <f t="shared" si="9"/>
        <v>0.2553154864968627</v>
      </c>
      <c r="AO89" s="151">
        <f t="shared" si="9"/>
        <v>0.44881376218662006</v>
      </c>
      <c r="AP89" s="151">
        <f t="shared" si="9"/>
        <v>0.44881376218662011</v>
      </c>
      <c r="AQ89" s="151">
        <f t="shared" si="9"/>
        <v>0.44881376218662017</v>
      </c>
      <c r="AR89" s="151">
        <f t="shared" si="9"/>
        <v>0.44881376218662011</v>
      </c>
      <c r="AS89" s="151">
        <f t="shared" si="9"/>
        <v>0.44881376218662</v>
      </c>
      <c r="AT89" s="151">
        <f t="shared" si="9"/>
        <v>0.6436529747112002</v>
      </c>
      <c r="AU89" s="151">
        <f t="shared" si="9"/>
        <v>0.67885947737791164</v>
      </c>
      <c r="AV89" s="151">
        <f t="shared" si="9"/>
        <v>0.67885947737791164</v>
      </c>
      <c r="AW89" s="151">
        <f t="shared" si="9"/>
        <v>0.30670163325548455</v>
      </c>
      <c r="AX89" s="151">
        <f t="shared" si="9"/>
        <v>0.35892598022917327</v>
      </c>
      <c r="AY89" s="151">
        <f t="shared" si="9"/>
        <v>0.48800813761466738</v>
      </c>
      <c r="AZ89" s="151">
        <f t="shared" si="9"/>
        <v>0.48587657425055714</v>
      </c>
      <c r="BA89" s="151">
        <f t="shared" si="9"/>
        <v>0.32934091314734282</v>
      </c>
      <c r="BB89" s="151">
        <f t="shared" si="9"/>
        <v>0.66619660564339311</v>
      </c>
      <c r="BC89" s="151">
        <f t="shared" si="9"/>
        <v>0.4166555252118338</v>
      </c>
      <c r="BD89" s="151">
        <f t="shared" si="9"/>
        <v>0.65193576694589894</v>
      </c>
      <c r="BE89" s="151">
        <f t="shared" si="9"/>
        <v>0.24825467113204316</v>
      </c>
      <c r="BF89" s="151">
        <f t="shared" si="9"/>
        <v>0.38276323746648944</v>
      </c>
      <c r="BG89" s="151">
        <f t="shared" si="9"/>
        <v>0.52178189985284418</v>
      </c>
      <c r="BH89" s="151">
        <f t="shared" si="9"/>
        <v>0.61895845421424955</v>
      </c>
      <c r="BI89" s="151">
        <f t="shared" si="9"/>
        <v>0.16518837117151619</v>
      </c>
      <c r="BJ89" s="151">
        <f t="shared" si="9"/>
        <v>0.85790422569257341</v>
      </c>
      <c r="BK89" s="151">
        <f t="shared" si="9"/>
        <v>0.77211380312331601</v>
      </c>
      <c r="BL89" s="151">
        <f t="shared" si="9"/>
        <v>0.84074614117872182</v>
      </c>
      <c r="BM89" s="151">
        <f t="shared" ref="BM89" si="10">BM88/BM75</f>
        <v>0.40908926312729638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76"/>
  <sheetViews>
    <sheetView tabSelected="1" zoomScale="95" zoomScaleNormal="95" workbookViewId="0">
      <pane xSplit="2" ySplit="5" topLeftCell="C52" activePane="bottomRight" state="frozen"/>
      <selection pane="topRight" activeCell="C1" sqref="C1"/>
      <selection pane="bottomLeft" activeCell="A6" sqref="A6"/>
      <selection pane="bottomRight" activeCell="Q81" sqref="Q81"/>
    </sheetView>
  </sheetViews>
  <sheetFormatPr defaultRowHeight="12.5" x14ac:dyDescent="0.25"/>
  <cols>
    <col min="1" max="1" width="3.81640625" customWidth="1"/>
    <col min="2" max="2" width="45.7265625" customWidth="1"/>
    <col min="3" max="4" width="9.7265625" customWidth="1"/>
    <col min="5" max="5" width="7.1796875" customWidth="1"/>
    <col min="6" max="7" width="9.54296875" customWidth="1"/>
    <col min="8" max="8" width="1.54296875" customWidth="1"/>
    <col min="9" max="15" width="9" customWidth="1"/>
    <col min="16" max="16" width="8.26953125" bestFit="1" customWidth="1"/>
    <col min="17" max="18" width="9" customWidth="1"/>
    <col min="19" max="19" width="2" customWidth="1"/>
    <col min="20" max="20" width="8.7265625" customWidth="1"/>
    <col min="21" max="21" width="9.26953125" customWidth="1"/>
    <col min="23" max="23" width="10.6328125" customWidth="1"/>
  </cols>
  <sheetData>
    <row r="1" spans="1:112" ht="13" x14ac:dyDescent="0.3">
      <c r="A1" s="87" t="s">
        <v>190</v>
      </c>
    </row>
    <row r="2" spans="1:112" x14ac:dyDescent="0.25">
      <c r="B2" s="7"/>
    </row>
    <row r="3" spans="1:112" s="7" customFormat="1" ht="25.5" customHeight="1" x14ac:dyDescent="0.3">
      <c r="A3" s="88"/>
      <c r="B3" s="88"/>
      <c r="C3" s="198" t="s">
        <v>44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12"/>
      <c r="T3" s="198" t="s">
        <v>45</v>
      </c>
      <c r="U3" s="199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</row>
    <row r="4" spans="1:112" ht="37.5" customHeight="1" x14ac:dyDescent="0.25">
      <c r="B4" s="7"/>
      <c r="C4" s="200" t="s">
        <v>46</v>
      </c>
      <c r="D4" s="201"/>
      <c r="E4" s="8"/>
      <c r="F4" s="200" t="s">
        <v>47</v>
      </c>
      <c r="G4" s="201"/>
      <c r="H4" s="8"/>
      <c r="I4" s="200" t="s">
        <v>48</v>
      </c>
      <c r="J4" s="201"/>
      <c r="K4" s="200" t="s">
        <v>176</v>
      </c>
      <c r="L4" s="204"/>
      <c r="M4" s="200" t="s">
        <v>177</v>
      </c>
      <c r="N4" s="201"/>
      <c r="O4" s="204" t="s">
        <v>178</v>
      </c>
      <c r="P4" s="204"/>
      <c r="Q4" s="200" t="s">
        <v>179</v>
      </c>
      <c r="R4" s="201"/>
      <c r="S4" s="8"/>
      <c r="T4" s="202" t="s">
        <v>47</v>
      </c>
      <c r="U4" s="203"/>
      <c r="V4" s="134"/>
      <c r="W4" s="170"/>
      <c r="X4" s="170"/>
      <c r="Y4" s="170"/>
      <c r="Z4" s="170"/>
      <c r="AA4" s="170"/>
      <c r="AB4" s="170"/>
      <c r="AC4" s="134"/>
      <c r="AD4" s="170"/>
      <c r="AE4" s="170"/>
      <c r="AF4" s="170"/>
      <c r="AG4" s="170"/>
      <c r="AH4" s="170"/>
      <c r="AJ4" s="170"/>
      <c r="AK4" s="170"/>
      <c r="AL4" s="170"/>
      <c r="AM4" s="170"/>
      <c r="AN4" s="170"/>
      <c r="AP4" s="170"/>
      <c r="AQ4" s="170"/>
      <c r="AR4" s="170"/>
      <c r="AS4" s="170"/>
      <c r="AT4" s="170"/>
      <c r="AV4" s="170"/>
      <c r="AW4" s="170"/>
      <c r="AX4" s="170"/>
      <c r="AY4" s="170"/>
      <c r="AZ4" s="170"/>
      <c r="BB4" s="170"/>
      <c r="BC4" s="170"/>
      <c r="BD4" s="170"/>
      <c r="BE4" s="170"/>
      <c r="BF4" s="170"/>
      <c r="BH4" s="170"/>
      <c r="BI4" s="170"/>
      <c r="BJ4" s="170"/>
      <c r="BK4" s="170"/>
      <c r="BL4" s="170"/>
      <c r="BN4" s="170"/>
      <c r="BO4" s="170"/>
      <c r="BP4" s="170"/>
      <c r="BQ4" s="170"/>
      <c r="BR4" s="170"/>
      <c r="BT4" s="170"/>
      <c r="BU4" s="170"/>
      <c r="BV4" s="170"/>
      <c r="BW4" s="170"/>
      <c r="BX4" s="170"/>
      <c r="BZ4" s="170"/>
      <c r="CA4" s="170"/>
      <c r="CB4" s="170"/>
      <c r="CC4" s="170"/>
      <c r="CD4" s="170"/>
      <c r="CF4" s="170"/>
      <c r="CG4" s="170"/>
      <c r="CH4" s="170"/>
      <c r="CI4" s="170"/>
      <c r="CJ4" s="170"/>
      <c r="CL4" s="170"/>
      <c r="CM4" s="170"/>
      <c r="CN4" s="170"/>
      <c r="CO4" s="170"/>
      <c r="CP4" s="170"/>
      <c r="CR4" s="170"/>
      <c r="CS4" s="170"/>
      <c r="CT4" s="170"/>
      <c r="CU4" s="170"/>
      <c r="CV4" s="170"/>
      <c r="CX4" s="170"/>
      <c r="CY4" s="170"/>
      <c r="CZ4" s="170"/>
      <c r="DA4" s="170"/>
      <c r="DB4" s="170"/>
      <c r="DD4" s="170"/>
      <c r="DE4" s="170"/>
      <c r="DF4" s="170"/>
      <c r="DG4" s="170" t="s">
        <v>38</v>
      </c>
      <c r="DH4" s="170" t="s">
        <v>39</v>
      </c>
    </row>
    <row r="5" spans="1:112" x14ac:dyDescent="0.25">
      <c r="A5" s="2"/>
      <c r="B5" s="2" t="s">
        <v>16</v>
      </c>
      <c r="C5" s="117" t="s">
        <v>0</v>
      </c>
      <c r="D5" s="86" t="s">
        <v>1</v>
      </c>
      <c r="E5" s="84"/>
      <c r="F5" s="117" t="s">
        <v>0</v>
      </c>
      <c r="G5" s="165" t="s">
        <v>1</v>
      </c>
      <c r="H5" s="85"/>
      <c r="I5" s="147" t="s">
        <v>0</v>
      </c>
      <c r="J5" s="86" t="s">
        <v>1</v>
      </c>
      <c r="K5" s="49" t="s">
        <v>0</v>
      </c>
      <c r="L5" s="141" t="s">
        <v>1</v>
      </c>
      <c r="M5" s="49" t="s">
        <v>0</v>
      </c>
      <c r="N5" s="142" t="s">
        <v>1</v>
      </c>
      <c r="O5" s="141" t="s">
        <v>0</v>
      </c>
      <c r="P5" s="141" t="s">
        <v>1</v>
      </c>
      <c r="Q5" s="49" t="s">
        <v>0</v>
      </c>
      <c r="R5" s="142" t="s">
        <v>1</v>
      </c>
      <c r="S5" s="20"/>
      <c r="T5" s="70" t="s">
        <v>0</v>
      </c>
      <c r="U5" s="16" t="s">
        <v>1</v>
      </c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</row>
    <row r="6" spans="1:112" x14ac:dyDescent="0.25">
      <c r="A6">
        <v>1</v>
      </c>
      <c r="B6" s="11" t="s">
        <v>182</v>
      </c>
      <c r="C6" s="194">
        <v>1.3700296129694705</v>
      </c>
      <c r="D6" s="195">
        <v>1.8789140031777591</v>
      </c>
      <c r="E6" s="155">
        <f>D6/C6</f>
        <v>1.3714404312074009</v>
      </c>
      <c r="F6" s="160">
        <v>0.41330546862422612</v>
      </c>
      <c r="G6" s="161">
        <v>0.5494328422044622</v>
      </c>
      <c r="H6" s="4"/>
      <c r="I6" s="167">
        <v>4.9811614200437247E-2</v>
      </c>
      <c r="J6" s="167">
        <v>7.9954802325303373E-2</v>
      </c>
      <c r="K6" s="167">
        <v>2.3577817329296598E-2</v>
      </c>
      <c r="L6" s="167">
        <v>3.3345632074018548E-2</v>
      </c>
      <c r="M6" s="167">
        <v>1.1720836910992714E-2</v>
      </c>
      <c r="N6" s="167">
        <v>2.4385689430651992E-2</v>
      </c>
      <c r="O6" s="168">
        <v>1.0067034331399599E-3</v>
      </c>
      <c r="P6" s="168">
        <v>2.1199624945506027E-3</v>
      </c>
      <c r="Q6" s="167">
        <v>1.3506256527007966E-2</v>
      </c>
      <c r="R6" s="167">
        <v>2.01035183260822E-2</v>
      </c>
      <c r="S6" s="3"/>
      <c r="T6" s="148">
        <v>1.3432417210795704</v>
      </c>
      <c r="U6" s="178">
        <v>1.7856553387426009</v>
      </c>
      <c r="V6" s="134"/>
      <c r="W6" s="172"/>
      <c r="X6" s="172"/>
      <c r="Y6" s="172"/>
      <c r="Z6" s="172"/>
      <c r="AA6" s="172"/>
      <c r="AB6" s="172"/>
      <c r="AC6" s="134"/>
      <c r="AD6" s="134"/>
      <c r="AE6" s="134"/>
      <c r="AF6" s="134"/>
      <c r="AG6" s="134"/>
      <c r="AH6" s="134"/>
      <c r="AJ6" s="134"/>
      <c r="AK6" s="134"/>
      <c r="AL6" s="134"/>
      <c r="AM6" s="134"/>
      <c r="AN6" s="134"/>
      <c r="AP6" s="134"/>
      <c r="AQ6" s="134"/>
      <c r="AR6" s="134"/>
      <c r="AS6" s="134"/>
      <c r="AT6" s="134"/>
      <c r="AV6" s="134"/>
      <c r="BB6" s="134"/>
      <c r="BH6" s="134"/>
      <c r="BN6" s="134"/>
      <c r="BT6" s="134"/>
      <c r="BZ6" s="134"/>
      <c r="CF6" s="134"/>
      <c r="CL6" s="134"/>
      <c r="CR6" s="134"/>
      <c r="CX6" s="134"/>
      <c r="DD6" s="134"/>
    </row>
    <row r="7" spans="1:112" x14ac:dyDescent="0.25">
      <c r="A7">
        <f>A6+1</f>
        <v>2</v>
      </c>
      <c r="B7" s="11" t="s">
        <v>125</v>
      </c>
      <c r="C7" s="119">
        <v>1.3255298098816881</v>
      </c>
      <c r="D7" s="196">
        <v>1.8234871065050726</v>
      </c>
      <c r="E7" s="155">
        <f t="shared" ref="E7:E55" si="0">D7/C7</f>
        <v>1.3756666148970504</v>
      </c>
      <c r="F7" s="162">
        <v>0.40443070724087582</v>
      </c>
      <c r="G7" s="163">
        <v>0.53763506612622247</v>
      </c>
      <c r="H7" s="4"/>
      <c r="I7" s="167">
        <v>3.8064328618654421E-2</v>
      </c>
      <c r="J7" s="167">
        <v>6.7560262781863306E-2</v>
      </c>
      <c r="K7" s="167">
        <v>1.9364516851422781E-2</v>
      </c>
      <c r="L7" s="167">
        <v>2.8922590782927984E-2</v>
      </c>
      <c r="M7" s="167">
        <v>6.6948245032673621E-3</v>
      </c>
      <c r="N7" s="167">
        <v>1.9087729147565995E-2</v>
      </c>
      <c r="O7" s="168">
        <v>6.5799961371268054E-4</v>
      </c>
      <c r="P7" s="168">
        <v>1.7473540590998301E-3</v>
      </c>
      <c r="Q7" s="167">
        <v>1.1346987650251592E-2</v>
      </c>
      <c r="R7" s="167">
        <v>1.7802588792269512E-2</v>
      </c>
      <c r="S7" s="3"/>
      <c r="T7" s="144">
        <v>1.3143987691718122</v>
      </c>
      <c r="U7" s="6">
        <v>1.7473125965161376</v>
      </c>
      <c r="V7" s="134"/>
      <c r="W7" s="172"/>
      <c r="X7" s="172"/>
      <c r="Y7" s="172"/>
      <c r="Z7" s="172"/>
      <c r="AA7" s="172"/>
      <c r="AB7" s="172"/>
      <c r="AC7" s="134"/>
      <c r="AD7" s="134"/>
      <c r="AE7" s="134"/>
      <c r="AF7" s="134"/>
      <c r="AG7" s="134"/>
      <c r="AH7" s="134"/>
      <c r="AJ7" s="134"/>
      <c r="AK7" s="134"/>
      <c r="AL7" s="134"/>
      <c r="AM7" s="134"/>
      <c r="AN7" s="134"/>
      <c r="AP7" s="134"/>
      <c r="AQ7" s="134"/>
      <c r="AR7" s="134"/>
      <c r="AS7" s="134"/>
      <c r="AT7" s="134"/>
    </row>
    <row r="8" spans="1:112" x14ac:dyDescent="0.25">
      <c r="A8">
        <f t="shared" ref="A8:A67" si="1">A7+1</f>
        <v>3</v>
      </c>
      <c r="B8" s="11" t="s">
        <v>2</v>
      </c>
      <c r="C8" s="119">
        <v>1.4311491176171038</v>
      </c>
      <c r="D8" s="196">
        <v>2.055818870100603</v>
      </c>
      <c r="E8" s="155">
        <f t="shared" si="0"/>
        <v>1.4364812476868858</v>
      </c>
      <c r="F8" s="162">
        <v>0.50734396604285248</v>
      </c>
      <c r="G8" s="163">
        <v>0.67444410587184145</v>
      </c>
      <c r="H8" s="4"/>
      <c r="I8" s="167">
        <v>5.8773102729842118E-2</v>
      </c>
      <c r="J8" s="167">
        <v>9.5774705112097652E-2</v>
      </c>
      <c r="K8" s="167">
        <v>3.0829759930058633E-2</v>
      </c>
      <c r="L8" s="167">
        <v>4.2820024391487084E-2</v>
      </c>
      <c r="M8" s="167">
        <v>1.6477138707420621E-2</v>
      </c>
      <c r="N8" s="167">
        <v>3.2023597669263458E-2</v>
      </c>
      <c r="O8" s="168">
        <v>6.4616984369065319E-4</v>
      </c>
      <c r="P8" s="168">
        <v>2.0127263263069886E-3</v>
      </c>
      <c r="Q8" s="167">
        <v>1.0820034248672193E-2</v>
      </c>
      <c r="R8" s="167">
        <v>1.8918356725040074E-2</v>
      </c>
      <c r="S8" s="3"/>
      <c r="T8" s="144">
        <v>1.3520515859962745</v>
      </c>
      <c r="U8" s="6">
        <v>1.7973668438836639</v>
      </c>
      <c r="V8" s="134"/>
      <c r="W8" s="172"/>
      <c r="X8" s="172"/>
      <c r="Y8" s="172"/>
      <c r="Z8" s="172"/>
      <c r="AA8" s="172"/>
      <c r="AB8" s="172"/>
      <c r="AC8" s="134"/>
      <c r="AD8" s="134"/>
      <c r="AE8" s="134"/>
      <c r="AF8" s="134"/>
      <c r="AG8" s="134"/>
      <c r="AH8" s="134"/>
      <c r="AJ8" s="134"/>
      <c r="AK8" s="134"/>
      <c r="AL8" s="134"/>
      <c r="AM8" s="134"/>
      <c r="AN8" s="134"/>
      <c r="AP8" s="134"/>
      <c r="AQ8" s="134"/>
      <c r="AR8" s="134"/>
      <c r="AS8" s="134"/>
      <c r="AT8" s="134"/>
    </row>
    <row r="9" spans="1:112" x14ac:dyDescent="0.25">
      <c r="A9">
        <f t="shared" si="1"/>
        <v>4</v>
      </c>
      <c r="B9" s="11" t="s">
        <v>126</v>
      </c>
      <c r="C9" s="119">
        <v>1.5222267539692171</v>
      </c>
      <c r="D9" s="196">
        <v>2.2192086036270098</v>
      </c>
      <c r="E9" s="155">
        <f t="shared" si="0"/>
        <v>1.4578699249900893</v>
      </c>
      <c r="F9" s="162">
        <v>0.56607436883156736</v>
      </c>
      <c r="G9" s="163">
        <v>0.75251810822034326</v>
      </c>
      <c r="H9" s="4"/>
      <c r="I9" s="167">
        <v>4.8089113377761949E-2</v>
      </c>
      <c r="J9" s="167">
        <v>8.9374040599154644E-2</v>
      </c>
      <c r="K9" s="167">
        <v>3.1976120529718925E-2</v>
      </c>
      <c r="L9" s="167">
        <v>4.5354384274661964E-2</v>
      </c>
      <c r="M9" s="167">
        <v>5.4054892421639047E-3</v>
      </c>
      <c r="N9" s="167">
        <v>2.2751614422349298E-2</v>
      </c>
      <c r="O9" s="168">
        <v>9.1402346191741185E-5</v>
      </c>
      <c r="P9" s="168">
        <v>1.6161521217796697E-3</v>
      </c>
      <c r="Q9" s="167">
        <v>1.0616101259687396E-2</v>
      </c>
      <c r="R9" s="167">
        <v>1.965188978036379E-2</v>
      </c>
      <c r="S9" s="3"/>
      <c r="T9" s="144">
        <v>1.5085657845508207</v>
      </c>
      <c r="U9" s="6">
        <v>2.0054309695373287</v>
      </c>
      <c r="V9" s="134"/>
      <c r="W9" s="172"/>
      <c r="X9" s="172"/>
      <c r="Y9" s="172"/>
      <c r="Z9" s="172"/>
      <c r="AA9" s="172"/>
      <c r="AB9" s="172"/>
      <c r="AC9" s="134"/>
      <c r="AD9" s="134"/>
      <c r="AE9" s="134"/>
      <c r="AF9" s="134"/>
      <c r="AG9" s="134"/>
      <c r="AH9" s="134"/>
      <c r="AJ9" s="134"/>
      <c r="AK9" s="134"/>
      <c r="AL9" s="134"/>
      <c r="AM9" s="134"/>
      <c r="AN9" s="134"/>
      <c r="AP9" s="134"/>
      <c r="AQ9" s="134"/>
      <c r="AR9" s="134"/>
      <c r="AS9" s="134"/>
      <c r="AT9" s="134"/>
    </row>
    <row r="10" spans="1:112" x14ac:dyDescent="0.25">
      <c r="A10">
        <f t="shared" si="1"/>
        <v>5</v>
      </c>
      <c r="B10" s="11" t="s">
        <v>19</v>
      </c>
      <c r="C10" s="119">
        <v>1.4320570040574507</v>
      </c>
      <c r="D10" s="196">
        <v>1.9579289871934813</v>
      </c>
      <c r="E10" s="155">
        <f t="shared" si="0"/>
        <v>1.3672144206872185</v>
      </c>
      <c r="F10" s="162">
        <v>0.4271024433220027</v>
      </c>
      <c r="G10" s="163">
        <v>0.56777402468930993</v>
      </c>
      <c r="H10" s="4"/>
      <c r="I10" s="167">
        <v>6.5141687344660706E-2</v>
      </c>
      <c r="J10" s="167">
        <v>9.6291116217449818E-2</v>
      </c>
      <c r="K10" s="167">
        <v>2.5662069389037596E-2</v>
      </c>
      <c r="L10" s="167">
        <v>3.5755953598395722E-2</v>
      </c>
      <c r="M10" s="167">
        <v>2.6738047328167324E-2</v>
      </c>
      <c r="N10" s="167">
        <v>3.9825678308383766E-2</v>
      </c>
      <c r="O10" s="168">
        <v>4.935391248359263E-4</v>
      </c>
      <c r="P10" s="168">
        <v>1.643961031329361E-3</v>
      </c>
      <c r="Q10" s="167">
        <v>1.224803150261986E-2</v>
      </c>
      <c r="R10" s="167">
        <v>1.9065523279340954E-2</v>
      </c>
      <c r="S10" s="3"/>
      <c r="T10" s="144">
        <v>1.3880818537311479</v>
      </c>
      <c r="U10" s="6">
        <v>1.8452641351361969</v>
      </c>
      <c r="V10" s="134"/>
      <c r="W10" s="172"/>
      <c r="X10" s="172"/>
      <c r="Y10" s="172"/>
      <c r="Z10" s="172"/>
      <c r="AA10" s="172"/>
      <c r="AB10" s="172"/>
      <c r="AC10" s="134"/>
      <c r="AD10" s="134"/>
      <c r="AE10" s="134"/>
      <c r="AF10" s="134"/>
      <c r="AG10" s="134"/>
      <c r="AH10" s="134"/>
      <c r="AJ10" s="134"/>
      <c r="AK10" s="134"/>
      <c r="AL10" s="134"/>
      <c r="AM10" s="134"/>
      <c r="AN10" s="134"/>
      <c r="AP10" s="134"/>
      <c r="AQ10" s="134"/>
      <c r="AR10" s="134"/>
      <c r="AS10" s="134"/>
      <c r="AT10" s="134"/>
    </row>
    <row r="11" spans="1:112" x14ac:dyDescent="0.25">
      <c r="A11">
        <f t="shared" si="1"/>
        <v>6</v>
      </c>
      <c r="B11" s="11" t="s">
        <v>3</v>
      </c>
      <c r="C11" s="119">
        <v>1.4978495615118774</v>
      </c>
      <c r="D11" s="196">
        <v>1.9308596265132241</v>
      </c>
      <c r="E11" s="155">
        <f t="shared" si="0"/>
        <v>1.2890878203844993</v>
      </c>
      <c r="F11" s="162">
        <v>0.35168189725987986</v>
      </c>
      <c r="G11" s="163">
        <v>0.46751276968714039</v>
      </c>
      <c r="H11" s="4"/>
      <c r="I11" s="167">
        <v>5.631620479873875E-2</v>
      </c>
      <c r="J11" s="167">
        <v>8.1965063558099974E-2</v>
      </c>
      <c r="K11" s="167">
        <v>2.6068494663104687E-2</v>
      </c>
      <c r="L11" s="167">
        <v>3.4379934705118909E-2</v>
      </c>
      <c r="M11" s="167">
        <v>1.4158334699896529E-2</v>
      </c>
      <c r="N11" s="167">
        <v>2.4934866105242835E-2</v>
      </c>
      <c r="O11" s="168">
        <v>1.5339172562411363E-3</v>
      </c>
      <c r="P11" s="168">
        <v>2.4811901296485001E-3</v>
      </c>
      <c r="Q11" s="167">
        <v>1.4555458179496394E-2</v>
      </c>
      <c r="R11" s="167">
        <v>2.016907261808976E-2</v>
      </c>
      <c r="S11" s="3"/>
      <c r="T11" s="144">
        <v>1.7223401000572149</v>
      </c>
      <c r="U11" s="6">
        <v>2.2896145545016506</v>
      </c>
      <c r="V11" s="134"/>
      <c r="W11" s="172"/>
      <c r="X11" s="172"/>
      <c r="Y11" s="172"/>
      <c r="Z11" s="172"/>
      <c r="AA11" s="172"/>
      <c r="AB11" s="172"/>
      <c r="AC11" s="134"/>
      <c r="AD11" s="134"/>
      <c r="AE11" s="134"/>
      <c r="AF11" s="134"/>
      <c r="AG11" s="134"/>
      <c r="AH11" s="134"/>
      <c r="AJ11" s="134"/>
      <c r="AK11" s="134"/>
      <c r="AL11" s="134"/>
      <c r="AM11" s="134"/>
      <c r="AN11" s="134"/>
      <c r="AP11" s="134"/>
      <c r="AQ11" s="134"/>
      <c r="AR11" s="134"/>
      <c r="AS11" s="134"/>
      <c r="AT11" s="134"/>
    </row>
    <row r="12" spans="1:112" x14ac:dyDescent="0.25">
      <c r="A12">
        <f t="shared" si="1"/>
        <v>7</v>
      </c>
      <c r="B12" s="11" t="s">
        <v>127</v>
      </c>
      <c r="C12" s="119">
        <v>1.4745154822845477</v>
      </c>
      <c r="D12" s="196">
        <v>2.0447627850170607</v>
      </c>
      <c r="E12" s="155">
        <f t="shared" si="0"/>
        <v>1.3867353782199681</v>
      </c>
      <c r="F12" s="162">
        <v>0.46314316811937245</v>
      </c>
      <c r="G12" s="163">
        <v>0.61568521716988045</v>
      </c>
      <c r="H12" s="4"/>
      <c r="I12" s="167">
        <v>0.10147813676239596</v>
      </c>
      <c r="J12" s="167">
        <v>0.1352560872256201</v>
      </c>
      <c r="K12" s="167">
        <v>3.1368155143303537E-2</v>
      </c>
      <c r="L12" s="167">
        <v>4.2313804329926666E-2</v>
      </c>
      <c r="M12" s="167">
        <v>5.3871173111950936E-2</v>
      </c>
      <c r="N12" s="167">
        <v>6.8063194183543854E-2</v>
      </c>
      <c r="O12" s="168">
        <v>1.7761671296420772E-3</v>
      </c>
      <c r="P12" s="168">
        <v>3.023666540563498E-3</v>
      </c>
      <c r="Q12" s="167">
        <v>1.4462641377499409E-2</v>
      </c>
      <c r="R12" s="167">
        <v>2.1855422171586033E-2</v>
      </c>
      <c r="S12" s="3"/>
      <c r="T12" s="144">
        <v>1.4035267548272488</v>
      </c>
      <c r="U12" s="6">
        <v>1.8657960093817632</v>
      </c>
      <c r="V12" s="134"/>
      <c r="W12" s="172"/>
      <c r="X12" s="172"/>
      <c r="Y12" s="172"/>
      <c r="Z12" s="172"/>
      <c r="AA12" s="172"/>
      <c r="AB12" s="172"/>
      <c r="AC12" s="134"/>
      <c r="AD12" s="134"/>
      <c r="AE12" s="134"/>
      <c r="AF12" s="134"/>
      <c r="AG12" s="134"/>
      <c r="AH12" s="134"/>
      <c r="AJ12" s="134"/>
      <c r="AK12" s="134"/>
      <c r="AL12" s="134"/>
      <c r="AM12" s="134"/>
      <c r="AN12" s="134"/>
      <c r="AP12" s="134"/>
      <c r="AQ12" s="134"/>
      <c r="AR12" s="134"/>
      <c r="AS12" s="134"/>
      <c r="AT12" s="134"/>
    </row>
    <row r="13" spans="1:112" x14ac:dyDescent="0.25">
      <c r="A13">
        <f t="shared" si="1"/>
        <v>8</v>
      </c>
      <c r="B13" s="11" t="s">
        <v>128</v>
      </c>
      <c r="C13" s="119">
        <v>1.5152142032279652</v>
      </c>
      <c r="D13" s="196">
        <v>2.1186078691801518</v>
      </c>
      <c r="E13" s="155">
        <f t="shared" si="0"/>
        <v>1.3982233433838829</v>
      </c>
      <c r="F13" s="162">
        <v>0.49006396476257164</v>
      </c>
      <c r="G13" s="163">
        <v>0.65147271803048312</v>
      </c>
      <c r="H13" s="4"/>
      <c r="I13" s="167">
        <v>0.10431305908217216</v>
      </c>
      <c r="J13" s="167">
        <v>0.14005439667498931</v>
      </c>
      <c r="K13" s="167">
        <v>3.3237907559755003E-2</v>
      </c>
      <c r="L13" s="167">
        <v>4.4819786785304093E-2</v>
      </c>
      <c r="M13" s="167">
        <v>5.4756075608401171E-2</v>
      </c>
      <c r="N13" s="167">
        <v>6.9773026290368689E-2</v>
      </c>
      <c r="O13" s="168">
        <v>2.2917197719146158E-3</v>
      </c>
      <c r="P13" s="168">
        <v>3.6117317022159403E-3</v>
      </c>
      <c r="Q13" s="167">
        <v>1.4027356142101374E-2</v>
      </c>
      <c r="R13" s="167">
        <v>2.1849851897100609E-2</v>
      </c>
      <c r="S13" s="3"/>
      <c r="T13" s="144">
        <v>1.4851085657031782</v>
      </c>
      <c r="U13" s="6">
        <v>1.9742478195427904</v>
      </c>
      <c r="V13" s="134"/>
      <c r="W13" s="172"/>
      <c r="X13" s="172"/>
      <c r="Y13" s="172"/>
      <c r="Z13" s="172"/>
      <c r="AA13" s="172"/>
      <c r="AB13" s="172"/>
      <c r="AC13" s="134"/>
      <c r="AD13" s="134"/>
      <c r="AE13" s="134"/>
      <c r="AF13" s="134"/>
      <c r="AG13" s="134"/>
      <c r="AH13" s="134"/>
      <c r="AJ13" s="134"/>
      <c r="AK13" s="134"/>
      <c r="AL13" s="134"/>
      <c r="AM13" s="134"/>
      <c r="AN13" s="134"/>
      <c r="AP13" s="134"/>
      <c r="AQ13" s="134"/>
      <c r="AR13" s="134"/>
      <c r="AS13" s="134"/>
      <c r="AT13" s="134"/>
    </row>
    <row r="14" spans="1:112" x14ac:dyDescent="0.25">
      <c r="A14">
        <f t="shared" si="1"/>
        <v>9</v>
      </c>
      <c r="B14" s="11" t="s">
        <v>129</v>
      </c>
      <c r="C14" s="119">
        <v>1.5218927501558266</v>
      </c>
      <c r="D14" s="196">
        <v>2.1304739591087882</v>
      </c>
      <c r="E14" s="155">
        <f t="shared" si="0"/>
        <v>1.3998844260810421</v>
      </c>
      <c r="F14" s="162">
        <v>0.49427718083325173</v>
      </c>
      <c r="G14" s="163">
        <v>0.65707361000087205</v>
      </c>
      <c r="H14" s="4"/>
      <c r="I14" s="167">
        <v>0.10067601462541739</v>
      </c>
      <c r="J14" s="167">
        <v>0.13672463042834865</v>
      </c>
      <c r="K14" s="167">
        <v>3.3509371826456129E-2</v>
      </c>
      <c r="L14" s="167">
        <v>4.5190823685764138E-2</v>
      </c>
      <c r="M14" s="167">
        <v>5.0237778161910281E-2</v>
      </c>
      <c r="N14" s="167">
        <v>6.5383833741391562E-2</v>
      </c>
      <c r="O14" s="168">
        <v>2.5399429198891938E-3</v>
      </c>
      <c r="P14" s="168">
        <v>3.8713033595242528E-3</v>
      </c>
      <c r="Q14" s="167">
        <v>1.4388921717161812E-2</v>
      </c>
      <c r="R14" s="167">
        <v>2.2278669641668664E-2</v>
      </c>
      <c r="S14" s="3"/>
      <c r="T14" s="144">
        <v>1.4978764566840159</v>
      </c>
      <c r="U14" s="6">
        <v>1.9912209765975699</v>
      </c>
      <c r="V14" s="134"/>
      <c r="W14" s="172"/>
      <c r="X14" s="172"/>
      <c r="Y14" s="172"/>
      <c r="Z14" s="172"/>
      <c r="AA14" s="172"/>
      <c r="AB14" s="172"/>
      <c r="AC14" s="134"/>
      <c r="AD14" s="134"/>
      <c r="AE14" s="134"/>
      <c r="AF14" s="134"/>
      <c r="AG14" s="134"/>
      <c r="AH14" s="134"/>
      <c r="AJ14" s="134"/>
      <c r="AK14" s="134"/>
      <c r="AL14" s="134"/>
      <c r="AM14" s="134"/>
      <c r="AN14" s="134"/>
      <c r="AP14" s="134"/>
      <c r="AQ14" s="134"/>
      <c r="AR14" s="134"/>
      <c r="AS14" s="134"/>
      <c r="AT14" s="134"/>
    </row>
    <row r="15" spans="1:112" x14ac:dyDescent="0.25">
      <c r="A15">
        <f t="shared" si="1"/>
        <v>10</v>
      </c>
      <c r="B15" s="11" t="s">
        <v>130</v>
      </c>
      <c r="C15" s="119">
        <v>1.4720761605955532</v>
      </c>
      <c r="D15" s="196">
        <v>2.0506088352872349</v>
      </c>
      <c r="E15" s="155">
        <f t="shared" si="0"/>
        <v>1.3930045809977838</v>
      </c>
      <c r="F15" s="162">
        <v>0.46987237735864446</v>
      </c>
      <c r="G15" s="163">
        <v>0.62463077642035159</v>
      </c>
      <c r="H15" s="4"/>
      <c r="I15" s="167">
        <v>0.10408979275026158</v>
      </c>
      <c r="J15" s="167">
        <v>0.13835851779894223</v>
      </c>
      <c r="K15" s="155">
        <v>3.1724652151661092E-2</v>
      </c>
      <c r="L15" s="167">
        <v>4.2829335452801168E-2</v>
      </c>
      <c r="M15" s="167">
        <v>5.7285192625950276E-2</v>
      </c>
      <c r="N15" s="167">
        <v>7.1683415766131839E-2</v>
      </c>
      <c r="O15" s="168">
        <v>1.9951486762195452E-3</v>
      </c>
      <c r="P15" s="168">
        <v>3.2607735505825321E-3</v>
      </c>
      <c r="Q15" s="167">
        <v>1.3084799296430669E-2</v>
      </c>
      <c r="R15" s="167">
        <v>2.0584993029426624E-2</v>
      </c>
      <c r="S15" s="3"/>
      <c r="T15" s="144">
        <v>1.423919207650205</v>
      </c>
      <c r="U15" s="6">
        <v>1.8929049739723678</v>
      </c>
      <c r="V15" s="134"/>
      <c r="W15" s="172"/>
      <c r="X15" s="172"/>
      <c r="Y15" s="172"/>
      <c r="Z15" s="172"/>
      <c r="AA15" s="172"/>
      <c r="AB15" s="172"/>
      <c r="AC15" s="134"/>
      <c r="AD15" s="134"/>
      <c r="AE15" s="134"/>
      <c r="AF15" s="134"/>
      <c r="AG15" s="134"/>
      <c r="AH15" s="134"/>
      <c r="AJ15" s="134"/>
      <c r="AK15" s="134"/>
      <c r="AL15" s="134"/>
      <c r="AM15" s="134"/>
      <c r="AN15" s="134"/>
      <c r="AP15" s="134"/>
      <c r="AQ15" s="134"/>
      <c r="AR15" s="134"/>
      <c r="AS15" s="134"/>
      <c r="AT15" s="134"/>
    </row>
    <row r="16" spans="1:112" x14ac:dyDescent="0.25">
      <c r="A16">
        <f t="shared" si="1"/>
        <v>11</v>
      </c>
      <c r="B16" s="11" t="s">
        <v>131</v>
      </c>
      <c r="C16" s="119">
        <v>1.5958612633694813</v>
      </c>
      <c r="D16" s="196">
        <v>2.1138049862414361</v>
      </c>
      <c r="E16" s="155">
        <f t="shared" si="0"/>
        <v>1.324554354918281</v>
      </c>
      <c r="F16" s="162">
        <v>0.42066327288001554</v>
      </c>
      <c r="G16" s="163">
        <v>0.55921403217540344</v>
      </c>
      <c r="H16" s="4"/>
      <c r="I16" s="155">
        <v>6.4371557676550742E-2</v>
      </c>
      <c r="J16" s="155">
        <v>9.5051365069016874E-2</v>
      </c>
      <c r="K16" s="155">
        <v>3.1255458059976059E-2</v>
      </c>
      <c r="L16" s="155">
        <v>4.1197162758628968E-2</v>
      </c>
      <c r="M16" s="155">
        <v>1.5719985331217257E-2</v>
      </c>
      <c r="N16" s="155">
        <v>2.861030185472407E-2</v>
      </c>
      <c r="O16" s="169">
        <v>3.8267073832449175E-3</v>
      </c>
      <c r="P16" s="169">
        <v>4.9597850603808951E-3</v>
      </c>
      <c r="Q16" s="155">
        <v>1.356940690211253E-2</v>
      </c>
      <c r="R16" s="155">
        <v>2.0284115395282937E-2</v>
      </c>
      <c r="S16" s="3"/>
      <c r="T16" s="144">
        <v>1.838756191062235</v>
      </c>
      <c r="U16" s="6">
        <v>2.4443737546935451</v>
      </c>
      <c r="V16" s="166"/>
      <c r="W16" s="3"/>
      <c r="X16" s="172"/>
      <c r="Y16" s="172"/>
      <c r="Z16" s="172"/>
      <c r="AA16" s="172"/>
      <c r="AB16" s="172"/>
      <c r="AC16" s="134"/>
      <c r="AD16" s="134"/>
      <c r="AE16" s="134"/>
      <c r="AF16" s="134"/>
      <c r="AG16" s="134"/>
      <c r="AH16" s="134"/>
      <c r="AJ16" s="134"/>
      <c r="AK16" s="134"/>
      <c r="AL16" s="134"/>
      <c r="AM16" s="134"/>
      <c r="AN16" s="134"/>
      <c r="AP16" s="134"/>
      <c r="AQ16" s="134"/>
      <c r="AR16" s="134"/>
      <c r="AS16" s="134"/>
      <c r="AT16" s="134"/>
    </row>
    <row r="17" spans="1:46" x14ac:dyDescent="0.25">
      <c r="A17">
        <f t="shared" si="1"/>
        <v>12</v>
      </c>
      <c r="B17" s="11" t="s">
        <v>132</v>
      </c>
      <c r="C17" s="119">
        <v>1.584110426004363</v>
      </c>
      <c r="D17" s="196">
        <v>2.0003106468762306</v>
      </c>
      <c r="E17" s="155">
        <f t="shared" si="0"/>
        <v>1.2627343485906211</v>
      </c>
      <c r="F17" s="162">
        <v>0.33802928649185959</v>
      </c>
      <c r="G17" s="163">
        <v>0.44936349921473673</v>
      </c>
      <c r="H17" s="4"/>
      <c r="I17" s="155">
        <v>5.7266879645789262E-2</v>
      </c>
      <c r="J17" s="155">
        <v>8.1920026405147561E-2</v>
      </c>
      <c r="K17" s="155">
        <v>2.5324344115565913E-2</v>
      </c>
      <c r="L17" s="155">
        <v>3.3313126503889484E-2</v>
      </c>
      <c r="M17" s="155">
        <v>1.548177535840266E-2</v>
      </c>
      <c r="N17" s="155">
        <v>2.5839952023704385E-2</v>
      </c>
      <c r="O17" s="169">
        <v>3.118964910430439E-3</v>
      </c>
      <c r="P17" s="169">
        <v>4.0294637902586628E-3</v>
      </c>
      <c r="Q17" s="155">
        <v>1.3341795261390262E-2</v>
      </c>
      <c r="R17" s="155">
        <v>1.8737484087295031E-2</v>
      </c>
      <c r="S17" s="3"/>
      <c r="T17" s="144">
        <v>2.0832193439979538</v>
      </c>
      <c r="U17" s="6">
        <v>2.7693539331045289</v>
      </c>
      <c r="V17" s="166"/>
      <c r="W17" s="3"/>
      <c r="X17" s="172"/>
      <c r="Y17" s="172"/>
      <c r="Z17" s="172"/>
      <c r="AA17" s="172"/>
      <c r="AB17" s="172"/>
      <c r="AC17" s="134"/>
      <c r="AD17" s="134"/>
      <c r="AE17" s="134"/>
      <c r="AF17" s="134"/>
      <c r="AG17" s="134"/>
      <c r="AH17" s="134"/>
      <c r="AJ17" s="134"/>
      <c r="AK17" s="134"/>
      <c r="AL17" s="134"/>
      <c r="AM17" s="134"/>
      <c r="AN17" s="134"/>
      <c r="AP17" s="134"/>
      <c r="AQ17" s="134"/>
      <c r="AR17" s="134"/>
      <c r="AS17" s="134"/>
      <c r="AT17" s="134"/>
    </row>
    <row r="18" spans="1:46" x14ac:dyDescent="0.25">
      <c r="A18">
        <f t="shared" si="1"/>
        <v>13</v>
      </c>
      <c r="B18" s="11" t="s">
        <v>133</v>
      </c>
      <c r="C18" s="119">
        <v>1.4189270336830238</v>
      </c>
      <c r="D18" s="196">
        <v>2.0151392344655013</v>
      </c>
      <c r="E18" s="155">
        <f t="shared" si="0"/>
        <v>1.4201852432361692</v>
      </c>
      <c r="F18" s="162">
        <v>0.48423132598550128</v>
      </c>
      <c r="G18" s="163">
        <v>0.64371902604207309</v>
      </c>
      <c r="H18" s="4"/>
      <c r="I18" s="155">
        <v>6.7233142920022984E-2</v>
      </c>
      <c r="J18" s="155">
        <v>0.1025490945906386</v>
      </c>
      <c r="K18" s="155">
        <v>3.7903784307267145E-2</v>
      </c>
      <c r="L18" s="155">
        <v>4.9347818429442795E-2</v>
      </c>
      <c r="M18" s="155">
        <v>1.3692008995461151E-2</v>
      </c>
      <c r="N18" s="155">
        <v>2.8530231072269058E-2</v>
      </c>
      <c r="O18" s="169">
        <v>2.5253249271084866E-3</v>
      </c>
      <c r="P18" s="169">
        <v>3.8296263515892074E-3</v>
      </c>
      <c r="Q18" s="155">
        <v>1.311202469018617E-2</v>
      </c>
      <c r="R18" s="155">
        <v>2.0841418737337573E-2</v>
      </c>
      <c r="S18" s="3"/>
      <c r="T18" s="144">
        <v>1.3667485191701163</v>
      </c>
      <c r="U18" s="6">
        <v>1.816904397529572</v>
      </c>
      <c r="V18" s="166"/>
      <c r="W18" s="3"/>
      <c r="X18" s="172"/>
      <c r="Y18" s="172"/>
      <c r="Z18" s="172"/>
      <c r="AA18" s="172"/>
      <c r="AB18" s="172"/>
      <c r="AC18" s="134"/>
      <c r="AD18" s="134"/>
      <c r="AE18" s="134"/>
      <c r="AF18" s="134"/>
      <c r="AG18" s="134"/>
      <c r="AH18" s="134"/>
      <c r="AJ18" s="134"/>
      <c r="AK18" s="134"/>
      <c r="AL18" s="134"/>
      <c r="AM18" s="134"/>
      <c r="AN18" s="134"/>
      <c r="AP18" s="134"/>
      <c r="AQ18" s="134"/>
      <c r="AR18" s="134"/>
      <c r="AS18" s="134"/>
      <c r="AT18" s="134"/>
    </row>
    <row r="19" spans="1:46" x14ac:dyDescent="0.25">
      <c r="A19">
        <f t="shared" si="1"/>
        <v>14</v>
      </c>
      <c r="B19" s="11" t="s">
        <v>134</v>
      </c>
      <c r="C19" s="119">
        <v>1.10107556854338</v>
      </c>
      <c r="D19" s="196">
        <v>1.1596028511722187</v>
      </c>
      <c r="E19" s="155">
        <f t="shared" si="0"/>
        <v>1.0531546465119237</v>
      </c>
      <c r="F19" s="162">
        <v>4.753465902995016E-2</v>
      </c>
      <c r="G19" s="163">
        <v>6.3190799049869267E-2</v>
      </c>
      <c r="H19" s="4"/>
      <c r="I19" s="155">
        <v>1.4915458181995711E-2</v>
      </c>
      <c r="J19" s="155">
        <v>1.8382255208322717E-2</v>
      </c>
      <c r="K19" s="155">
        <v>4.0090105561878192E-3</v>
      </c>
      <c r="L19" s="155">
        <v>5.1324163144121915E-3</v>
      </c>
      <c r="M19" s="155">
        <v>1.9467457519423887E-3</v>
      </c>
      <c r="N19" s="155">
        <v>3.4033426079930892E-3</v>
      </c>
      <c r="O19" s="169">
        <v>8.7485216727957698E-4</v>
      </c>
      <c r="P19" s="169">
        <v>1.0028891614967286E-3</v>
      </c>
      <c r="Q19" s="155">
        <v>8.0848497065859337E-3</v>
      </c>
      <c r="R19" s="155">
        <v>8.843607124420701E-3</v>
      </c>
      <c r="S19" s="3"/>
      <c r="T19" s="144">
        <v>2.6567963517582913</v>
      </c>
      <c r="U19" s="6">
        <v>3.5318457690967051</v>
      </c>
      <c r="V19" s="166"/>
      <c r="W19" s="3"/>
      <c r="X19" s="172"/>
      <c r="Y19" s="172"/>
      <c r="Z19" s="172"/>
      <c r="AA19" s="172"/>
      <c r="AB19" s="172"/>
      <c r="AC19" s="134"/>
      <c r="AD19" s="134"/>
      <c r="AE19" s="134"/>
      <c r="AF19" s="134"/>
      <c r="AG19" s="134"/>
      <c r="AH19" s="134"/>
      <c r="AJ19" s="134"/>
      <c r="AK19" s="134"/>
      <c r="AL19" s="134"/>
      <c r="AM19" s="134"/>
      <c r="AN19" s="134"/>
      <c r="AP19" s="134"/>
      <c r="AQ19" s="134"/>
      <c r="AR19" s="134"/>
      <c r="AS19" s="134"/>
      <c r="AT19" s="134"/>
    </row>
    <row r="20" spans="1:46" x14ac:dyDescent="0.25">
      <c r="A20">
        <f t="shared" si="1"/>
        <v>15</v>
      </c>
      <c r="B20" s="11" t="s">
        <v>135</v>
      </c>
      <c r="C20" s="119">
        <v>1.1899904623952351</v>
      </c>
      <c r="D20" s="196">
        <v>1.7455260521330294</v>
      </c>
      <c r="E20" s="155">
        <f t="shared" si="0"/>
        <v>1.4668403716611322</v>
      </c>
      <c r="F20" s="162">
        <v>0.45119461644330577</v>
      </c>
      <c r="G20" s="163">
        <v>0.59980125916307991</v>
      </c>
      <c r="H20" s="4"/>
      <c r="I20" s="155">
        <v>5.3949058365865575E-2</v>
      </c>
      <c r="J20" s="155">
        <v>8.6855577240753212E-2</v>
      </c>
      <c r="K20" s="155">
        <v>3.4413446181722658E-2</v>
      </c>
      <c r="L20" s="155">
        <v>4.5076710430086785E-2</v>
      </c>
      <c r="M20" s="155">
        <v>7.8480451078864946E-3</v>
      </c>
      <c r="N20" s="155">
        <v>2.1673928646132413E-2</v>
      </c>
      <c r="O20" s="169">
        <v>1.1617056656130003E-3</v>
      </c>
      <c r="P20" s="169">
        <v>2.3770210518023198E-3</v>
      </c>
      <c r="Q20" s="155">
        <v>1.0525861410643411E-2</v>
      </c>
      <c r="R20" s="155">
        <v>1.7727917112731677E-2</v>
      </c>
      <c r="S20" s="3"/>
      <c r="T20" s="144">
        <v>1.1579256060045049</v>
      </c>
      <c r="U20" s="6">
        <v>1.5393030217725214</v>
      </c>
      <c r="V20" s="166"/>
      <c r="W20" s="3"/>
      <c r="X20" s="172"/>
      <c r="Y20" s="172"/>
      <c r="Z20" s="172"/>
      <c r="AA20" s="172"/>
      <c r="AB20" s="172"/>
      <c r="AC20" s="134"/>
      <c r="AD20" s="134"/>
      <c r="AE20" s="134"/>
      <c r="AF20" s="134"/>
      <c r="AG20" s="134"/>
      <c r="AH20" s="134"/>
      <c r="AJ20" s="134"/>
      <c r="AK20" s="134"/>
      <c r="AL20" s="134"/>
      <c r="AM20" s="134"/>
      <c r="AN20" s="134"/>
      <c r="AP20" s="134"/>
      <c r="AQ20" s="134"/>
      <c r="AR20" s="134"/>
      <c r="AS20" s="134"/>
      <c r="AT20" s="134"/>
    </row>
    <row r="21" spans="1:46" x14ac:dyDescent="0.25">
      <c r="A21">
        <f t="shared" si="1"/>
        <v>16</v>
      </c>
      <c r="B21" s="11" t="s">
        <v>4</v>
      </c>
      <c r="C21" s="119">
        <v>1.3596430287390664</v>
      </c>
      <c r="D21" s="196">
        <v>1.7627007249418289</v>
      </c>
      <c r="E21" s="155">
        <f t="shared" si="0"/>
        <v>1.2964437633137857</v>
      </c>
      <c r="F21" s="162">
        <v>0.32735519740249719</v>
      </c>
      <c r="G21" s="163">
        <v>0.43517376413614245</v>
      </c>
      <c r="H21" s="4"/>
      <c r="I21" s="155">
        <v>4.6996881003291413E-2</v>
      </c>
      <c r="J21" s="155">
        <v>7.0871545260220561E-2</v>
      </c>
      <c r="K21" s="155">
        <v>2.5755870845149815E-2</v>
      </c>
      <c r="L21" s="155">
        <v>3.349238818326581E-2</v>
      </c>
      <c r="M21" s="155">
        <v>5.9469310088936418E-3</v>
      </c>
      <c r="N21" s="155">
        <v>1.5978023291430075E-2</v>
      </c>
      <c r="O21" s="169">
        <v>7.3225397794421138E-4</v>
      </c>
      <c r="P21" s="169">
        <v>1.6140016620996736E-3</v>
      </c>
      <c r="Q21" s="155">
        <v>1.4561825171303746E-2</v>
      </c>
      <c r="R21" s="155">
        <v>1.9787132123424998E-2</v>
      </c>
      <c r="S21" s="3"/>
      <c r="T21" s="144">
        <v>1.8583714878169795</v>
      </c>
      <c r="U21" s="6">
        <v>2.4704495970542033</v>
      </c>
      <c r="V21" s="166"/>
      <c r="W21" s="3"/>
      <c r="X21" s="172"/>
      <c r="Y21" s="172"/>
      <c r="Z21" s="172"/>
      <c r="AA21" s="172"/>
      <c r="AB21" s="172"/>
      <c r="AC21" s="134"/>
      <c r="AD21" s="134"/>
      <c r="AE21" s="134"/>
      <c r="AF21" s="134"/>
      <c r="AG21" s="134"/>
      <c r="AH21" s="134"/>
      <c r="AJ21" s="134"/>
      <c r="AK21" s="134"/>
      <c r="AL21" s="134"/>
      <c r="AM21" s="134"/>
      <c r="AN21" s="134"/>
      <c r="AP21" s="134"/>
      <c r="AQ21" s="134"/>
      <c r="AR21" s="134"/>
      <c r="AS21" s="134"/>
      <c r="AT21" s="134"/>
    </row>
    <row r="22" spans="1:46" x14ac:dyDescent="0.25">
      <c r="A22">
        <f t="shared" si="1"/>
        <v>17</v>
      </c>
      <c r="B22" s="11" t="s">
        <v>18</v>
      </c>
      <c r="C22" s="119">
        <v>1.1275682739883166</v>
      </c>
      <c r="D22" s="196">
        <v>1.5730797035976762</v>
      </c>
      <c r="E22" s="155">
        <f t="shared" si="0"/>
        <v>1.3951081631922324</v>
      </c>
      <c r="F22" s="162">
        <v>0.361835249292632</v>
      </c>
      <c r="G22" s="163">
        <v>0.48101025638584521</v>
      </c>
      <c r="H22" s="4"/>
      <c r="I22" s="155">
        <v>5.3317300346947843E-2</v>
      </c>
      <c r="J22" s="155">
        <v>7.9706663221679297E-2</v>
      </c>
      <c r="K22" s="155">
        <v>3.0009466450945554E-2</v>
      </c>
      <c r="L22" s="155">
        <v>3.8560864754397718E-2</v>
      </c>
      <c r="M22" s="155">
        <v>2.182824240757704E-3</v>
      </c>
      <c r="N22" s="155">
        <v>1.3270483167602891E-2</v>
      </c>
      <c r="O22" s="169">
        <v>2.3857569294968167E-4</v>
      </c>
      <c r="P22" s="169">
        <v>1.2131971305843201E-3</v>
      </c>
      <c r="Q22" s="155">
        <v>2.0886433962294913E-2</v>
      </c>
      <c r="R22" s="155">
        <v>2.6662118169094327E-2</v>
      </c>
      <c r="S22" s="3"/>
      <c r="T22" s="144">
        <v>1.1563092371040886</v>
      </c>
      <c r="U22" s="6">
        <v>1.5371542813700227</v>
      </c>
      <c r="V22" s="166"/>
      <c r="W22" s="3"/>
      <c r="X22" s="172"/>
      <c r="Y22" s="172"/>
      <c r="Z22" s="172"/>
      <c r="AA22" s="172"/>
      <c r="AB22" s="172"/>
      <c r="AC22" s="134"/>
      <c r="AD22" s="134"/>
      <c r="AE22" s="134"/>
      <c r="AF22" s="134"/>
      <c r="AG22" s="134"/>
      <c r="AH22" s="134"/>
      <c r="AJ22" s="134"/>
      <c r="AK22" s="134"/>
      <c r="AL22" s="134"/>
      <c r="AM22" s="134"/>
      <c r="AN22" s="134"/>
      <c r="AP22" s="134"/>
      <c r="AQ22" s="134"/>
      <c r="AR22" s="134"/>
      <c r="AS22" s="134"/>
      <c r="AT22" s="134"/>
    </row>
    <row r="23" spans="1:46" x14ac:dyDescent="0.25">
      <c r="A23">
        <f t="shared" si="1"/>
        <v>18</v>
      </c>
      <c r="B23" s="11" t="s">
        <v>136</v>
      </c>
      <c r="C23" s="119">
        <v>1.1399945145719323</v>
      </c>
      <c r="D23" s="196">
        <v>1.7775988404101903</v>
      </c>
      <c r="E23" s="155">
        <f t="shared" si="0"/>
        <v>1.5593047314597634</v>
      </c>
      <c r="F23" s="162">
        <v>0.51784916133810432</v>
      </c>
      <c r="G23" s="163">
        <v>0.68840931985315201</v>
      </c>
      <c r="H23" s="4"/>
      <c r="I23" s="155">
        <v>7.3476648742248643E-2</v>
      </c>
      <c r="J23" s="155">
        <v>0.11124441586732087</v>
      </c>
      <c r="K23" s="155">
        <v>3.8751777660509502E-2</v>
      </c>
      <c r="L23" s="155">
        <v>5.0990315637027682E-2</v>
      </c>
      <c r="M23" s="155">
        <v>2.5028027679817429E-2</v>
      </c>
      <c r="N23" s="155">
        <v>4.0896395639253375E-2</v>
      </c>
      <c r="O23" s="169">
        <v>2.7804134642947574E-4</v>
      </c>
      <c r="P23" s="169">
        <v>1.6728941007918803E-3</v>
      </c>
      <c r="Q23" s="155">
        <v>9.4188020554922605E-3</v>
      </c>
      <c r="R23" s="155">
        <v>1.7684810490247949E-2</v>
      </c>
      <c r="S23" s="3"/>
      <c r="T23" s="144">
        <v>1.1032754569928693</v>
      </c>
      <c r="U23" s="6">
        <v>1.4666531562909202</v>
      </c>
      <c r="V23" s="166"/>
      <c r="W23" s="3"/>
      <c r="X23" s="172"/>
      <c r="Y23" s="172"/>
      <c r="Z23" s="172"/>
      <c r="AA23" s="172"/>
      <c r="AB23" s="172"/>
      <c r="AC23" s="134"/>
      <c r="AD23" s="134"/>
      <c r="AE23" s="134"/>
      <c r="AF23" s="134"/>
      <c r="AG23" s="134"/>
      <c r="AH23" s="134"/>
      <c r="AJ23" s="134"/>
      <c r="AK23" s="134"/>
      <c r="AL23" s="134"/>
      <c r="AM23" s="134"/>
      <c r="AN23" s="134"/>
      <c r="AP23" s="134"/>
      <c r="AQ23" s="134"/>
      <c r="AR23" s="134"/>
      <c r="AS23" s="134"/>
      <c r="AT23" s="134"/>
    </row>
    <row r="24" spans="1:46" x14ac:dyDescent="0.25">
      <c r="A24">
        <f t="shared" si="1"/>
        <v>19</v>
      </c>
      <c r="B24" s="11" t="s">
        <v>137</v>
      </c>
      <c r="C24" s="119">
        <v>1.3238188813163352</v>
      </c>
      <c r="D24" s="196">
        <v>2.1155297641043669</v>
      </c>
      <c r="E24" s="155">
        <f t="shared" si="0"/>
        <v>1.5980507560073447</v>
      </c>
      <c r="F24" s="162">
        <v>0.64301134741365351</v>
      </c>
      <c r="G24" s="163">
        <v>0.85479525193607886</v>
      </c>
      <c r="H24" s="4"/>
      <c r="I24" s="155">
        <v>8.1943867370346049E-2</v>
      </c>
      <c r="J24" s="155">
        <v>0.12883996113855048</v>
      </c>
      <c r="K24" s="155">
        <v>4.0778467551374223E-2</v>
      </c>
      <c r="L24" s="155">
        <v>5.597501392468409E-2</v>
      </c>
      <c r="M24" s="155">
        <v>2.8885343884189084E-2</v>
      </c>
      <c r="N24" s="155">
        <v>4.8589036435292117E-2</v>
      </c>
      <c r="O24" s="169">
        <v>1.0946946765405276E-3</v>
      </c>
      <c r="P24" s="169">
        <v>2.8266780724557424E-3</v>
      </c>
      <c r="Q24" s="155">
        <v>1.1185361258242228E-2</v>
      </c>
      <c r="R24" s="155">
        <v>2.1449232706118582E-2</v>
      </c>
      <c r="S24" s="3"/>
      <c r="T24" s="144">
        <v>1.2180610735404953</v>
      </c>
      <c r="U24" s="6">
        <v>1.6192448646800817</v>
      </c>
      <c r="V24" s="166"/>
      <c r="W24" s="3"/>
      <c r="X24" s="172"/>
      <c r="Y24" s="172"/>
      <c r="Z24" s="172"/>
      <c r="AA24" s="172"/>
      <c r="AB24" s="172"/>
      <c r="AC24" s="134"/>
      <c r="AD24" s="134"/>
      <c r="AE24" s="134"/>
      <c r="AF24" s="134"/>
      <c r="AG24" s="134"/>
      <c r="AH24" s="134"/>
      <c r="AJ24" s="134"/>
      <c r="AK24" s="134"/>
      <c r="AL24" s="134"/>
      <c r="AM24" s="134"/>
      <c r="AN24" s="134"/>
      <c r="AP24" s="134"/>
      <c r="AQ24" s="134"/>
      <c r="AR24" s="134"/>
      <c r="AS24" s="134"/>
      <c r="AT24" s="134"/>
    </row>
    <row r="25" spans="1:46" x14ac:dyDescent="0.25">
      <c r="A25">
        <f t="shared" si="1"/>
        <v>20</v>
      </c>
      <c r="B25" s="11" t="s">
        <v>138</v>
      </c>
      <c r="C25" s="119">
        <v>1.6421301215443251</v>
      </c>
      <c r="D25" s="196">
        <v>2.2645262110886941</v>
      </c>
      <c r="E25" s="155">
        <f t="shared" si="0"/>
        <v>1.379017522045721</v>
      </c>
      <c r="F25" s="162">
        <v>0.50549734361812826</v>
      </c>
      <c r="G25" s="163">
        <v>0.67198927504012751</v>
      </c>
      <c r="H25" s="4"/>
      <c r="I25" s="155">
        <v>8.6045360950886926E-2</v>
      </c>
      <c r="J25" s="155">
        <v>0.12291228549466782</v>
      </c>
      <c r="K25" s="155">
        <v>3.3736838720369762E-2</v>
      </c>
      <c r="L25" s="155">
        <v>4.5683461209655454E-2</v>
      </c>
      <c r="M25" s="155">
        <v>3.6152141999578606E-2</v>
      </c>
      <c r="N25" s="155">
        <v>5.1642015209613042E-2</v>
      </c>
      <c r="O25" s="169">
        <v>1.5634728782601001E-3</v>
      </c>
      <c r="P25" s="169">
        <v>2.9250553905242611E-3</v>
      </c>
      <c r="Q25" s="155">
        <v>1.4592907352678482E-2</v>
      </c>
      <c r="R25" s="155">
        <v>2.266175368487508E-2</v>
      </c>
      <c r="S25" s="3"/>
      <c r="T25" s="144">
        <v>1.6856254634600558</v>
      </c>
      <c r="U25" s="6">
        <v>2.2408074888626972</v>
      </c>
      <c r="V25" s="166"/>
      <c r="W25" s="3"/>
      <c r="X25" s="172"/>
      <c r="Y25" s="172"/>
      <c r="Z25" s="172"/>
      <c r="AA25" s="172"/>
      <c r="AB25" s="172"/>
      <c r="AC25" s="134"/>
      <c r="AD25" s="134"/>
      <c r="AE25" s="134"/>
      <c r="AF25" s="134"/>
      <c r="AG25" s="134"/>
      <c r="AH25" s="134"/>
      <c r="AJ25" s="134"/>
      <c r="AK25" s="134"/>
      <c r="AL25" s="134"/>
      <c r="AM25" s="134"/>
      <c r="AN25" s="134"/>
      <c r="AP25" s="134"/>
      <c r="AQ25" s="134"/>
      <c r="AR25" s="134"/>
      <c r="AS25" s="134"/>
      <c r="AT25" s="134"/>
    </row>
    <row r="26" spans="1:46" x14ac:dyDescent="0.25">
      <c r="A26">
        <f t="shared" si="1"/>
        <v>21</v>
      </c>
      <c r="B26" s="11" t="s">
        <v>139</v>
      </c>
      <c r="C26" s="119">
        <v>1.5399394204925441</v>
      </c>
      <c r="D26" s="196">
        <v>2.2181701881553217</v>
      </c>
      <c r="E26" s="155">
        <f t="shared" si="0"/>
        <v>1.4404269146158022</v>
      </c>
      <c r="F26" s="162">
        <v>0.55084512446824663</v>
      </c>
      <c r="G26" s="163">
        <v>0.73227291997490729</v>
      </c>
      <c r="H26" s="4"/>
      <c r="I26" s="155">
        <v>8.6354213848579622E-2</v>
      </c>
      <c r="J26" s="155">
        <v>0.12652844205267838</v>
      </c>
      <c r="K26" s="155">
        <v>4.2721820994929022E-2</v>
      </c>
      <c r="L26" s="155">
        <v>5.57401658688777E-2</v>
      </c>
      <c r="M26" s="155">
        <v>2.8818389045215196E-2</v>
      </c>
      <c r="N26" s="155">
        <v>4.5697846957509537E-2</v>
      </c>
      <c r="O26" s="169">
        <v>1.5267363203192409E-3</v>
      </c>
      <c r="P26" s="169">
        <v>3.0104653604633843E-3</v>
      </c>
      <c r="Q26" s="155">
        <v>1.3287267488116108E-2</v>
      </c>
      <c r="R26" s="155">
        <v>2.2079963865827789E-2</v>
      </c>
      <c r="S26" s="3"/>
      <c r="T26" s="144">
        <v>1.515097284445329</v>
      </c>
      <c r="U26" s="6">
        <v>2.0141137013744936</v>
      </c>
      <c r="V26" s="166"/>
      <c r="W26" s="3"/>
      <c r="X26" s="172"/>
      <c r="Y26" s="172"/>
      <c r="Z26" s="172"/>
      <c r="AA26" s="172"/>
      <c r="AB26" s="172"/>
      <c r="AC26" s="134"/>
      <c r="AD26" s="134"/>
      <c r="AE26" s="134"/>
      <c r="AF26" s="134"/>
      <c r="AG26" s="134"/>
      <c r="AH26" s="134"/>
      <c r="AJ26" s="134"/>
      <c r="AK26" s="134"/>
      <c r="AL26" s="134"/>
      <c r="AM26" s="134"/>
      <c r="AN26" s="134"/>
      <c r="AP26" s="134"/>
      <c r="AQ26" s="134"/>
      <c r="AR26" s="134"/>
      <c r="AS26" s="134"/>
      <c r="AT26" s="134"/>
    </row>
    <row r="27" spans="1:46" x14ac:dyDescent="0.25">
      <c r="A27">
        <f t="shared" si="1"/>
        <v>22</v>
      </c>
      <c r="B27" s="11" t="s">
        <v>140</v>
      </c>
      <c r="C27" s="119">
        <v>1.64302675765159</v>
      </c>
      <c r="D27" s="196">
        <v>2.3311220433907298</v>
      </c>
      <c r="E27" s="155">
        <f t="shared" si="0"/>
        <v>1.4187973704838792</v>
      </c>
      <c r="F27" s="162">
        <v>0.55885688380838716</v>
      </c>
      <c r="G27" s="163">
        <v>0.7429234533926341</v>
      </c>
      <c r="H27" s="4"/>
      <c r="I27" s="155">
        <v>0.10231992754838468</v>
      </c>
      <c r="J27" s="155">
        <v>0.14307846926230688</v>
      </c>
      <c r="K27" s="155">
        <v>3.8191324749877451E-2</v>
      </c>
      <c r="L27" s="155">
        <v>5.139901476187686E-2</v>
      </c>
      <c r="M27" s="155">
        <v>4.3520266607085308E-2</v>
      </c>
      <c r="N27" s="155">
        <v>6.0645227562936339E-2</v>
      </c>
      <c r="O27" s="169">
        <v>1.8154194320908021E-3</v>
      </c>
      <c r="P27" s="169">
        <v>3.3207285488619062E-3</v>
      </c>
      <c r="Q27" s="155">
        <v>1.8792916759331126E-2</v>
      </c>
      <c r="R27" s="155">
        <v>2.7713498388631703E-2</v>
      </c>
      <c r="S27" s="3"/>
      <c r="T27" s="144">
        <v>1.5371335960702968</v>
      </c>
      <c r="U27" s="6">
        <v>2.0434079504153093</v>
      </c>
      <c r="V27" s="166"/>
      <c r="W27" s="3"/>
      <c r="X27" s="172"/>
      <c r="Y27" s="172"/>
      <c r="Z27" s="172"/>
      <c r="AA27" s="172"/>
      <c r="AB27" s="172"/>
      <c r="AC27" s="134"/>
      <c r="AD27" s="134"/>
      <c r="AE27" s="134"/>
      <c r="AF27" s="134"/>
      <c r="AG27" s="134"/>
      <c r="AH27" s="134"/>
      <c r="AJ27" s="134"/>
      <c r="AK27" s="134"/>
      <c r="AL27" s="134"/>
      <c r="AM27" s="134"/>
      <c r="AN27" s="134"/>
      <c r="AP27" s="134"/>
      <c r="AQ27" s="134"/>
      <c r="AR27" s="134"/>
      <c r="AS27" s="134"/>
      <c r="AT27" s="134"/>
    </row>
    <row r="28" spans="1:46" x14ac:dyDescent="0.25">
      <c r="A28">
        <f t="shared" si="1"/>
        <v>23</v>
      </c>
      <c r="B28" s="11" t="s">
        <v>141</v>
      </c>
      <c r="C28" s="119">
        <v>1.6375633992522505</v>
      </c>
      <c r="D28" s="196">
        <v>2.0980099882891086</v>
      </c>
      <c r="E28" s="155">
        <f t="shared" si="0"/>
        <v>1.2811778702718373</v>
      </c>
      <c r="F28" s="162">
        <v>0.37396527958032272</v>
      </c>
      <c r="G28" s="163">
        <v>0.49713546527595925</v>
      </c>
      <c r="H28" s="4"/>
      <c r="I28" s="155">
        <v>8.2134931309123332E-2</v>
      </c>
      <c r="J28" s="155">
        <v>0.10940896136752229</v>
      </c>
      <c r="K28" s="155">
        <v>2.7274952030751202E-2</v>
      </c>
      <c r="L28" s="155">
        <v>3.6113024229645498E-2</v>
      </c>
      <c r="M28" s="155">
        <v>3.6776020214234297E-2</v>
      </c>
      <c r="N28" s="155">
        <v>4.8235377694123019E-2</v>
      </c>
      <c r="O28" s="169">
        <v>4.3515334658125911E-3</v>
      </c>
      <c r="P28" s="169">
        <v>5.3588277499447808E-3</v>
      </c>
      <c r="Q28" s="155">
        <v>1.3732425598325222E-2</v>
      </c>
      <c r="R28" s="155">
        <v>1.9701731693809014E-2</v>
      </c>
      <c r="S28" s="3"/>
      <c r="T28" s="144">
        <v>2.1187219156235972</v>
      </c>
      <c r="U28" s="6">
        <v>2.8165497248727229</v>
      </c>
      <c r="V28" s="166"/>
      <c r="W28" s="3"/>
      <c r="X28" s="172"/>
      <c r="Y28" s="172"/>
      <c r="Z28" s="172"/>
      <c r="AA28" s="172"/>
      <c r="AB28" s="172"/>
      <c r="AC28" s="134"/>
      <c r="AD28" s="134"/>
      <c r="AE28" s="134"/>
      <c r="AF28" s="134"/>
      <c r="AG28" s="134"/>
      <c r="AH28" s="134"/>
      <c r="AJ28" s="134"/>
      <c r="AK28" s="134"/>
      <c r="AL28" s="134"/>
      <c r="AM28" s="134"/>
      <c r="AN28" s="134"/>
      <c r="AP28" s="134"/>
      <c r="AQ28" s="134"/>
      <c r="AR28" s="134"/>
      <c r="AS28" s="134"/>
      <c r="AT28" s="134"/>
    </row>
    <row r="29" spans="1:46" x14ac:dyDescent="0.25">
      <c r="A29">
        <f t="shared" si="1"/>
        <v>24</v>
      </c>
      <c r="B29" s="11" t="s">
        <v>142</v>
      </c>
      <c r="C29" s="119">
        <v>1.4518620547502976</v>
      </c>
      <c r="D29" s="196">
        <v>1.8691409719871199</v>
      </c>
      <c r="E29" s="155">
        <f t="shared" si="0"/>
        <v>1.2874094793451911</v>
      </c>
      <c r="F29" s="162">
        <v>0.33890538156413941</v>
      </c>
      <c r="G29" s="163">
        <v>0.45052814725872781</v>
      </c>
      <c r="H29" s="4"/>
      <c r="I29" s="155">
        <v>7.4142271114573541E-2</v>
      </c>
      <c r="J29" s="155">
        <v>9.8859313226361809E-2</v>
      </c>
      <c r="K29" s="155">
        <v>2.5606882792555189E-2</v>
      </c>
      <c r="L29" s="155">
        <v>3.361637028887858E-2</v>
      </c>
      <c r="M29" s="155">
        <v>3.4096760585057909E-2</v>
      </c>
      <c r="N29" s="155">
        <v>4.4481783289732305E-2</v>
      </c>
      <c r="O29" s="169">
        <v>2.3119465875709633E-3</v>
      </c>
      <c r="P29" s="169">
        <v>3.2248052735278582E-3</v>
      </c>
      <c r="Q29" s="155">
        <v>1.2126681149389508E-2</v>
      </c>
      <c r="R29" s="155">
        <v>1.7536354374223094E-2</v>
      </c>
      <c r="S29" s="3"/>
      <c r="T29" s="144">
        <v>1.5824320433943666</v>
      </c>
      <c r="U29" s="6">
        <v>2.1036260132044595</v>
      </c>
      <c r="V29" s="166"/>
      <c r="W29" s="3"/>
      <c r="X29" s="172"/>
      <c r="Y29" s="172"/>
      <c r="Z29" s="172"/>
      <c r="AA29" s="172"/>
      <c r="AB29" s="172"/>
      <c r="AC29" s="134"/>
      <c r="AD29" s="134"/>
      <c r="AE29" s="134"/>
      <c r="AF29" s="134"/>
      <c r="AG29" s="134"/>
      <c r="AH29" s="134"/>
      <c r="AJ29" s="134"/>
      <c r="AK29" s="134"/>
      <c r="AL29" s="134"/>
      <c r="AM29" s="134"/>
      <c r="AN29" s="134"/>
      <c r="AP29" s="134"/>
      <c r="AQ29" s="134"/>
      <c r="AR29" s="134"/>
      <c r="AS29" s="134"/>
      <c r="AT29" s="134"/>
    </row>
    <row r="30" spans="1:46" x14ac:dyDescent="0.25">
      <c r="A30">
        <f t="shared" si="1"/>
        <v>25</v>
      </c>
      <c r="B30" s="11" t="s">
        <v>143</v>
      </c>
      <c r="C30" s="119">
        <v>1.1822146393317159</v>
      </c>
      <c r="D30" s="196">
        <v>1.4671172057718942</v>
      </c>
      <c r="E30" s="155">
        <f t="shared" si="0"/>
        <v>1.2409905587036449</v>
      </c>
      <c r="F30" s="162">
        <v>0.23139202341538989</v>
      </c>
      <c r="G30" s="163">
        <v>0.30760390737570581</v>
      </c>
      <c r="H30" s="4"/>
      <c r="I30" s="155">
        <v>5.0560233815565146E-2</v>
      </c>
      <c r="J30" s="155">
        <v>6.7436113333009945E-2</v>
      </c>
      <c r="K30" s="155">
        <v>1.4006130406442994E-2</v>
      </c>
      <c r="L30" s="155">
        <v>1.9474711370666434E-2</v>
      </c>
      <c r="M30" s="155">
        <v>2.654535539818725E-2</v>
      </c>
      <c r="N30" s="155">
        <v>3.3635863686249323E-2</v>
      </c>
      <c r="O30" s="169">
        <v>5.6664764658211086E-4</v>
      </c>
      <c r="P30" s="169">
        <v>1.1899136964188077E-3</v>
      </c>
      <c r="Q30" s="155">
        <v>9.442100364352779E-3</v>
      </c>
      <c r="R30" s="155">
        <v>1.3135624579675393E-2</v>
      </c>
      <c r="S30" s="3"/>
      <c r="T30" s="144">
        <v>1.3109648886678931</v>
      </c>
      <c r="U30" s="6">
        <v>1.7427477241196048</v>
      </c>
      <c r="V30" s="166"/>
      <c r="W30" s="3"/>
      <c r="X30" s="172"/>
      <c r="Y30" s="172"/>
      <c r="Z30" s="172"/>
      <c r="AA30" s="172"/>
      <c r="AB30" s="172"/>
      <c r="AC30" s="134"/>
      <c r="AD30" s="134"/>
      <c r="AE30" s="134"/>
      <c r="AF30" s="134"/>
      <c r="AG30" s="134"/>
      <c r="AH30" s="134"/>
      <c r="AJ30" s="134"/>
      <c r="AK30" s="134"/>
      <c r="AL30" s="134"/>
      <c r="AM30" s="134"/>
      <c r="AN30" s="134"/>
      <c r="AP30" s="134"/>
      <c r="AQ30" s="134"/>
      <c r="AR30" s="134"/>
      <c r="AS30" s="134"/>
      <c r="AT30" s="134"/>
    </row>
    <row r="31" spans="1:46" x14ac:dyDescent="0.25">
      <c r="A31">
        <f t="shared" si="1"/>
        <v>26</v>
      </c>
      <c r="B31" s="11" t="s">
        <v>17</v>
      </c>
      <c r="C31" s="119">
        <v>1.5166322734436681</v>
      </c>
      <c r="D31" s="196">
        <v>1.8042291435835374</v>
      </c>
      <c r="E31" s="155">
        <f t="shared" si="0"/>
        <v>1.189628610161942</v>
      </c>
      <c r="F31" s="162">
        <v>0.23358028164190106</v>
      </c>
      <c r="G31" s="163">
        <v>0.31051289607326998</v>
      </c>
      <c r="H31" s="4"/>
      <c r="I31" s="155">
        <v>6.3761421902493398E-2</v>
      </c>
      <c r="J31" s="155">
        <v>8.0796895435490665E-2</v>
      </c>
      <c r="K31" s="155">
        <v>1.7053045891097143E-2</v>
      </c>
      <c r="L31" s="155">
        <v>2.2573342844081454E-2</v>
      </c>
      <c r="M31" s="155">
        <v>1.4135602599386912E-2</v>
      </c>
      <c r="N31" s="155">
        <v>2.1293165329786642E-2</v>
      </c>
      <c r="O31" s="169">
        <v>1.7546532815178653E-3</v>
      </c>
      <c r="P31" s="169">
        <v>2.3838135149168538E-3</v>
      </c>
      <c r="Q31" s="155">
        <v>3.081812013049149E-2</v>
      </c>
      <c r="R31" s="155">
        <v>3.4546573746705715E-2</v>
      </c>
      <c r="S31" s="3"/>
      <c r="T31" s="144">
        <v>2.7320947052329543</v>
      </c>
      <c r="U31" s="6">
        <v>3.6319445858401997</v>
      </c>
      <c r="V31" s="166"/>
      <c r="W31" s="3"/>
      <c r="X31" s="172"/>
      <c r="Y31" s="172"/>
      <c r="Z31" s="172"/>
      <c r="AA31" s="172"/>
      <c r="AB31" s="172"/>
      <c r="AC31" s="134"/>
      <c r="AD31" s="134"/>
      <c r="AE31" s="134"/>
      <c r="AF31" s="134"/>
      <c r="AG31" s="134"/>
      <c r="AH31" s="134"/>
      <c r="AJ31" s="134"/>
      <c r="AK31" s="134"/>
      <c r="AL31" s="134"/>
      <c r="AM31" s="134"/>
      <c r="AN31" s="134"/>
      <c r="AP31" s="134"/>
      <c r="AQ31" s="134"/>
      <c r="AR31" s="134"/>
      <c r="AS31" s="134"/>
      <c r="AT31" s="134"/>
    </row>
    <row r="32" spans="1:46" x14ac:dyDescent="0.25">
      <c r="A32">
        <f t="shared" si="1"/>
        <v>27</v>
      </c>
      <c r="B32" s="11" t="s">
        <v>144</v>
      </c>
      <c r="C32" s="119">
        <v>1.2124286109345761</v>
      </c>
      <c r="D32" s="196">
        <v>1.5095881570801388</v>
      </c>
      <c r="E32" s="155">
        <f t="shared" si="0"/>
        <v>1.2450944686273142</v>
      </c>
      <c r="F32" s="162">
        <v>0.24134689104058513</v>
      </c>
      <c r="G32" s="163">
        <v>0.32083753632159584</v>
      </c>
      <c r="H32" s="4"/>
      <c r="I32" s="155">
        <v>5.8508275635524964E-2</v>
      </c>
      <c r="J32" s="155">
        <v>7.61101834065597E-2</v>
      </c>
      <c r="K32" s="155">
        <v>1.9198177244917822E-2</v>
      </c>
      <c r="L32" s="155">
        <v>2.4902025608565741E-2</v>
      </c>
      <c r="M32" s="155">
        <v>2.7484682034604954E-2</v>
      </c>
      <c r="N32" s="155">
        <v>3.4880235718619597E-2</v>
      </c>
      <c r="O32" s="169">
        <v>2.6255656333133938E-3</v>
      </c>
      <c r="P32" s="169">
        <v>3.2756456196454922E-3</v>
      </c>
      <c r="Q32" s="155">
        <v>9.1998507226887759E-3</v>
      </c>
      <c r="R32" s="155">
        <v>1.3052276459728868E-2</v>
      </c>
      <c r="S32" s="3"/>
      <c r="T32" s="144">
        <v>1.3673647668285143</v>
      </c>
      <c r="U32" s="6">
        <v>1.8177236141336552</v>
      </c>
      <c r="V32" s="166"/>
      <c r="W32" s="3"/>
      <c r="X32" s="172"/>
      <c r="Y32" s="172"/>
      <c r="Z32" s="172"/>
      <c r="AA32" s="172"/>
      <c r="AB32" s="172"/>
      <c r="AC32" s="134"/>
      <c r="AD32" s="134"/>
      <c r="AE32" s="134"/>
      <c r="AF32" s="134"/>
      <c r="AG32" s="134"/>
      <c r="AH32" s="134"/>
      <c r="AJ32" s="134"/>
      <c r="AK32" s="134"/>
      <c r="AL32" s="134"/>
      <c r="AM32" s="134"/>
      <c r="AN32" s="134"/>
      <c r="AP32" s="134"/>
      <c r="AQ32" s="134"/>
      <c r="AR32" s="134"/>
      <c r="AS32" s="134"/>
      <c r="AT32" s="134"/>
    </row>
    <row r="33" spans="1:46" x14ac:dyDescent="0.25">
      <c r="A33">
        <f t="shared" si="1"/>
        <v>28</v>
      </c>
      <c r="B33" s="11" t="s">
        <v>145</v>
      </c>
      <c r="C33" s="119">
        <v>1.2034985540898082</v>
      </c>
      <c r="D33" s="196">
        <v>1.5244757184976407</v>
      </c>
      <c r="E33" s="155">
        <f t="shared" si="0"/>
        <v>1.2667034067611189</v>
      </c>
      <c r="F33" s="162">
        <v>0.26069107228648652</v>
      </c>
      <c r="G33" s="163">
        <v>0.34655296785806322</v>
      </c>
      <c r="H33" s="4"/>
      <c r="I33" s="155">
        <v>5.6574851158858644E-2</v>
      </c>
      <c r="J33" s="155">
        <v>7.5587568461056104E-2</v>
      </c>
      <c r="K33" s="155">
        <v>1.7542485983609503E-2</v>
      </c>
      <c r="L33" s="155">
        <v>2.3703503180341721E-2</v>
      </c>
      <c r="M33" s="155">
        <v>2.7248456986846012E-2</v>
      </c>
      <c r="N33" s="155">
        <v>3.5236771283025804E-2</v>
      </c>
      <c r="O33" s="169">
        <v>2.4944815933474274E-3</v>
      </c>
      <c r="P33" s="169">
        <v>3.1966661045222619E-3</v>
      </c>
      <c r="Q33" s="155">
        <v>9.2894265950556835E-3</v>
      </c>
      <c r="R33" s="155">
        <v>1.3450627893166285E-2</v>
      </c>
      <c r="S33" s="3"/>
      <c r="T33" s="144">
        <v>1.3098629911026392</v>
      </c>
      <c r="U33" s="6">
        <v>1.7412829026810914</v>
      </c>
      <c r="V33" s="166"/>
      <c r="W33" s="3"/>
      <c r="X33" s="172"/>
      <c r="Y33" s="172"/>
      <c r="Z33" s="172"/>
      <c r="AA33" s="172"/>
      <c r="AB33" s="172"/>
      <c r="AC33" s="134"/>
      <c r="AD33" s="134"/>
      <c r="AE33" s="134"/>
      <c r="AF33" s="134"/>
      <c r="AG33" s="134"/>
      <c r="AH33" s="134"/>
      <c r="AJ33" s="134"/>
      <c r="AK33" s="134"/>
      <c r="AL33" s="134"/>
      <c r="AM33" s="134"/>
      <c r="AN33" s="134"/>
      <c r="AP33" s="134"/>
      <c r="AQ33" s="134"/>
      <c r="AR33" s="134"/>
      <c r="AS33" s="134"/>
      <c r="AT33" s="134"/>
    </row>
    <row r="34" spans="1:46" x14ac:dyDescent="0.25">
      <c r="A34">
        <f t="shared" si="1"/>
        <v>29</v>
      </c>
      <c r="B34" s="11" t="s">
        <v>169</v>
      </c>
      <c r="C34" s="119">
        <v>1.5638055165375189</v>
      </c>
      <c r="D34" s="196">
        <v>1.8495494983468084</v>
      </c>
      <c r="E34" s="155">
        <f t="shared" si="0"/>
        <v>1.1827234773042405</v>
      </c>
      <c r="F34" s="162">
        <v>0.23207540372755847</v>
      </c>
      <c r="G34" s="163">
        <v>0.3085123676205489</v>
      </c>
      <c r="H34" s="4"/>
      <c r="I34" s="155">
        <v>8.8920809057601857E-2</v>
      </c>
      <c r="J34" s="155">
        <v>0.10584652885753579</v>
      </c>
      <c r="K34" s="155">
        <v>1.7410509277266156E-2</v>
      </c>
      <c r="L34" s="155">
        <v>2.2895240843879811E-2</v>
      </c>
      <c r="M34" s="155">
        <v>9.3076695650319442E-3</v>
      </c>
      <c r="N34" s="155">
        <v>1.6419118565292355E-2</v>
      </c>
      <c r="O34" s="169">
        <v>2.4112996561842679E-3</v>
      </c>
      <c r="P34" s="169">
        <v>3.0364064252532651E-3</v>
      </c>
      <c r="Q34" s="155">
        <v>5.9791330559119497E-2</v>
      </c>
      <c r="R34" s="155">
        <v>6.3495763023110344E-2</v>
      </c>
      <c r="S34" s="3"/>
      <c r="T34" s="144">
        <v>2.2324181236025362</v>
      </c>
      <c r="U34" s="6">
        <v>2.9676932142286154</v>
      </c>
      <c r="V34" s="166"/>
      <c r="W34" s="3"/>
      <c r="X34" s="172"/>
      <c r="Y34" s="172"/>
      <c r="Z34" s="172"/>
      <c r="AA34" s="172"/>
      <c r="AB34" s="172"/>
      <c r="AC34" s="134"/>
      <c r="AD34" s="134"/>
      <c r="AE34" s="134"/>
      <c r="AF34" s="134"/>
      <c r="AG34" s="134"/>
      <c r="AH34" s="134"/>
      <c r="AJ34" s="134"/>
      <c r="AK34" s="134"/>
      <c r="AL34" s="134"/>
      <c r="AM34" s="134"/>
      <c r="AN34" s="134"/>
      <c r="AP34" s="134"/>
      <c r="AQ34" s="134"/>
      <c r="AR34" s="134"/>
      <c r="AS34" s="134"/>
      <c r="AT34" s="134"/>
    </row>
    <row r="35" spans="1:46" x14ac:dyDescent="0.25">
      <c r="A35">
        <f t="shared" si="1"/>
        <v>30</v>
      </c>
      <c r="B35" s="11" t="s">
        <v>170</v>
      </c>
      <c r="C35" s="119">
        <v>1.4042617682807819</v>
      </c>
      <c r="D35" s="196">
        <v>1.6451686980161495</v>
      </c>
      <c r="E35" s="155">
        <f t="shared" si="0"/>
        <v>1.1715541469382214</v>
      </c>
      <c r="F35" s="162">
        <v>0.19565966927840986</v>
      </c>
      <c r="G35" s="163">
        <v>0.26010265132533633</v>
      </c>
      <c r="H35" s="4"/>
      <c r="I35" s="155">
        <v>4.8747072133403402E-2</v>
      </c>
      <c r="J35" s="155">
        <v>6.3016920144706723E-2</v>
      </c>
      <c r="K35" s="155">
        <v>1.4492860157315851E-2</v>
      </c>
      <c r="L35" s="155">
        <v>1.9116963992396475E-2</v>
      </c>
      <c r="M35" s="155">
        <v>6.4185309559687881E-3</v>
      </c>
      <c r="N35" s="155">
        <v>1.2414098504844732E-2</v>
      </c>
      <c r="O35" s="169">
        <v>1.5817920334687391E-3</v>
      </c>
      <c r="P35" s="169">
        <v>2.1088111907565884E-3</v>
      </c>
      <c r="Q35" s="155">
        <v>2.6253888986649997E-2</v>
      </c>
      <c r="R35" s="155">
        <v>2.9377046456708935E-2</v>
      </c>
      <c r="S35" s="3"/>
      <c r="T35" s="144">
        <v>1.8821218653053327</v>
      </c>
      <c r="U35" s="6">
        <v>2.5020224611885489</v>
      </c>
      <c r="V35" s="166"/>
      <c r="W35" s="3"/>
      <c r="X35" s="172"/>
      <c r="Y35" s="172"/>
      <c r="Z35" s="172"/>
      <c r="AA35" s="172"/>
      <c r="AB35" s="172"/>
      <c r="AC35" s="134"/>
      <c r="AD35" s="134"/>
      <c r="AE35" s="134"/>
      <c r="AF35" s="134"/>
      <c r="AG35" s="134"/>
      <c r="AH35" s="134"/>
      <c r="AJ35" s="134"/>
      <c r="AK35" s="134"/>
      <c r="AL35" s="134"/>
      <c r="AM35" s="134"/>
      <c r="AN35" s="134"/>
      <c r="AP35" s="134"/>
      <c r="AQ35" s="134"/>
      <c r="AR35" s="134"/>
      <c r="AS35" s="134"/>
      <c r="AT35" s="134"/>
    </row>
    <row r="36" spans="1:46" x14ac:dyDescent="0.25">
      <c r="A36">
        <f t="shared" si="1"/>
        <v>31</v>
      </c>
      <c r="B36" s="11" t="s">
        <v>5</v>
      </c>
      <c r="C36" s="119">
        <v>1.3089899194345282</v>
      </c>
      <c r="D36" s="196">
        <v>1.766508496851136</v>
      </c>
      <c r="E36" s="155">
        <f t="shared" si="0"/>
        <v>1.3495203214507958</v>
      </c>
      <c r="F36" s="162">
        <v>0.37158720857219207</v>
      </c>
      <c r="G36" s="163">
        <v>0.4939741465609892</v>
      </c>
      <c r="H36" s="4"/>
      <c r="I36" s="155">
        <v>7.2985118895331214E-2</v>
      </c>
      <c r="J36" s="155">
        <v>0.10008571151528797</v>
      </c>
      <c r="K36" s="155">
        <v>2.6935653868948927E-2</v>
      </c>
      <c r="L36" s="155">
        <v>3.5717524157100215E-2</v>
      </c>
      <c r="M36" s="155">
        <v>3.2157819469673617E-2</v>
      </c>
      <c r="N36" s="155">
        <v>4.354430610490715E-2</v>
      </c>
      <c r="O36" s="169">
        <v>2.5766500988640409E-3</v>
      </c>
      <c r="P36" s="169">
        <v>3.5775389291625502E-3</v>
      </c>
      <c r="Q36" s="155">
        <v>1.131499545784464E-2</v>
      </c>
      <c r="R36" s="155">
        <v>1.7246342324118029E-2</v>
      </c>
      <c r="S36" s="3"/>
      <c r="T36" s="144">
        <v>1.3571924726110849</v>
      </c>
      <c r="U36" s="6">
        <v>1.8042009464026272</v>
      </c>
      <c r="V36" s="166"/>
      <c r="W36" s="3"/>
      <c r="X36" s="172"/>
      <c r="Y36" s="172"/>
      <c r="Z36" s="172"/>
      <c r="AA36" s="172"/>
      <c r="AB36" s="172"/>
      <c r="AC36" s="134"/>
      <c r="AD36" s="134"/>
      <c r="AE36" s="134"/>
      <c r="AF36" s="134"/>
      <c r="AG36" s="134"/>
      <c r="AH36" s="134"/>
      <c r="AJ36" s="134"/>
      <c r="AK36" s="134"/>
      <c r="AL36" s="134"/>
      <c r="AM36" s="134"/>
      <c r="AN36" s="134"/>
      <c r="AP36" s="134"/>
      <c r="AQ36" s="134"/>
      <c r="AR36" s="134"/>
      <c r="AS36" s="134"/>
      <c r="AT36" s="134"/>
    </row>
    <row r="37" spans="1:46" x14ac:dyDescent="0.25">
      <c r="A37">
        <f t="shared" si="1"/>
        <v>32</v>
      </c>
      <c r="B37" s="11" t="s">
        <v>146</v>
      </c>
      <c r="C37" s="119">
        <v>1.2825016559465399</v>
      </c>
      <c r="D37" s="196">
        <v>1.710325205897526</v>
      </c>
      <c r="E37" s="155">
        <f t="shared" si="0"/>
        <v>1.3335851832762231</v>
      </c>
      <c r="F37" s="162">
        <v>0.34746951606945103</v>
      </c>
      <c r="G37" s="163">
        <v>0.46191298757535282</v>
      </c>
      <c r="H37" s="4"/>
      <c r="I37" s="155">
        <v>0.20535541256416673</v>
      </c>
      <c r="J37" s="155">
        <v>0.23069705400288787</v>
      </c>
      <c r="K37" s="155">
        <v>2.338954060014653E-2</v>
      </c>
      <c r="L37" s="155">
        <v>3.1601427739463339E-2</v>
      </c>
      <c r="M37" s="155">
        <v>0.16842448023882006</v>
      </c>
      <c r="N37" s="155">
        <v>0.17907193232975285</v>
      </c>
      <c r="O37" s="169">
        <v>1.822728270672631E-3</v>
      </c>
      <c r="P37" s="169">
        <v>2.7586548835381959E-3</v>
      </c>
      <c r="Q37" s="155">
        <v>1.1718663454527595E-2</v>
      </c>
      <c r="R37" s="155">
        <v>1.7265039050133338E-2</v>
      </c>
      <c r="S37" s="3"/>
      <c r="T37" s="144">
        <v>1.3337419985674415</v>
      </c>
      <c r="U37" s="6">
        <v>1.7730267626984297</v>
      </c>
      <c r="V37" s="166"/>
      <c r="W37" s="3"/>
      <c r="X37" s="172"/>
      <c r="Y37" s="172"/>
      <c r="Z37" s="172"/>
      <c r="AA37" s="172"/>
      <c r="AB37" s="172"/>
      <c r="AC37" s="134"/>
      <c r="AD37" s="134"/>
      <c r="AE37" s="134"/>
      <c r="AF37" s="134"/>
      <c r="AG37" s="134"/>
      <c r="AH37" s="134"/>
      <c r="AJ37" s="134"/>
      <c r="AK37" s="134"/>
      <c r="AL37" s="134"/>
      <c r="AM37" s="134"/>
      <c r="AN37" s="134"/>
      <c r="AP37" s="134"/>
      <c r="AQ37" s="134"/>
      <c r="AR37" s="134"/>
      <c r="AS37" s="134"/>
      <c r="AT37" s="134"/>
    </row>
    <row r="38" spans="1:46" x14ac:dyDescent="0.25">
      <c r="A38">
        <f t="shared" si="1"/>
        <v>33</v>
      </c>
      <c r="B38" s="11" t="s">
        <v>147</v>
      </c>
      <c r="C38" s="119">
        <v>1.7149723733986335</v>
      </c>
      <c r="D38" s="196">
        <v>2.1607184852398009</v>
      </c>
      <c r="E38" s="155">
        <f t="shared" si="0"/>
        <v>1.259914456206553</v>
      </c>
      <c r="F38" s="162">
        <v>0.36202585338987248</v>
      </c>
      <c r="G38" s="163">
        <v>0.48126363834866137</v>
      </c>
      <c r="H38" s="4"/>
      <c r="I38" s="155">
        <v>6.8501661511570389E-2</v>
      </c>
      <c r="J38" s="155">
        <v>9.4904925521410485E-2</v>
      </c>
      <c r="K38" s="155">
        <v>2.6007658169472148E-2</v>
      </c>
      <c r="L38" s="155">
        <v>3.4563561096387516E-2</v>
      </c>
      <c r="M38" s="155">
        <v>1.3509306547704778E-2</v>
      </c>
      <c r="N38" s="155">
        <v>2.4602806125023885E-2</v>
      </c>
      <c r="O38" s="169">
        <v>6.8408070895277524E-3</v>
      </c>
      <c r="P38" s="169">
        <v>7.8159419288821915E-3</v>
      </c>
      <c r="Q38" s="155">
        <v>2.2143889704865697E-2</v>
      </c>
      <c r="R38" s="155">
        <v>2.7922616371116874E-2</v>
      </c>
      <c r="S38" s="3"/>
      <c r="T38" s="144">
        <v>2.4112436593599278</v>
      </c>
      <c r="U38" s="6">
        <v>3.2054171976469181</v>
      </c>
      <c r="V38" s="166"/>
      <c r="W38" s="3"/>
      <c r="X38" s="172"/>
      <c r="Y38" s="172"/>
      <c r="Z38" s="172"/>
      <c r="AA38" s="172"/>
      <c r="AB38" s="172"/>
      <c r="AC38" s="134"/>
      <c r="AD38" s="134"/>
      <c r="AE38" s="134"/>
      <c r="AF38" s="134"/>
      <c r="AG38" s="134"/>
      <c r="AH38" s="134"/>
      <c r="AJ38" s="134"/>
      <c r="AK38" s="134"/>
      <c r="AL38" s="134"/>
      <c r="AM38" s="134"/>
      <c r="AN38" s="134"/>
      <c r="AP38" s="134"/>
      <c r="AQ38" s="134"/>
      <c r="AR38" s="134"/>
      <c r="AS38" s="134"/>
      <c r="AT38" s="134"/>
    </row>
    <row r="39" spans="1:46" x14ac:dyDescent="0.25">
      <c r="A39">
        <f t="shared" si="1"/>
        <v>34</v>
      </c>
      <c r="B39" s="11" t="s">
        <v>148</v>
      </c>
      <c r="C39" s="119">
        <v>1.3631619981930301</v>
      </c>
      <c r="D39" s="196">
        <v>1.7961389995966519</v>
      </c>
      <c r="E39" s="155">
        <f t="shared" si="0"/>
        <v>1.3176269599486812</v>
      </c>
      <c r="F39" s="162">
        <v>0.35165504368367545</v>
      </c>
      <c r="G39" s="163">
        <v>0.46747707154661866</v>
      </c>
      <c r="H39" s="4"/>
      <c r="I39" s="155">
        <v>0.14886987522265591</v>
      </c>
      <c r="J39" s="155">
        <v>0.17451677549740743</v>
      </c>
      <c r="K39" s="155">
        <v>2.7155339111614021E-2</v>
      </c>
      <c r="L39" s="155">
        <v>3.5466144512237049E-2</v>
      </c>
      <c r="M39" s="155">
        <v>5.9417408033172955E-3</v>
      </c>
      <c r="N39" s="155">
        <v>1.6717449338878251E-2</v>
      </c>
      <c r="O39" s="169">
        <v>1.0285567296648148E-3</v>
      </c>
      <c r="P39" s="169">
        <v>1.9757572716144305E-3</v>
      </c>
      <c r="Q39" s="155">
        <v>0.11474423857805972</v>
      </c>
      <c r="R39" s="155">
        <v>0.12035742437467775</v>
      </c>
      <c r="S39" s="3"/>
      <c r="T39" s="144">
        <v>1.4179794002333415</v>
      </c>
      <c r="U39" s="6">
        <v>1.885008815999772</v>
      </c>
      <c r="V39" s="166"/>
      <c r="W39" s="3"/>
      <c r="X39" s="172"/>
      <c r="Y39" s="172"/>
      <c r="Z39" s="172"/>
      <c r="AA39" s="172"/>
      <c r="AB39" s="172"/>
      <c r="AC39" s="134"/>
      <c r="AD39" s="134"/>
      <c r="AE39" s="134"/>
      <c r="AF39" s="134"/>
      <c r="AG39" s="134"/>
      <c r="AH39" s="134"/>
      <c r="AJ39" s="134"/>
      <c r="AK39" s="134"/>
      <c r="AL39" s="134"/>
      <c r="AM39" s="134"/>
      <c r="AN39" s="134"/>
      <c r="AP39" s="134"/>
      <c r="AQ39" s="134"/>
      <c r="AR39" s="134"/>
      <c r="AS39" s="134"/>
      <c r="AT39" s="134"/>
    </row>
    <row r="40" spans="1:46" x14ac:dyDescent="0.25">
      <c r="A40">
        <f t="shared" si="1"/>
        <v>35</v>
      </c>
      <c r="B40" s="11" t="s">
        <v>149</v>
      </c>
      <c r="C40" s="119">
        <v>1.8639635386881119</v>
      </c>
      <c r="D40" s="196">
        <v>2.4525618893471579</v>
      </c>
      <c r="E40" s="155">
        <f t="shared" si="0"/>
        <v>1.3157778242128659</v>
      </c>
      <c r="F40" s="162">
        <v>0.47804751301373577</v>
      </c>
      <c r="G40" s="163">
        <v>0.63549849620478938</v>
      </c>
      <c r="H40" s="4"/>
      <c r="I40" s="155">
        <v>8.89723780255679E-2</v>
      </c>
      <c r="J40" s="155">
        <v>0.12383733194297841</v>
      </c>
      <c r="K40" s="155">
        <v>3.5384706984461729E-2</v>
      </c>
      <c r="L40" s="155">
        <v>4.6682596561961331E-2</v>
      </c>
      <c r="M40" s="155">
        <v>1.8829261776485719E-2</v>
      </c>
      <c r="N40" s="155">
        <v>3.347799427417613E-2</v>
      </c>
      <c r="O40" s="169">
        <v>4.9164824155318821E-3</v>
      </c>
      <c r="P40" s="169">
        <v>6.204127428840976E-3</v>
      </c>
      <c r="Q40" s="155">
        <v>2.9841926849088561E-2</v>
      </c>
      <c r="R40" s="155">
        <v>3.7472613678000026E-2</v>
      </c>
      <c r="S40" s="3"/>
      <c r="T40" s="144">
        <v>2.1087043223875073</v>
      </c>
      <c r="U40" s="6">
        <v>2.8032327108441537</v>
      </c>
      <c r="V40" s="166"/>
      <c r="W40" s="3"/>
      <c r="X40" s="172"/>
      <c r="Y40" s="172"/>
      <c r="Z40" s="172"/>
      <c r="AA40" s="172"/>
      <c r="AB40" s="172"/>
      <c r="AC40" s="134"/>
      <c r="AD40" s="134"/>
      <c r="AE40" s="134"/>
      <c r="AF40" s="134"/>
      <c r="AG40" s="134"/>
      <c r="AH40" s="134"/>
      <c r="AJ40" s="134"/>
      <c r="AK40" s="134"/>
      <c r="AL40" s="134"/>
      <c r="AM40" s="134"/>
      <c r="AN40" s="134"/>
      <c r="AP40" s="134"/>
      <c r="AQ40" s="134"/>
      <c r="AR40" s="134"/>
      <c r="AS40" s="134"/>
      <c r="AT40" s="134"/>
    </row>
    <row r="41" spans="1:46" x14ac:dyDescent="0.25">
      <c r="A41">
        <f t="shared" si="1"/>
        <v>36</v>
      </c>
      <c r="B41" s="11" t="s">
        <v>6</v>
      </c>
      <c r="C41" s="119">
        <v>1.3208347204885389</v>
      </c>
      <c r="D41" s="196">
        <v>1.4300096798443129</v>
      </c>
      <c r="E41" s="155">
        <f t="shared" si="0"/>
        <v>1.0826560338415343</v>
      </c>
      <c r="F41" s="162">
        <v>8.8669663693359033E-2</v>
      </c>
      <c r="G41" s="163">
        <v>0.11787413677956941</v>
      </c>
      <c r="H41" s="4"/>
      <c r="I41" s="155">
        <v>2.9176151787483902E-2</v>
      </c>
      <c r="J41" s="155">
        <v>3.5643006345625748E-2</v>
      </c>
      <c r="K41" s="155">
        <v>6.183624250473624E-3</v>
      </c>
      <c r="L41" s="155">
        <v>8.2791901555572325E-3</v>
      </c>
      <c r="M41" s="155">
        <v>9.2969883445282904E-3</v>
      </c>
      <c r="N41" s="155">
        <v>1.2014078484618336E-2</v>
      </c>
      <c r="O41" s="169">
        <v>5.1303496680127965E-4</v>
      </c>
      <c r="P41" s="169">
        <v>7.5187116441427211E-4</v>
      </c>
      <c r="Q41" s="155">
        <v>1.3182504225680691E-2</v>
      </c>
      <c r="R41" s="155">
        <v>1.459786654103591E-2</v>
      </c>
      <c r="S41" s="3"/>
      <c r="T41" s="179" t="s">
        <v>58</v>
      </c>
      <c r="U41" s="180" t="s">
        <v>58</v>
      </c>
      <c r="V41" s="166"/>
      <c r="W41" s="3"/>
      <c r="X41" s="172"/>
      <c r="Y41" s="172"/>
      <c r="Z41" s="172"/>
      <c r="AA41" s="172"/>
      <c r="AB41" s="172"/>
      <c r="AC41" s="134"/>
      <c r="AD41" s="134"/>
      <c r="AE41" s="134"/>
      <c r="AF41" s="134"/>
      <c r="AG41" s="134"/>
      <c r="AH41" s="134"/>
      <c r="AJ41" s="134"/>
      <c r="AK41" s="134"/>
      <c r="AL41" s="134"/>
      <c r="AM41" s="134"/>
      <c r="AN41" s="134"/>
      <c r="AP41" s="134"/>
      <c r="AQ41" s="134"/>
      <c r="AR41" s="134"/>
      <c r="AS41" s="134"/>
      <c r="AT41" s="134"/>
    </row>
    <row r="42" spans="1:46" x14ac:dyDescent="0.25">
      <c r="A42">
        <f t="shared" si="1"/>
        <v>37</v>
      </c>
      <c r="B42" s="11" t="s">
        <v>7</v>
      </c>
      <c r="C42" s="119">
        <v>1.3348461865480858</v>
      </c>
      <c r="D42" s="196">
        <v>1.7556559790695105</v>
      </c>
      <c r="E42" s="155">
        <f t="shared" si="0"/>
        <v>1.3152496495567323</v>
      </c>
      <c r="F42" s="162">
        <v>0.34177308608059898</v>
      </c>
      <c r="G42" s="163">
        <v>0.45434036645903431</v>
      </c>
      <c r="H42" s="4"/>
      <c r="I42" s="155">
        <v>0.11351555924775554</v>
      </c>
      <c r="J42" s="155">
        <v>0.13844174874153678</v>
      </c>
      <c r="K42" s="155">
        <v>2.2392589753255858E-2</v>
      </c>
      <c r="L42" s="155">
        <v>3.0469850866397395E-2</v>
      </c>
      <c r="M42" s="155">
        <v>6.4575647542496395E-2</v>
      </c>
      <c r="N42" s="155">
        <v>7.5048544852101162E-2</v>
      </c>
      <c r="O42" s="169">
        <v>2.7205170461375564E-3</v>
      </c>
      <c r="P42" s="169">
        <v>3.6411000384023832E-3</v>
      </c>
      <c r="Q42" s="155">
        <v>2.3826804905865709E-2</v>
      </c>
      <c r="R42" s="155">
        <v>2.9282252984635878E-2</v>
      </c>
      <c r="S42" s="3"/>
      <c r="T42" s="144">
        <v>1.4070701655679207</v>
      </c>
      <c r="U42" s="6">
        <v>1.870506487181212</v>
      </c>
      <c r="V42" s="166"/>
      <c r="W42" s="3"/>
      <c r="X42" s="172"/>
      <c r="Y42" s="172"/>
      <c r="Z42" s="172"/>
      <c r="AA42" s="172"/>
      <c r="AB42" s="172"/>
      <c r="AC42" s="134"/>
      <c r="AD42" s="134"/>
      <c r="AE42" s="134"/>
      <c r="AF42" s="134"/>
      <c r="AG42" s="134"/>
      <c r="AH42" s="134"/>
      <c r="AJ42" s="134"/>
      <c r="AK42" s="134"/>
      <c r="AL42" s="134"/>
      <c r="AM42" s="134"/>
      <c r="AN42" s="134"/>
      <c r="AP42" s="134"/>
      <c r="AQ42" s="134"/>
      <c r="AR42" s="134"/>
      <c r="AS42" s="134"/>
      <c r="AT42" s="134"/>
    </row>
    <row r="43" spans="1:46" x14ac:dyDescent="0.25">
      <c r="A43">
        <f t="shared" si="1"/>
        <v>38</v>
      </c>
      <c r="B43" s="11" t="s">
        <v>150</v>
      </c>
      <c r="C43" s="119">
        <v>1.2754108557569854</v>
      </c>
      <c r="D43" s="196">
        <v>1.6934186253599486</v>
      </c>
      <c r="E43" s="155">
        <f t="shared" si="0"/>
        <v>1.3277436190198224</v>
      </c>
      <c r="F43" s="162">
        <v>0.33949734051305147</v>
      </c>
      <c r="G43" s="163">
        <v>0.45131507536024013</v>
      </c>
      <c r="H43" s="4"/>
      <c r="I43" s="155">
        <v>9.6087139824732964E-2</v>
      </c>
      <c r="J43" s="155">
        <v>0.1208473546775418</v>
      </c>
      <c r="K43" s="155">
        <v>2.2264880824571991E-2</v>
      </c>
      <c r="L43" s="155">
        <v>3.0288358325355536E-2</v>
      </c>
      <c r="M43" s="155">
        <v>6.1744094648892384E-2</v>
      </c>
      <c r="N43" s="155">
        <v>7.2147256655741121E-2</v>
      </c>
      <c r="O43" s="169">
        <v>2.3667456945213137E-3</v>
      </c>
      <c r="P43" s="169">
        <v>3.2811988516717613E-3</v>
      </c>
      <c r="Q43" s="155">
        <v>9.7114186567473105E-3</v>
      </c>
      <c r="R43" s="155">
        <v>1.5130540844773372E-2</v>
      </c>
      <c r="S43" s="3"/>
      <c r="T43" s="144">
        <v>1.3977009851879172</v>
      </c>
      <c r="U43" s="6">
        <v>1.8580514489683209</v>
      </c>
      <c r="V43" s="166"/>
      <c r="W43" s="3"/>
      <c r="X43" s="172"/>
      <c r="Y43" s="172"/>
      <c r="Z43" s="172"/>
      <c r="AA43" s="172"/>
      <c r="AB43" s="172"/>
      <c r="AC43" s="134"/>
      <c r="AD43" s="134"/>
      <c r="AE43" s="134"/>
      <c r="AF43" s="134"/>
      <c r="AG43" s="134"/>
      <c r="AH43" s="134"/>
      <c r="AJ43" s="134"/>
      <c r="AK43" s="134"/>
      <c r="AL43" s="134"/>
      <c r="AM43" s="134"/>
      <c r="AN43" s="134"/>
      <c r="AP43" s="134"/>
      <c r="AQ43" s="134"/>
      <c r="AR43" s="134"/>
      <c r="AS43" s="134"/>
      <c r="AT43" s="134"/>
    </row>
    <row r="44" spans="1:46" x14ac:dyDescent="0.25">
      <c r="A44">
        <f t="shared" si="1"/>
        <v>39</v>
      </c>
      <c r="B44" s="11" t="s">
        <v>8</v>
      </c>
      <c r="C44" s="119">
        <v>1.6827391140727688</v>
      </c>
      <c r="D44" s="196">
        <v>2.4278697824081661</v>
      </c>
      <c r="E44" s="155">
        <f t="shared" si="0"/>
        <v>1.4428081941543167</v>
      </c>
      <c r="F44" s="162">
        <v>0.60517985221867732</v>
      </c>
      <c r="G44" s="163">
        <v>0.80450347622110874</v>
      </c>
      <c r="H44" s="4"/>
      <c r="I44" s="155">
        <v>0.11150754648277034</v>
      </c>
      <c r="J44" s="155">
        <v>0.1556445142212538</v>
      </c>
      <c r="K44" s="155">
        <v>4.2852650252371359E-2</v>
      </c>
      <c r="L44" s="155">
        <v>5.7155109649744462E-2</v>
      </c>
      <c r="M44" s="155">
        <v>4.0395873026511417E-2</v>
      </c>
      <c r="N44" s="155">
        <v>5.8940301199048493E-2</v>
      </c>
      <c r="O44" s="169">
        <v>1.2252479988798262E-2</v>
      </c>
      <c r="P44" s="169">
        <v>1.3882562350176691E-2</v>
      </c>
      <c r="Q44" s="155">
        <v>1.6006543215089257E-2</v>
      </c>
      <c r="R44" s="155">
        <v>2.5666541022284127E-2</v>
      </c>
      <c r="S44" s="3"/>
      <c r="T44" s="144">
        <v>1.5057398216310252</v>
      </c>
      <c r="U44" s="6">
        <v>2.0016742400554857</v>
      </c>
      <c r="V44" s="166"/>
      <c r="W44" s="3"/>
      <c r="X44" s="172"/>
      <c r="Y44" s="172"/>
      <c r="Z44" s="172"/>
      <c r="AA44" s="172"/>
      <c r="AB44" s="172"/>
      <c r="AC44" s="134"/>
      <c r="AD44" s="134"/>
      <c r="AE44" s="134"/>
      <c r="AF44" s="134"/>
      <c r="AG44" s="134"/>
      <c r="AH44" s="134"/>
      <c r="AJ44" s="134"/>
      <c r="AK44" s="134"/>
      <c r="AL44" s="134"/>
      <c r="AM44" s="134"/>
      <c r="AN44" s="134"/>
      <c r="AP44" s="134"/>
      <c r="AQ44" s="134"/>
      <c r="AR44" s="134"/>
      <c r="AS44" s="134"/>
      <c r="AT44" s="134"/>
    </row>
    <row r="45" spans="1:46" x14ac:dyDescent="0.25">
      <c r="A45">
        <f t="shared" si="1"/>
        <v>40</v>
      </c>
      <c r="B45" s="11" t="s">
        <v>9</v>
      </c>
      <c r="C45" s="119">
        <v>1.5996094454312333</v>
      </c>
      <c r="D45" s="196">
        <v>2.3196113205470366</v>
      </c>
      <c r="E45" s="155">
        <f t="shared" si="0"/>
        <v>1.4501110425249462</v>
      </c>
      <c r="F45" s="162">
        <v>0.58477076155402752</v>
      </c>
      <c r="G45" s="163">
        <v>0.77737239390561619</v>
      </c>
      <c r="H45" s="4"/>
      <c r="I45" s="155">
        <v>9.9691003165409242E-2</v>
      </c>
      <c r="J45" s="155">
        <v>0.14233949541526739</v>
      </c>
      <c r="K45" s="155">
        <v>4.1663198057752517E-2</v>
      </c>
      <c r="L45" s="155">
        <v>5.5483321188479734E-2</v>
      </c>
      <c r="M45" s="155">
        <v>4.0000425682429015E-2</v>
      </c>
      <c r="N45" s="155">
        <v>5.7919461395997317E-2</v>
      </c>
      <c r="O45" s="169">
        <v>1.990035072626311E-3</v>
      </c>
      <c r="P45" s="169">
        <v>3.5651445220972254E-3</v>
      </c>
      <c r="Q45" s="155">
        <v>1.603734435260145E-2</v>
      </c>
      <c r="R45" s="155">
        <v>2.5371568308693093E-2</v>
      </c>
      <c r="S45" s="3"/>
      <c r="T45" s="144">
        <v>1.4549602386287526</v>
      </c>
      <c r="U45" s="6">
        <v>1.9341697603597123</v>
      </c>
      <c r="V45" s="166"/>
      <c r="W45" s="3"/>
      <c r="X45" s="172"/>
      <c r="Y45" s="172"/>
      <c r="Z45" s="172"/>
      <c r="AA45" s="172"/>
      <c r="AB45" s="172"/>
      <c r="AC45" s="134"/>
      <c r="AD45" s="134"/>
      <c r="AE45" s="134"/>
      <c r="AF45" s="134"/>
      <c r="AG45" s="134"/>
      <c r="AH45" s="134"/>
      <c r="AJ45" s="134"/>
      <c r="AK45" s="134"/>
      <c r="AL45" s="134"/>
      <c r="AM45" s="134"/>
      <c r="AN45" s="134"/>
      <c r="AP45" s="134"/>
      <c r="AQ45" s="134"/>
      <c r="AR45" s="134"/>
      <c r="AS45" s="134"/>
      <c r="AT45" s="134"/>
    </row>
    <row r="46" spans="1:46" x14ac:dyDescent="0.25">
      <c r="A46">
        <f t="shared" si="1"/>
        <v>41</v>
      </c>
      <c r="B46" s="11" t="s">
        <v>10</v>
      </c>
      <c r="C46" s="119">
        <v>1.0896405198011714</v>
      </c>
      <c r="D46" s="196">
        <v>1.616826830420462</v>
      </c>
      <c r="E46" s="155">
        <f t="shared" si="0"/>
        <v>1.4838167276630712</v>
      </c>
      <c r="F46" s="162">
        <v>0.42816991315768149</v>
      </c>
      <c r="G46" s="163">
        <v>0.56919307919090367</v>
      </c>
      <c r="H46" s="4"/>
      <c r="I46" s="155">
        <v>6.7028890937809893E-2</v>
      </c>
      <c r="J46" s="155">
        <v>9.8256172504350148E-2</v>
      </c>
      <c r="K46" s="155">
        <v>3.0957350156441941E-2</v>
      </c>
      <c r="L46" s="155">
        <v>4.1076462310727077E-2</v>
      </c>
      <c r="M46" s="155">
        <v>2.4966565941857078E-2</v>
      </c>
      <c r="N46" s="155">
        <v>3.8086907227318355E-2</v>
      </c>
      <c r="O46" s="169">
        <v>1.2993874581056671E-3</v>
      </c>
      <c r="P46" s="169">
        <v>2.4526846482756225E-3</v>
      </c>
      <c r="Q46" s="155">
        <v>9.8055873814051932E-3</v>
      </c>
      <c r="R46" s="155">
        <v>1.6640118318029085E-2</v>
      </c>
      <c r="S46" s="3"/>
      <c r="T46" s="144">
        <v>1.0653237815208307</v>
      </c>
      <c r="U46" s="6">
        <v>1.4162016174075043</v>
      </c>
      <c r="V46" s="166"/>
      <c r="W46" s="3"/>
      <c r="X46" s="172"/>
      <c r="Y46" s="172"/>
      <c r="Z46" s="172"/>
      <c r="AA46" s="172"/>
      <c r="AB46" s="172"/>
      <c r="AC46" s="134"/>
      <c r="AD46" s="134"/>
      <c r="AE46" s="134"/>
      <c r="AF46" s="134"/>
      <c r="AG46" s="134"/>
      <c r="AH46" s="134"/>
      <c r="AJ46" s="134"/>
      <c r="AK46" s="134"/>
      <c r="AL46" s="134"/>
      <c r="AM46" s="134"/>
      <c r="AN46" s="134"/>
      <c r="AP46" s="134"/>
      <c r="AQ46" s="134"/>
      <c r="AR46" s="134"/>
      <c r="AS46" s="134"/>
      <c r="AT46" s="134"/>
    </row>
    <row r="47" spans="1:46" x14ac:dyDescent="0.25">
      <c r="A47">
        <f t="shared" si="1"/>
        <v>42</v>
      </c>
      <c r="B47" s="11" t="s">
        <v>151</v>
      </c>
      <c r="C47" s="119">
        <v>1.4706666617163795</v>
      </c>
      <c r="D47" s="196">
        <v>2.1318292724216148</v>
      </c>
      <c r="E47" s="155">
        <f t="shared" si="0"/>
        <v>1.4495665999075606</v>
      </c>
      <c r="F47" s="162">
        <v>0.53698271731718117</v>
      </c>
      <c r="G47" s="163">
        <v>0.71384475403227321</v>
      </c>
      <c r="H47" s="4"/>
      <c r="I47" s="155">
        <v>8.7208128997894166E-2</v>
      </c>
      <c r="J47" s="155">
        <v>0.1263713443353861</v>
      </c>
      <c r="K47" s="155">
        <v>3.3815649804112648E-2</v>
      </c>
      <c r="L47" s="155">
        <v>4.6506378821880544E-2</v>
      </c>
      <c r="M47" s="155">
        <v>3.4704360175456195E-2</v>
      </c>
      <c r="N47" s="155">
        <v>5.1159034591127237E-2</v>
      </c>
      <c r="O47" s="169">
        <v>3.8310597217271706E-3</v>
      </c>
      <c r="P47" s="169">
        <v>5.2774496711855377E-3</v>
      </c>
      <c r="Q47" s="155">
        <v>1.4857059296598153E-2</v>
      </c>
      <c r="R47" s="155">
        <v>2.3428481251192797E-2</v>
      </c>
      <c r="S47" s="3"/>
      <c r="T47" s="144">
        <v>1.3360594508026511</v>
      </c>
      <c r="U47" s="6">
        <v>1.7761074970823776</v>
      </c>
      <c r="V47" s="166"/>
      <c r="W47" s="3"/>
      <c r="X47" s="172"/>
      <c r="Y47" s="172"/>
      <c r="Z47" s="172"/>
      <c r="AA47" s="172"/>
      <c r="AB47" s="172"/>
      <c r="AC47" s="134"/>
      <c r="AD47" s="134"/>
      <c r="AE47" s="134"/>
      <c r="AF47" s="134"/>
      <c r="AG47" s="134"/>
      <c r="AH47" s="134"/>
      <c r="AJ47" s="134"/>
      <c r="AK47" s="134"/>
      <c r="AL47" s="134"/>
      <c r="AM47" s="134"/>
      <c r="AN47" s="134"/>
      <c r="AP47" s="134"/>
      <c r="AQ47" s="134"/>
      <c r="AR47" s="134"/>
      <c r="AS47" s="134"/>
      <c r="AT47" s="134"/>
    </row>
    <row r="48" spans="1:46" x14ac:dyDescent="0.25">
      <c r="A48">
        <f t="shared" si="1"/>
        <v>43</v>
      </c>
      <c r="B48" s="11" t="s">
        <v>11</v>
      </c>
      <c r="C48" s="119">
        <v>1.6171633810635093</v>
      </c>
      <c r="D48" s="196">
        <v>2.3443142754378337</v>
      </c>
      <c r="E48" s="155">
        <f t="shared" si="0"/>
        <v>1.4496459064613012</v>
      </c>
      <c r="F48" s="162">
        <v>0.59057704842723602</v>
      </c>
      <c r="G48" s="163">
        <v>0.78509105465796614</v>
      </c>
      <c r="H48" s="4"/>
      <c r="I48" s="155">
        <v>0.10068985316595626</v>
      </c>
      <c r="J48" s="155">
        <v>0.14376180944136588</v>
      </c>
      <c r="K48" s="155">
        <v>4.0914546536290432E-2</v>
      </c>
      <c r="L48" s="155">
        <v>5.4871891985224568E-2</v>
      </c>
      <c r="M48" s="155">
        <v>3.7579736348642603E-2</v>
      </c>
      <c r="N48" s="155">
        <v>5.5676693170249481E-2</v>
      </c>
      <c r="O48" s="169">
        <v>7.1982443183857816E-3</v>
      </c>
      <c r="P48" s="169">
        <v>8.7889932934992337E-3</v>
      </c>
      <c r="Q48" s="155">
        <v>1.4997325962637465E-2</v>
      </c>
      <c r="R48" s="155">
        <v>2.4424230992392597E-2</v>
      </c>
      <c r="S48" s="3"/>
      <c r="T48" s="144">
        <v>1.4694067826251394</v>
      </c>
      <c r="U48" s="6">
        <v>1.9533744559917059</v>
      </c>
      <c r="V48" s="166"/>
      <c r="W48" s="3"/>
      <c r="X48" s="172"/>
      <c r="Y48" s="172"/>
      <c r="Z48" s="172"/>
      <c r="AA48" s="172"/>
      <c r="AB48" s="172"/>
      <c r="AC48" s="134"/>
      <c r="AD48" s="134"/>
      <c r="AE48" s="134"/>
      <c r="AF48" s="134"/>
      <c r="AG48" s="134"/>
      <c r="AH48" s="134"/>
      <c r="AJ48" s="134"/>
      <c r="AK48" s="134"/>
      <c r="AL48" s="134"/>
      <c r="AM48" s="134"/>
      <c r="AN48" s="134"/>
      <c r="AP48" s="134"/>
      <c r="AQ48" s="134"/>
      <c r="AR48" s="134"/>
      <c r="AS48" s="134"/>
      <c r="AT48" s="134"/>
    </row>
    <row r="49" spans="1:46" x14ac:dyDescent="0.25">
      <c r="A49">
        <f t="shared" si="1"/>
        <v>44</v>
      </c>
      <c r="B49" s="11" t="s">
        <v>152</v>
      </c>
      <c r="C49" s="119">
        <v>1.3571026687792196</v>
      </c>
      <c r="D49" s="196">
        <v>2.1548652257429706</v>
      </c>
      <c r="E49" s="155">
        <f t="shared" si="0"/>
        <v>1.5878424494451679</v>
      </c>
      <c r="F49" s="162">
        <v>0.64792639310828082</v>
      </c>
      <c r="G49" s="163">
        <v>0.86132912997682443</v>
      </c>
      <c r="H49" s="4"/>
      <c r="I49" s="155">
        <v>9.720410311054152E-2</v>
      </c>
      <c r="J49" s="155">
        <v>0.14445866091627407</v>
      </c>
      <c r="K49" s="155">
        <v>5.0236151431190992E-2</v>
      </c>
      <c r="L49" s="155">
        <v>6.5548857060672275E-2</v>
      </c>
      <c r="M49" s="155">
        <v>3.2404049827507823E-2</v>
      </c>
      <c r="N49" s="155">
        <v>5.2258353327595042E-2</v>
      </c>
      <c r="O49" s="169">
        <v>9.9192365169853565E-4</v>
      </c>
      <c r="P49" s="169">
        <v>2.7371459703287213E-3</v>
      </c>
      <c r="Q49" s="155">
        <v>1.3571978200144179E-2</v>
      </c>
      <c r="R49" s="155">
        <v>2.391430455767804E-2</v>
      </c>
      <c r="S49" s="3"/>
      <c r="T49" s="144">
        <v>1.2209161977549807</v>
      </c>
      <c r="U49" s="6">
        <v>1.6230403600971477</v>
      </c>
      <c r="V49" s="166"/>
      <c r="W49" s="3"/>
      <c r="X49" s="172"/>
      <c r="Y49" s="172"/>
      <c r="Z49" s="172"/>
      <c r="AA49" s="172"/>
      <c r="AB49" s="172"/>
      <c r="AC49" s="134"/>
      <c r="AD49" s="134"/>
      <c r="AE49" s="134"/>
      <c r="AF49" s="134"/>
      <c r="AG49" s="134"/>
      <c r="AH49" s="134"/>
      <c r="AJ49" s="134"/>
      <c r="AK49" s="134"/>
      <c r="AL49" s="134"/>
      <c r="AM49" s="134"/>
      <c r="AN49" s="134"/>
      <c r="AP49" s="134"/>
      <c r="AQ49" s="134"/>
      <c r="AR49" s="134"/>
      <c r="AS49" s="134"/>
      <c r="AT49" s="134"/>
    </row>
    <row r="50" spans="1:46" x14ac:dyDescent="0.25">
      <c r="A50">
        <f t="shared" si="1"/>
        <v>45</v>
      </c>
      <c r="B50" s="11" t="s">
        <v>153</v>
      </c>
      <c r="C50" s="119">
        <v>1.2316068604345458</v>
      </c>
      <c r="D50" s="196">
        <v>2.051358500495712</v>
      </c>
      <c r="E50" s="155">
        <f t="shared" si="0"/>
        <v>1.6655952206793769</v>
      </c>
      <c r="F50" s="162">
        <v>0.66578547558175682</v>
      </c>
      <c r="G50" s="163">
        <v>0.88507032671256647</v>
      </c>
      <c r="H50" s="4"/>
      <c r="I50" s="155">
        <v>8.2282795385213672E-2</v>
      </c>
      <c r="J50" s="155">
        <v>0.13083985152112176</v>
      </c>
      <c r="K50" s="155">
        <v>4.2343446020462479E-2</v>
      </c>
      <c r="L50" s="155">
        <v>5.8078222545091353E-2</v>
      </c>
      <c r="M50" s="155">
        <v>2.7783923439049826E-2</v>
      </c>
      <c r="N50" s="155">
        <v>4.8185479910204443E-2</v>
      </c>
      <c r="O50" s="169">
        <v>1.7849650821028197E-3</v>
      </c>
      <c r="P50" s="169">
        <v>3.578291737359031E-3</v>
      </c>
      <c r="Q50" s="155">
        <v>1.0370460843598526E-2</v>
      </c>
      <c r="R50" s="155">
        <v>2.0997857328466953E-2</v>
      </c>
      <c r="S50" s="3"/>
      <c r="T50" s="144">
        <v>1.1192000118284751</v>
      </c>
      <c r="U50" s="6">
        <v>1.4878226642901538</v>
      </c>
      <c r="V50" s="166"/>
      <c r="W50" s="3"/>
      <c r="X50" s="172"/>
      <c r="Y50" s="172"/>
      <c r="Z50" s="172"/>
      <c r="AA50" s="172"/>
      <c r="AB50" s="172"/>
      <c r="AC50" s="134"/>
      <c r="AD50" s="134"/>
      <c r="AE50" s="134"/>
      <c r="AF50" s="134"/>
      <c r="AG50" s="134"/>
      <c r="AH50" s="134"/>
      <c r="AJ50" s="134"/>
      <c r="AK50" s="134"/>
      <c r="AL50" s="134"/>
      <c r="AM50" s="134"/>
      <c r="AN50" s="134"/>
      <c r="AP50" s="134"/>
      <c r="AQ50" s="134"/>
      <c r="AR50" s="134"/>
      <c r="AS50" s="134"/>
      <c r="AT50" s="134"/>
    </row>
    <row r="51" spans="1:46" x14ac:dyDescent="0.25">
      <c r="A51">
        <f t="shared" si="1"/>
        <v>46</v>
      </c>
      <c r="B51" s="11" t="s">
        <v>154</v>
      </c>
      <c r="C51" s="119">
        <v>1.2295734603285453</v>
      </c>
      <c r="D51" s="196">
        <v>2.0519027259711957</v>
      </c>
      <c r="E51" s="155">
        <f t="shared" si="0"/>
        <v>1.6687923025135252</v>
      </c>
      <c r="F51" s="162">
        <v>0.66787897023278542</v>
      </c>
      <c r="G51" s="163">
        <v>0.88785334025478568</v>
      </c>
      <c r="H51" s="4"/>
      <c r="I51" s="155">
        <v>8.8833562027353583E-2</v>
      </c>
      <c r="J51" s="155">
        <v>0.13754330088317449</v>
      </c>
      <c r="K51" s="155">
        <v>4.6553094132633456E-2</v>
      </c>
      <c r="L51" s="155">
        <v>6.2337347060244352E-2</v>
      </c>
      <c r="M51" s="155">
        <v>2.8800022384355351E-2</v>
      </c>
      <c r="N51" s="155">
        <v>4.9265729472955766E-2</v>
      </c>
      <c r="O51" s="169">
        <v>1.7828773353899328E-3</v>
      </c>
      <c r="P51" s="169">
        <v>3.5818429237530064E-3</v>
      </c>
      <c r="Q51" s="155">
        <v>1.1697568174974856E-2</v>
      </c>
      <c r="R51" s="155">
        <v>2.2358381426221371E-2</v>
      </c>
      <c r="S51" s="3"/>
      <c r="T51" s="144">
        <v>1.1227192223311475</v>
      </c>
      <c r="U51" s="6">
        <v>1.4925009711977191</v>
      </c>
      <c r="V51" s="166"/>
      <c r="W51" s="3"/>
      <c r="X51" s="172"/>
      <c r="Y51" s="172"/>
      <c r="Z51" s="172"/>
      <c r="AA51" s="172"/>
      <c r="AB51" s="172"/>
      <c r="AC51" s="134"/>
      <c r="AD51" s="134"/>
      <c r="AE51" s="134"/>
      <c r="AF51" s="134"/>
      <c r="AG51" s="134"/>
      <c r="AH51" s="134"/>
      <c r="AJ51" s="134"/>
      <c r="AK51" s="134"/>
      <c r="AL51" s="134"/>
      <c r="AM51" s="134"/>
      <c r="AN51" s="134"/>
      <c r="AP51" s="134"/>
      <c r="AQ51" s="134"/>
      <c r="AR51" s="134"/>
      <c r="AS51" s="134"/>
      <c r="AT51" s="134"/>
    </row>
    <row r="52" spans="1:46" x14ac:dyDescent="0.25">
      <c r="A52">
        <f t="shared" si="1"/>
        <v>47</v>
      </c>
      <c r="B52" s="11" t="s">
        <v>155</v>
      </c>
      <c r="C52" s="119">
        <v>1.5621899298037887</v>
      </c>
      <c r="D52" s="196">
        <v>2.1270399683779129</v>
      </c>
      <c r="E52" s="155">
        <f t="shared" si="0"/>
        <v>1.3615757775657082</v>
      </c>
      <c r="F52" s="162">
        <v>0.45875962082416399</v>
      </c>
      <c r="G52" s="163">
        <v>0.60985789323593609</v>
      </c>
      <c r="H52" s="4"/>
      <c r="I52" s="155">
        <v>8.308953755493681E-2</v>
      </c>
      <c r="J52" s="155">
        <v>0.1165477872137812</v>
      </c>
      <c r="K52" s="155">
        <v>3.425996240101789E-2</v>
      </c>
      <c r="L52" s="155">
        <v>4.5102013447391731E-2</v>
      </c>
      <c r="M52" s="155">
        <v>3.2292499175935491E-2</v>
      </c>
      <c r="N52" s="155">
        <v>4.6350195917895048E-2</v>
      </c>
      <c r="O52" s="169">
        <v>2.9325147638852599E-3</v>
      </c>
      <c r="P52" s="169">
        <v>4.1682068697551479E-3</v>
      </c>
      <c r="Q52" s="155">
        <v>1.3604561214098176E-2</v>
      </c>
      <c r="R52" s="155">
        <v>2.0927370978739257E-2</v>
      </c>
      <c r="S52" s="3"/>
      <c r="T52" s="144">
        <v>1.7283784043305661</v>
      </c>
      <c r="U52" s="6">
        <v>2.2976416505138233</v>
      </c>
      <c r="V52" s="166"/>
      <c r="W52" s="3"/>
      <c r="X52" s="172"/>
      <c r="Y52" s="172"/>
      <c r="Z52" s="172"/>
      <c r="AA52" s="172"/>
      <c r="AB52" s="172"/>
      <c r="AC52" s="134"/>
      <c r="AD52" s="134"/>
      <c r="AE52" s="134"/>
      <c r="AF52" s="134"/>
      <c r="AG52" s="134"/>
      <c r="AH52" s="134"/>
      <c r="AJ52" s="134"/>
      <c r="AK52" s="134"/>
      <c r="AL52" s="134"/>
      <c r="AM52" s="134"/>
      <c r="AN52" s="134"/>
      <c r="AP52" s="134"/>
      <c r="AQ52" s="134"/>
      <c r="AR52" s="134"/>
      <c r="AS52" s="134"/>
      <c r="AT52" s="134"/>
    </row>
    <row r="53" spans="1:46" x14ac:dyDescent="0.25">
      <c r="A53">
        <f t="shared" si="1"/>
        <v>48</v>
      </c>
      <c r="B53" s="11" t="s">
        <v>156</v>
      </c>
      <c r="C53" s="119">
        <v>1.0525686520707729</v>
      </c>
      <c r="D53" s="196">
        <v>1.464798343570755</v>
      </c>
      <c r="E53" s="155">
        <f t="shared" si="0"/>
        <v>1.3916416194696482</v>
      </c>
      <c r="F53" s="162">
        <v>0.33480450393945821</v>
      </c>
      <c r="G53" s="163">
        <v>0.44507659381966647</v>
      </c>
      <c r="H53" s="4"/>
      <c r="I53" s="155">
        <v>6.2413171466594669E-2</v>
      </c>
      <c r="J53" s="155">
        <v>8.6831128434096613E-2</v>
      </c>
      <c r="K53" s="155">
        <v>2.7500666283874462E-2</v>
      </c>
      <c r="L53" s="155">
        <v>3.5413236086217194E-2</v>
      </c>
      <c r="M53" s="155">
        <v>2.4250551152124305E-2</v>
      </c>
      <c r="N53" s="155">
        <v>3.4509911328086854E-2</v>
      </c>
      <c r="O53" s="169">
        <v>3.8672428822330088E-4</v>
      </c>
      <c r="P53" s="169">
        <v>1.2885370540993183E-3</v>
      </c>
      <c r="Q53" s="155">
        <v>1.0275229742372631E-2</v>
      </c>
      <c r="R53" s="155">
        <v>1.5619443965693267E-2</v>
      </c>
      <c r="S53" s="3"/>
      <c r="T53" s="144">
        <v>1.0486854238575101</v>
      </c>
      <c r="U53" s="6">
        <v>1.394083206608338</v>
      </c>
      <c r="V53" s="166"/>
      <c r="W53" s="3"/>
      <c r="X53" s="172"/>
      <c r="Y53" s="172"/>
      <c r="Z53" s="172"/>
      <c r="AA53" s="172"/>
      <c r="AB53" s="172"/>
      <c r="AC53" s="134"/>
      <c r="AD53" s="134"/>
      <c r="AE53" s="134"/>
      <c r="AF53" s="134"/>
      <c r="AG53" s="134"/>
      <c r="AH53" s="134"/>
      <c r="AJ53" s="134"/>
      <c r="AK53" s="134"/>
      <c r="AL53" s="134"/>
      <c r="AM53" s="134"/>
      <c r="AN53" s="134"/>
      <c r="AP53" s="134"/>
      <c r="AQ53" s="134"/>
      <c r="AR53" s="134"/>
      <c r="AS53" s="134"/>
      <c r="AT53" s="134"/>
    </row>
    <row r="54" spans="1:46" x14ac:dyDescent="0.25">
      <c r="A54">
        <f t="shared" si="1"/>
        <v>49</v>
      </c>
      <c r="B54" s="11" t="s">
        <v>157</v>
      </c>
      <c r="C54" s="119">
        <v>1.3132425064011306</v>
      </c>
      <c r="D54" s="196">
        <v>1.9557646392414709</v>
      </c>
      <c r="E54" s="155">
        <f t="shared" si="0"/>
        <v>1.4892638866839127</v>
      </c>
      <c r="F54" s="162">
        <v>0.52184330336074891</v>
      </c>
      <c r="G54" s="163">
        <v>0.69371898297223622</v>
      </c>
      <c r="H54" s="4"/>
      <c r="I54" s="155">
        <v>8.3032808851847328E-2</v>
      </c>
      <c r="J54" s="155">
        <v>0.12109187668190854</v>
      </c>
      <c r="K54" s="155">
        <v>3.7955492467253757E-2</v>
      </c>
      <c r="L54" s="155">
        <v>5.0288425612244239E-2</v>
      </c>
      <c r="M54" s="155">
        <v>3.0754854905490906E-2</v>
      </c>
      <c r="N54" s="155">
        <v>4.6745614711876673E-2</v>
      </c>
      <c r="O54" s="169">
        <v>1.2338896311805746E-3</v>
      </c>
      <c r="P54" s="169">
        <v>2.6395008079129305E-3</v>
      </c>
      <c r="Q54" s="155">
        <v>1.3088571847922127E-2</v>
      </c>
      <c r="R54" s="155">
        <v>2.1418335549874705E-2</v>
      </c>
      <c r="S54" s="3"/>
      <c r="T54" s="144">
        <v>1.2379240706297947</v>
      </c>
      <c r="U54" s="6">
        <v>1.6456499906074016</v>
      </c>
      <c r="V54" s="166"/>
      <c r="W54" s="3"/>
      <c r="X54" s="172"/>
      <c r="Y54" s="172"/>
      <c r="Z54" s="172"/>
      <c r="AA54" s="172"/>
      <c r="AB54" s="172"/>
      <c r="AC54" s="134"/>
      <c r="AD54" s="134"/>
      <c r="AE54" s="134"/>
      <c r="AF54" s="134"/>
      <c r="AG54" s="134"/>
      <c r="AH54" s="134"/>
      <c r="AJ54" s="134"/>
      <c r="AK54" s="134"/>
      <c r="AL54" s="134"/>
      <c r="AM54" s="134"/>
      <c r="AN54" s="134"/>
      <c r="AP54" s="134"/>
      <c r="AQ54" s="134"/>
      <c r="AR54" s="134"/>
      <c r="AS54" s="134"/>
      <c r="AT54" s="134"/>
    </row>
    <row r="55" spans="1:46" x14ac:dyDescent="0.25">
      <c r="A55">
        <f t="shared" si="1"/>
        <v>50</v>
      </c>
      <c r="B55" s="11" t="s">
        <v>158</v>
      </c>
      <c r="C55" s="119">
        <v>1.16074085677494</v>
      </c>
      <c r="D55" s="196">
        <v>1.7506544736390244</v>
      </c>
      <c r="E55" s="155">
        <f t="shared" si="0"/>
        <v>1.5082216357087057</v>
      </c>
      <c r="F55" s="162">
        <v>0.47911574525999501</v>
      </c>
      <c r="G55" s="163">
        <v>0.63691856422651283</v>
      </c>
      <c r="H55" s="4"/>
      <c r="I55" s="155">
        <v>6.9659840083946101E-2</v>
      </c>
      <c r="J55" s="155">
        <v>0.10460270229922465</v>
      </c>
      <c r="K55" s="155">
        <v>3.3366579445150334E-2</v>
      </c>
      <c r="L55" s="155">
        <v>4.4689714985933542E-2</v>
      </c>
      <c r="M55" s="155">
        <v>2.5624897651641096E-2</v>
      </c>
      <c r="N55" s="155">
        <v>4.0306363817000243E-2</v>
      </c>
      <c r="O55" s="169">
        <v>3.1339270076027447E-4</v>
      </c>
      <c r="P55" s="169">
        <v>1.6039150513371236E-3</v>
      </c>
      <c r="Q55" s="155">
        <v>1.0354970286394382E-2</v>
      </c>
      <c r="R55" s="155">
        <v>1.8002708444953726E-2</v>
      </c>
      <c r="S55" s="3"/>
      <c r="T55" s="144">
        <v>1.1517249968832945</v>
      </c>
      <c r="U55" s="6">
        <v>1.5310601637619421</v>
      </c>
      <c r="V55" s="166"/>
      <c r="W55" s="3"/>
      <c r="X55" s="172"/>
      <c r="Y55" s="172"/>
      <c r="Z55" s="172"/>
      <c r="AA55" s="172"/>
      <c r="AB55" s="172"/>
      <c r="AC55" s="134"/>
      <c r="AD55" s="134"/>
      <c r="AE55" s="134"/>
      <c r="AF55" s="134"/>
      <c r="AG55" s="134"/>
      <c r="AH55" s="134"/>
      <c r="AJ55" s="134"/>
      <c r="AK55" s="134"/>
      <c r="AL55" s="134"/>
      <c r="AM55" s="134"/>
      <c r="AN55" s="134"/>
      <c r="AP55" s="134"/>
      <c r="AQ55" s="134"/>
      <c r="AR55" s="134"/>
      <c r="AS55" s="134"/>
      <c r="AT55" s="134"/>
    </row>
    <row r="56" spans="1:46" x14ac:dyDescent="0.25">
      <c r="A56">
        <f t="shared" si="1"/>
        <v>51</v>
      </c>
      <c r="B56" s="11" t="s">
        <v>12</v>
      </c>
      <c r="C56" s="119">
        <v>1.6391653435387921</v>
      </c>
      <c r="D56" s="196">
        <v>2.2345213624053506</v>
      </c>
      <c r="E56" s="155"/>
      <c r="F56" s="162">
        <v>0.48353595258675741</v>
      </c>
      <c r="G56" s="163">
        <v>0.64279462263619269</v>
      </c>
      <c r="H56" s="4"/>
      <c r="I56" s="155">
        <v>9.6290534803456729E-2</v>
      </c>
      <c r="J56" s="155">
        <v>0.13155577151197637</v>
      </c>
      <c r="K56" s="155">
        <v>3.6232260407330054E-2</v>
      </c>
      <c r="L56" s="155">
        <v>4.7659860489666007E-2</v>
      </c>
      <c r="M56" s="155">
        <v>3.8367663846070599E-2</v>
      </c>
      <c r="N56" s="155">
        <v>5.318457770847114E-2</v>
      </c>
      <c r="O56" s="169">
        <v>5.5544722049448029E-3</v>
      </c>
      <c r="P56" s="169">
        <v>6.856900606211502E-3</v>
      </c>
      <c r="Q56" s="155">
        <v>1.6136138345111271E-2</v>
      </c>
      <c r="R56" s="155">
        <v>2.3854432707627733E-2</v>
      </c>
      <c r="S56" s="3"/>
      <c r="T56" s="144">
        <v>1.7797371769820893</v>
      </c>
      <c r="U56" s="6">
        <v>2.3659160832814066</v>
      </c>
      <c r="V56" s="166"/>
      <c r="W56" s="3"/>
      <c r="X56" s="172"/>
      <c r="Y56" s="172"/>
      <c r="Z56" s="172"/>
      <c r="AA56" s="172"/>
      <c r="AB56" s="172"/>
      <c r="AC56" s="134"/>
      <c r="AD56" s="134"/>
      <c r="AE56" s="134"/>
      <c r="AF56" s="134"/>
      <c r="AG56" s="134"/>
      <c r="AH56" s="134"/>
      <c r="AJ56" s="134"/>
      <c r="AK56" s="134"/>
      <c r="AL56" s="134"/>
      <c r="AM56" s="134"/>
      <c r="AN56" s="134"/>
      <c r="AP56" s="134"/>
      <c r="AQ56" s="134"/>
      <c r="AR56" s="134"/>
      <c r="AS56" s="134"/>
      <c r="AT56" s="134"/>
    </row>
    <row r="57" spans="1:46" x14ac:dyDescent="0.25">
      <c r="A57">
        <f t="shared" si="1"/>
        <v>52</v>
      </c>
      <c r="B57" s="11" t="s">
        <v>20</v>
      </c>
      <c r="C57" s="119">
        <v>1.3623603805775513</v>
      </c>
      <c r="D57" s="196">
        <v>2.1769050206828817</v>
      </c>
      <c r="E57" s="155"/>
      <c r="F57" s="162">
        <v>0.66155645697108145</v>
      </c>
      <c r="G57" s="163">
        <v>0.8794484274361466</v>
      </c>
      <c r="H57" s="4"/>
      <c r="I57" s="155">
        <v>7.0304471514808134E-2</v>
      </c>
      <c r="J57" s="155">
        <v>0.11855309692999656</v>
      </c>
      <c r="K57" s="155">
        <v>4.6425385406430437E-2</v>
      </c>
      <c r="L57" s="155">
        <v>6.2060215829502607E-2</v>
      </c>
      <c r="M57" s="155">
        <v>8.2568184279054064E-3</v>
      </c>
      <c r="N57" s="155">
        <v>2.8528785766873153E-2</v>
      </c>
      <c r="O57" s="169">
        <v>1.8995495041253176E-3</v>
      </c>
      <c r="P57" s="169">
        <v>3.6814850851117405E-3</v>
      </c>
      <c r="Q57" s="155">
        <v>1.3722718176346946E-2</v>
      </c>
      <c r="R57" s="155">
        <v>2.4282610248509067E-2</v>
      </c>
      <c r="S57" s="3"/>
      <c r="T57" s="144">
        <v>1.1930083652902037</v>
      </c>
      <c r="U57" s="6">
        <v>1.5859407307069797</v>
      </c>
      <c r="V57" s="166"/>
      <c r="W57" s="3"/>
      <c r="X57" s="172"/>
      <c r="Y57" s="172"/>
      <c r="Z57" s="172"/>
      <c r="AA57" s="172"/>
      <c r="AB57" s="172"/>
      <c r="AC57" s="134"/>
      <c r="AD57" s="134"/>
      <c r="AE57" s="134"/>
      <c r="AF57" s="134"/>
      <c r="AG57" s="134"/>
      <c r="AH57" s="134"/>
      <c r="AJ57" s="134"/>
      <c r="AK57" s="134"/>
      <c r="AL57" s="134"/>
      <c r="AM57" s="134"/>
      <c r="AN57" s="134"/>
      <c r="AP57" s="134"/>
      <c r="AQ57" s="134"/>
      <c r="AR57" s="134"/>
      <c r="AS57" s="134"/>
      <c r="AT57" s="134"/>
    </row>
    <row r="58" spans="1:46" x14ac:dyDescent="0.25">
      <c r="A58">
        <f t="shared" si="1"/>
        <v>53</v>
      </c>
      <c r="B58" s="11" t="s">
        <v>21</v>
      </c>
      <c r="C58" s="119">
        <v>1.1670253240014952</v>
      </c>
      <c r="D58" s="196">
        <v>1.6657917712275512</v>
      </c>
      <c r="E58" s="155"/>
      <c r="F58" s="162">
        <v>0.40508788277123237</v>
      </c>
      <c r="G58" s="163">
        <v>0.53850869071355956</v>
      </c>
      <c r="H58" s="4"/>
      <c r="I58" s="155">
        <v>6.5232532427754161E-2</v>
      </c>
      <c r="J58" s="155">
        <v>9.4776395706705305E-2</v>
      </c>
      <c r="K58" s="155">
        <v>2.8123257622296303E-2</v>
      </c>
      <c r="L58" s="155">
        <v>3.7696862848019937E-2</v>
      </c>
      <c r="M58" s="155">
        <v>2.6091421689129039E-2</v>
      </c>
      <c r="N58" s="155">
        <v>3.8504464056742092E-2</v>
      </c>
      <c r="O58" s="169">
        <v>7.8938719645502186E-4</v>
      </c>
      <c r="P58" s="169">
        <v>1.8805117771770411E-3</v>
      </c>
      <c r="Q58" s="155">
        <v>1.0228465919873793E-2</v>
      </c>
      <c r="R58" s="155">
        <v>1.6694557024766247E-2</v>
      </c>
      <c r="S58" s="3"/>
      <c r="T58" s="144">
        <v>1.1536797572509905</v>
      </c>
      <c r="U58" s="6">
        <v>1.5336587491332581</v>
      </c>
      <c r="V58" s="166"/>
      <c r="W58" s="3"/>
      <c r="X58" s="172"/>
      <c r="Y58" s="172"/>
      <c r="Z58" s="172"/>
      <c r="AA58" s="172"/>
      <c r="AB58" s="172"/>
      <c r="AC58" s="134"/>
      <c r="AD58" s="134"/>
      <c r="AE58" s="134"/>
      <c r="AF58" s="134"/>
      <c r="AG58" s="134"/>
      <c r="AH58" s="134"/>
      <c r="AJ58" s="134"/>
      <c r="AK58" s="134"/>
      <c r="AL58" s="134"/>
      <c r="AM58" s="134"/>
      <c r="AN58" s="134"/>
      <c r="AP58" s="134"/>
      <c r="AQ58" s="134"/>
      <c r="AR58" s="134"/>
      <c r="AS58" s="134"/>
      <c r="AT58" s="134"/>
    </row>
    <row r="59" spans="1:46" x14ac:dyDescent="0.25">
      <c r="A59">
        <f t="shared" si="1"/>
        <v>54</v>
      </c>
      <c r="B59" s="11" t="s">
        <v>159</v>
      </c>
      <c r="C59" s="119">
        <v>1.0701681699166035</v>
      </c>
      <c r="D59" s="196">
        <v>1.8133700406767668</v>
      </c>
      <c r="E59" s="155"/>
      <c r="F59" s="162">
        <v>0.60361332237210996</v>
      </c>
      <c r="G59" s="163">
        <v>0.80242098999400246</v>
      </c>
      <c r="H59" s="4"/>
      <c r="I59" s="155">
        <v>6.8616812869995519E-2</v>
      </c>
      <c r="J59" s="155">
        <v>0.11263953047763635</v>
      </c>
      <c r="K59" s="155">
        <v>3.6799794332418201E-2</v>
      </c>
      <c r="L59" s="155">
        <v>5.1065231298454306E-2</v>
      </c>
      <c r="M59" s="155">
        <v>2.2631317318824628E-2</v>
      </c>
      <c r="N59" s="155">
        <v>4.112774257105084E-2</v>
      </c>
      <c r="O59" s="169">
        <v>2.3509784240529637E-4</v>
      </c>
      <c r="P59" s="169">
        <v>1.8609606768743251E-3</v>
      </c>
      <c r="Q59" s="155">
        <v>8.9506033763473783E-3</v>
      </c>
      <c r="R59" s="155">
        <v>1.8585595931256891E-2</v>
      </c>
      <c r="S59" s="3"/>
      <c r="T59" s="144">
        <v>1.0434067031622856</v>
      </c>
      <c r="U59" s="6">
        <v>1.3870658726145848</v>
      </c>
      <c r="V59" s="166"/>
      <c r="W59" s="3"/>
      <c r="X59" s="172"/>
      <c r="Y59" s="172"/>
      <c r="Z59" s="172"/>
      <c r="AA59" s="172"/>
      <c r="AB59" s="172"/>
      <c r="AC59" s="134"/>
      <c r="AD59" s="134"/>
      <c r="AE59" s="134"/>
      <c r="AF59" s="134"/>
      <c r="AG59" s="134"/>
      <c r="AH59" s="134"/>
      <c r="AJ59" s="134"/>
      <c r="AK59" s="134"/>
      <c r="AL59" s="134"/>
      <c r="AM59" s="134"/>
      <c r="AN59" s="134"/>
      <c r="AP59" s="134"/>
      <c r="AQ59" s="134"/>
      <c r="AR59" s="134"/>
      <c r="AS59" s="134"/>
      <c r="AT59" s="134"/>
    </row>
    <row r="60" spans="1:46" x14ac:dyDescent="0.25">
      <c r="A60">
        <f t="shared" si="1"/>
        <v>55</v>
      </c>
      <c r="B60" s="11" t="s">
        <v>59</v>
      </c>
      <c r="C60" s="119">
        <v>1.5887530511236032</v>
      </c>
      <c r="D60" s="196">
        <v>2.1022554716262571</v>
      </c>
      <c r="E60" s="155"/>
      <c r="F60" s="162">
        <v>0.41705613815085907</v>
      </c>
      <c r="G60" s="163">
        <v>0.55441884208742342</v>
      </c>
      <c r="H60" s="4"/>
      <c r="I60" s="155">
        <v>0.14493547127675732</v>
      </c>
      <c r="J60" s="155">
        <v>0.17535220317425199</v>
      </c>
      <c r="K60" s="155">
        <v>2.5852526629032604E-2</v>
      </c>
      <c r="L60" s="155">
        <v>3.5708982458584088E-2</v>
      </c>
      <c r="M60" s="155">
        <v>3.3794459512612098E-2</v>
      </c>
      <c r="N60" s="155">
        <v>4.6574243190968381E-2</v>
      </c>
      <c r="O60" s="169">
        <v>6.9595049462021871E-2</v>
      </c>
      <c r="P60" s="169">
        <v>7.0718411140392276E-2</v>
      </c>
      <c r="Q60" s="155">
        <v>1.5693435673090689E-2</v>
      </c>
      <c r="R60" s="155">
        <v>2.2350566384307258E-2</v>
      </c>
      <c r="S60" s="3"/>
      <c r="T60" s="144">
        <v>1.8428231562559751</v>
      </c>
      <c r="U60" s="6">
        <v>2.4497802262144317</v>
      </c>
      <c r="V60" s="166"/>
      <c r="W60" s="3"/>
      <c r="X60" s="172"/>
      <c r="Y60" s="172"/>
      <c r="Z60" s="172"/>
      <c r="AA60" s="172"/>
      <c r="AB60" s="172"/>
      <c r="AC60" s="134"/>
      <c r="AD60" s="134"/>
      <c r="AE60" s="134"/>
      <c r="AF60" s="134"/>
      <c r="AG60" s="134"/>
      <c r="AH60" s="134"/>
      <c r="AJ60" s="134"/>
      <c r="AK60" s="134"/>
      <c r="AL60" s="134"/>
      <c r="AM60" s="134"/>
      <c r="AN60" s="134"/>
      <c r="AP60" s="134"/>
      <c r="AQ60" s="134"/>
      <c r="AR60" s="134"/>
      <c r="AS60" s="134"/>
      <c r="AT60" s="134"/>
    </row>
    <row r="61" spans="1:46" x14ac:dyDescent="0.25">
      <c r="A61">
        <f t="shared" si="1"/>
        <v>56</v>
      </c>
      <c r="B61" s="11" t="s">
        <v>160</v>
      </c>
      <c r="C61" s="119">
        <v>1.5189485127323852</v>
      </c>
      <c r="D61" s="196">
        <v>2.1393386435437671</v>
      </c>
      <c r="E61" s="155"/>
      <c r="F61" s="162">
        <v>0.5038681450611856</v>
      </c>
      <c r="G61" s="163">
        <v>0.66982347937176612</v>
      </c>
      <c r="H61" s="4"/>
      <c r="I61" s="155">
        <v>8.325067923729898E-2</v>
      </c>
      <c r="J61" s="155">
        <v>0.11999878309680932</v>
      </c>
      <c r="K61" s="155">
        <v>3.2478099570257768E-2</v>
      </c>
      <c r="L61" s="155">
        <v>4.43862185533122E-2</v>
      </c>
      <c r="M61" s="155">
        <v>3.3540957731959024E-2</v>
      </c>
      <c r="N61" s="155">
        <v>4.8980907674542856E-2</v>
      </c>
      <c r="O61" s="169">
        <v>2.8233992137365765E-3</v>
      </c>
      <c r="P61" s="169">
        <v>4.1805933977688593E-3</v>
      </c>
      <c r="Q61" s="155">
        <v>1.4408222721345617E-2</v>
      </c>
      <c r="R61" s="155">
        <v>2.2451063471185403E-2</v>
      </c>
      <c r="S61" s="3"/>
      <c r="T61" s="144">
        <v>1.4498608044095052</v>
      </c>
      <c r="U61" s="6">
        <v>1.9273907631060778</v>
      </c>
      <c r="V61" s="166"/>
      <c r="W61" s="3"/>
      <c r="X61" s="172"/>
      <c r="Y61" s="172"/>
      <c r="Z61" s="172"/>
      <c r="AA61" s="172"/>
      <c r="AB61" s="172"/>
      <c r="AC61" s="134"/>
      <c r="AD61" s="134"/>
      <c r="AE61" s="134"/>
      <c r="AF61" s="134"/>
      <c r="AG61" s="134"/>
      <c r="AH61" s="134"/>
      <c r="AJ61" s="134"/>
      <c r="AK61" s="134"/>
      <c r="AL61" s="134"/>
      <c r="AM61" s="134"/>
      <c r="AN61" s="134"/>
      <c r="AP61" s="134"/>
      <c r="AQ61" s="134"/>
      <c r="AR61" s="134"/>
      <c r="AS61" s="134"/>
      <c r="AT61" s="134"/>
    </row>
    <row r="62" spans="1:46" x14ac:dyDescent="0.25">
      <c r="A62">
        <f t="shared" si="1"/>
        <v>57</v>
      </c>
      <c r="B62" s="11" t="s">
        <v>161</v>
      </c>
      <c r="C62" s="119">
        <v>1.1186763553965349</v>
      </c>
      <c r="D62" s="196">
        <v>1.6430934008571978</v>
      </c>
      <c r="E62" s="155"/>
      <c r="F62" s="162">
        <v>0.42592077277107415</v>
      </c>
      <c r="G62" s="163">
        <v>0.56620315602525095</v>
      </c>
      <c r="H62" s="4"/>
      <c r="I62" s="155">
        <v>5.4358261467260763E-2</v>
      </c>
      <c r="J62" s="155">
        <v>8.5421508761478387E-2</v>
      </c>
      <c r="K62" s="155">
        <v>2.6253679399284687E-2</v>
      </c>
      <c r="L62" s="155">
        <v>3.6319636712177625E-2</v>
      </c>
      <c r="M62" s="155">
        <v>1.9256445999606565E-2</v>
      </c>
      <c r="N62" s="155">
        <v>3.2307867240561276E-2</v>
      </c>
      <c r="O62" s="169">
        <v>1.4055224126384772E-3</v>
      </c>
      <c r="P62" s="169">
        <v>2.5527614300866683E-3</v>
      </c>
      <c r="Q62" s="155">
        <v>7.4426136557310266E-3</v>
      </c>
      <c r="R62" s="155">
        <v>1.4241243378652825E-2</v>
      </c>
      <c r="S62" s="3"/>
      <c r="T62" s="144">
        <v>1.0898470373878146</v>
      </c>
      <c r="U62" s="6">
        <v>1.4488019171711508</v>
      </c>
      <c r="V62" s="166"/>
      <c r="W62" s="3"/>
      <c r="X62" s="172"/>
      <c r="Y62" s="172"/>
      <c r="Z62" s="172"/>
      <c r="AA62" s="172"/>
      <c r="AB62" s="172"/>
      <c r="AC62" s="134"/>
      <c r="AD62" s="134"/>
      <c r="AE62" s="134"/>
      <c r="AF62" s="134"/>
      <c r="AG62" s="134"/>
      <c r="AH62" s="134"/>
      <c r="AJ62" s="134"/>
      <c r="AK62" s="134"/>
      <c r="AL62" s="134"/>
      <c r="AM62" s="134"/>
      <c r="AN62" s="134"/>
      <c r="AP62" s="134"/>
      <c r="AQ62" s="134"/>
      <c r="AR62" s="134"/>
      <c r="AS62" s="134"/>
      <c r="AT62" s="134"/>
    </row>
    <row r="63" spans="1:46" x14ac:dyDescent="0.25">
      <c r="A63">
        <f t="shared" si="1"/>
        <v>58</v>
      </c>
      <c r="B63" s="11" t="s">
        <v>162</v>
      </c>
      <c r="C63" s="119">
        <v>1.3578700500287697</v>
      </c>
      <c r="D63" s="196">
        <v>2.1166240878376374</v>
      </c>
      <c r="E63" s="155"/>
      <c r="F63" s="162">
        <v>0.61624447359990919</v>
      </c>
      <c r="G63" s="163">
        <v>0.8192123703319043</v>
      </c>
      <c r="H63" s="4"/>
      <c r="I63" s="155">
        <v>8.6844964004170452E-2</v>
      </c>
      <c r="J63" s="155">
        <v>0.13178889654022871</v>
      </c>
      <c r="K63" s="155">
        <v>3.9168647418625177E-2</v>
      </c>
      <c r="L63" s="155">
        <v>5.3732601473284382E-2</v>
      </c>
      <c r="M63" s="155">
        <v>3.2081801528030723E-2</v>
      </c>
      <c r="N63" s="155">
        <v>5.0965281101086744E-2</v>
      </c>
      <c r="O63" s="169">
        <v>2.9726831800024538E-3</v>
      </c>
      <c r="P63" s="169">
        <v>4.6325686554183915E-3</v>
      </c>
      <c r="Q63" s="155">
        <v>1.2621831877512094E-2</v>
      </c>
      <c r="R63" s="155">
        <v>2.2458445310439199E-2</v>
      </c>
      <c r="S63" s="3"/>
      <c r="T63" s="144">
        <v>1.2150445564795145</v>
      </c>
      <c r="U63" s="6">
        <v>1.6152348196451349</v>
      </c>
      <c r="V63" s="166"/>
      <c r="W63" s="3"/>
      <c r="X63" s="172"/>
      <c r="Y63" s="172"/>
      <c r="Z63" s="172"/>
      <c r="AA63" s="172"/>
      <c r="AB63" s="172"/>
      <c r="AC63" s="134"/>
      <c r="AD63" s="134"/>
      <c r="AE63" s="134"/>
      <c r="AF63" s="134"/>
      <c r="AG63" s="134"/>
      <c r="AH63" s="134"/>
      <c r="AJ63" s="134"/>
      <c r="AK63" s="134"/>
      <c r="AL63" s="134"/>
      <c r="AM63" s="134"/>
      <c r="AN63" s="134"/>
      <c r="AP63" s="134"/>
      <c r="AQ63" s="134"/>
      <c r="AR63" s="134"/>
      <c r="AS63" s="134"/>
      <c r="AT63" s="134"/>
    </row>
    <row r="64" spans="1:46" x14ac:dyDescent="0.25">
      <c r="A64">
        <f t="shared" si="1"/>
        <v>59</v>
      </c>
      <c r="B64" s="11" t="s">
        <v>22</v>
      </c>
      <c r="C64" s="119">
        <v>1.1720234177335063</v>
      </c>
      <c r="D64" s="196">
        <v>1.4246669034242552</v>
      </c>
      <c r="E64" s="155"/>
      <c r="F64" s="162">
        <v>0.2051918594035349</v>
      </c>
      <c r="G64" s="163">
        <v>0.27277438860070846</v>
      </c>
      <c r="H64" s="4"/>
      <c r="I64" s="155">
        <v>2.9664572720194904E-2</v>
      </c>
      <c r="J64" s="155">
        <v>4.4629622276108977E-2</v>
      </c>
      <c r="K64" s="155">
        <v>1.4150344305623421E-2</v>
      </c>
      <c r="L64" s="155">
        <v>1.899972623238674E-2</v>
      </c>
      <c r="M64" s="155">
        <v>4.2877759762747431E-3</v>
      </c>
      <c r="N64" s="155">
        <v>1.0575436882942229E-2</v>
      </c>
      <c r="O64" s="169">
        <v>7.4768593697207013E-4</v>
      </c>
      <c r="P64" s="169">
        <v>1.3003805276559693E-3</v>
      </c>
      <c r="Q64" s="155">
        <v>1.0478766501324671E-2</v>
      </c>
      <c r="R64" s="155">
        <v>1.3754078633124046E-2</v>
      </c>
      <c r="S64" s="3"/>
      <c r="T64" s="144">
        <v>1.3511908754910031</v>
      </c>
      <c r="U64" s="6">
        <v>1.7962226475080372</v>
      </c>
      <c r="V64" s="166"/>
      <c r="W64" s="3"/>
      <c r="X64" s="172"/>
      <c r="Y64" s="172"/>
      <c r="Z64" s="172"/>
      <c r="AA64" s="172"/>
      <c r="AB64" s="172"/>
      <c r="AC64" s="134"/>
      <c r="AD64" s="134"/>
      <c r="AE64" s="134"/>
      <c r="AF64" s="134"/>
      <c r="AG64" s="134"/>
      <c r="AH64" s="134"/>
      <c r="AJ64" s="134"/>
      <c r="AK64" s="134"/>
      <c r="AL64" s="134"/>
      <c r="AM64" s="134"/>
      <c r="AN64" s="134"/>
      <c r="AP64" s="134"/>
      <c r="AQ64" s="134"/>
      <c r="AR64" s="134"/>
      <c r="AS64" s="134"/>
      <c r="AT64" s="134"/>
    </row>
    <row r="65" spans="1:46" x14ac:dyDescent="0.25">
      <c r="A65">
        <f t="shared" si="1"/>
        <v>60</v>
      </c>
      <c r="B65" s="11" t="s">
        <v>163</v>
      </c>
      <c r="C65" s="119">
        <v>1</v>
      </c>
      <c r="D65" s="196">
        <v>1.7457076236262252</v>
      </c>
      <c r="E65" s="155"/>
      <c r="F65" s="162">
        <v>0.60564844347720115</v>
      </c>
      <c r="G65" s="163">
        <v>0.80512640392603341</v>
      </c>
      <c r="H65" s="4"/>
      <c r="I65" s="155">
        <v>6.626925566040795E-2</v>
      </c>
      <c r="J65" s="155">
        <v>0.11044039868940082</v>
      </c>
      <c r="K65" s="155">
        <v>5.6402769281852651E-2</v>
      </c>
      <c r="L65" s="155">
        <v>7.0716303085329044E-2</v>
      </c>
      <c r="M65" s="155">
        <v>0</v>
      </c>
      <c r="N65" s="155">
        <v>1.8558787138560368E-2</v>
      </c>
      <c r="O65" s="169">
        <v>0</v>
      </c>
      <c r="P65" s="169">
        <v>1.6313445354947914E-3</v>
      </c>
      <c r="Q65" s="155">
        <v>9.8664863785552955E-3</v>
      </c>
      <c r="R65" s="155">
        <v>1.9533963930016631E-2</v>
      </c>
      <c r="S65" s="3"/>
      <c r="T65" s="144">
        <v>1</v>
      </c>
      <c r="U65" s="6">
        <v>1.3293626238079177</v>
      </c>
      <c r="V65" s="166"/>
      <c r="W65" s="3"/>
      <c r="X65" s="172"/>
      <c r="Y65" s="172"/>
      <c r="Z65" s="172"/>
      <c r="AA65" s="172"/>
      <c r="AB65" s="172"/>
      <c r="AC65" s="134"/>
      <c r="AD65" s="134"/>
      <c r="AE65" s="134"/>
      <c r="AF65" s="134"/>
      <c r="AG65" s="134"/>
      <c r="AH65" s="134"/>
      <c r="AJ65" s="134"/>
      <c r="AK65" s="134"/>
      <c r="AL65" s="134"/>
      <c r="AM65" s="134"/>
      <c r="AN65" s="134"/>
      <c r="AP65" s="134"/>
      <c r="AQ65" s="134"/>
      <c r="AR65" s="134"/>
      <c r="AS65" s="134"/>
      <c r="AT65" s="134"/>
    </row>
    <row r="66" spans="1:46" x14ac:dyDescent="0.25">
      <c r="A66">
        <f t="shared" si="1"/>
        <v>61</v>
      </c>
      <c r="B66" s="11" t="s">
        <v>164</v>
      </c>
      <c r="C66" s="119">
        <v>1.1026320358958774</v>
      </c>
      <c r="D66" s="196">
        <v>1.8112969346818804</v>
      </c>
      <c r="E66" s="155"/>
      <c r="F66" s="162">
        <v>0.57556310180865444</v>
      </c>
      <c r="G66" s="163">
        <v>0.76513207518737647</v>
      </c>
      <c r="H66" s="4"/>
      <c r="I66" s="155">
        <v>6.6276045962540595E-2</v>
      </c>
      <c r="J66" s="155">
        <v>0.10825300531248712</v>
      </c>
      <c r="K66" s="155">
        <v>5.2975267299861073E-2</v>
      </c>
      <c r="L66" s="155">
        <v>6.6577782096189475E-2</v>
      </c>
      <c r="M66" s="155">
        <v>1.8632680330647783E-3</v>
      </c>
      <c r="N66" s="155">
        <v>1.9500154920694446E-2</v>
      </c>
      <c r="O66" s="169">
        <v>3.2392454730020858E-4</v>
      </c>
      <c r="P66" s="169">
        <v>1.8742327022708506E-3</v>
      </c>
      <c r="Q66" s="155">
        <v>1.1113586082314532E-2</v>
      </c>
      <c r="R66" s="155">
        <v>2.0300835593332348E-2</v>
      </c>
      <c r="S66" s="3"/>
      <c r="T66" s="144">
        <v>1.0559171157008769</v>
      </c>
      <c r="U66" s="6">
        <v>1.4036967474518061</v>
      </c>
      <c r="V66" s="166"/>
      <c r="W66" s="3"/>
      <c r="X66" s="172"/>
      <c r="Y66" s="172"/>
      <c r="Z66" s="172"/>
      <c r="AA66" s="172"/>
      <c r="AB66" s="172"/>
      <c r="AC66" s="134"/>
      <c r="AD66" s="134"/>
      <c r="AE66" s="134"/>
      <c r="AF66" s="134"/>
      <c r="AG66" s="134"/>
      <c r="AH66" s="134"/>
      <c r="AJ66" s="134"/>
      <c r="AK66" s="134"/>
      <c r="AL66" s="134"/>
      <c r="AM66" s="134"/>
      <c r="AN66" s="134"/>
      <c r="AP66" s="134"/>
      <c r="AQ66" s="134"/>
      <c r="AR66" s="134"/>
      <c r="AS66" s="134"/>
      <c r="AT66" s="134"/>
    </row>
    <row r="67" spans="1:46" x14ac:dyDescent="0.25">
      <c r="A67">
        <f t="shared" si="1"/>
        <v>62</v>
      </c>
      <c r="B67" s="11" t="s">
        <v>13</v>
      </c>
      <c r="C67" s="119">
        <v>1.0213749172038837</v>
      </c>
      <c r="D67" s="196">
        <v>1.7694974455747663</v>
      </c>
      <c r="E67" s="155"/>
      <c r="F67" s="162">
        <v>0.60760977960064744</v>
      </c>
      <c r="G67" s="163">
        <v>0.80773373086126721</v>
      </c>
      <c r="H67" s="4"/>
      <c r="I67" s="155">
        <v>5.9138510091361354E-2</v>
      </c>
      <c r="J67" s="155">
        <v>0.10345269725655196</v>
      </c>
      <c r="K67" s="155">
        <v>4.9019590811903449E-2</v>
      </c>
      <c r="L67" s="155">
        <v>6.337947766260596E-2</v>
      </c>
      <c r="M67" s="155">
        <v>4.5820863200139359E-4</v>
      </c>
      <c r="N67" s="155">
        <v>1.9077096675656515E-2</v>
      </c>
      <c r="O67" s="169">
        <v>1.697766354077078E-4</v>
      </c>
      <c r="P67" s="169">
        <v>1.8064041283701727E-3</v>
      </c>
      <c r="Q67" s="155">
        <v>9.4909340120487937E-3</v>
      </c>
      <c r="R67" s="155">
        <v>1.918971878991927E-2</v>
      </c>
      <c r="S67" s="3"/>
      <c r="T67" s="145">
        <v>1.0109058668616315</v>
      </c>
      <c r="U67" s="99">
        <v>1.343860475593996</v>
      </c>
      <c r="V67" s="166"/>
      <c r="W67" s="3"/>
      <c r="X67" s="172"/>
      <c r="Y67" s="172"/>
      <c r="Z67" s="172"/>
      <c r="AA67" s="172"/>
      <c r="AB67" s="172"/>
      <c r="AC67" s="134"/>
      <c r="AD67" s="134"/>
      <c r="AE67" s="134"/>
      <c r="AF67" s="134"/>
      <c r="AG67" s="134"/>
      <c r="AH67" s="134"/>
      <c r="AJ67" s="134"/>
      <c r="AK67" s="134"/>
      <c r="AL67" s="134"/>
      <c r="AM67" s="134"/>
      <c r="AN67" s="134"/>
      <c r="AP67" s="134"/>
      <c r="AQ67" s="134"/>
      <c r="AR67" s="134"/>
      <c r="AS67" s="134"/>
      <c r="AT67" s="134"/>
    </row>
    <row r="68" spans="1:46" x14ac:dyDescent="0.25">
      <c r="B68" s="115"/>
      <c r="C68" s="118"/>
      <c r="D68" s="80"/>
      <c r="E68" s="80"/>
      <c r="F68" s="80"/>
      <c r="G68" s="80"/>
      <c r="H68" s="80"/>
      <c r="I68" s="174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7"/>
      <c r="U68" s="81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</row>
    <row r="69" spans="1:46" x14ac:dyDescent="0.25">
      <c r="B69" s="11" t="s">
        <v>14</v>
      </c>
      <c r="C69" s="119">
        <v>1.1577492987280247</v>
      </c>
      <c r="D69" s="120">
        <v>1.5390686454688627</v>
      </c>
      <c r="E69" s="94"/>
      <c r="F69" s="94">
        <v>0.30969975564724772</v>
      </c>
      <c r="G69" s="94">
        <v>0.41170327975989618</v>
      </c>
      <c r="H69" s="95"/>
      <c r="I69" s="173">
        <v>6.8577963058970279E-2</v>
      </c>
      <c r="J69" s="17">
        <v>9.1164980907475088E-2</v>
      </c>
      <c r="K69" s="17">
        <v>2.2222494712754708E-2</v>
      </c>
      <c r="L69" s="17">
        <v>2.9541753878905157E-2</v>
      </c>
      <c r="M69" s="17">
        <v>2.8813468059273446E-2</v>
      </c>
      <c r="N69" s="17">
        <v>3.8303547500281351E-2</v>
      </c>
      <c r="O69" s="17">
        <v>2.5327459879900148E-3</v>
      </c>
      <c r="P69" s="17">
        <v>3.3669378520333804E-3</v>
      </c>
      <c r="Q69" s="17">
        <v>1.5009254298952101E-2</v>
      </c>
      <c r="R69" s="17">
        <v>1.9952741676255221E-2</v>
      </c>
      <c r="S69" s="105"/>
      <c r="U69" s="1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</row>
    <row r="70" spans="1:46" x14ac:dyDescent="0.25">
      <c r="B70" s="11" t="s">
        <v>34</v>
      </c>
      <c r="C70" s="119">
        <v>1.3425405247380089</v>
      </c>
      <c r="D70" s="120">
        <v>1.8182147165948994</v>
      </c>
      <c r="E70" s="94"/>
      <c r="F70" s="94">
        <v>0.38633282639578143</v>
      </c>
      <c r="G70" s="94">
        <v>0.51357641976062474</v>
      </c>
      <c r="H70" s="95"/>
      <c r="I70" s="173">
        <v>0.11168014842122738</v>
      </c>
      <c r="J70" s="17">
        <v>0.13985616821506927</v>
      </c>
      <c r="K70" s="17">
        <v>2.5520079679762789E-2</v>
      </c>
      <c r="L70" s="17">
        <v>3.4650439097943568E-2</v>
      </c>
      <c r="M70" s="17">
        <v>4.8237767434189255E-2</v>
      </c>
      <c r="N70" s="17">
        <v>6.0076101647604296E-2</v>
      </c>
      <c r="O70" s="17">
        <v>2.4805432977913523E-2</v>
      </c>
      <c r="P70" s="17">
        <v>2.5846039871253529E-2</v>
      </c>
      <c r="Q70" s="17">
        <v>1.31168683293618E-2</v>
      </c>
      <c r="R70" s="17">
        <v>1.9283587598267871E-2</v>
      </c>
      <c r="S70" s="105"/>
      <c r="U70" s="1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</row>
    <row r="71" spans="1:46" x14ac:dyDescent="0.25">
      <c r="B71" s="11" t="s">
        <v>42</v>
      </c>
      <c r="C71" s="119">
        <v>0.46964812812398449</v>
      </c>
      <c r="D71" s="120">
        <v>0.69995672655369723</v>
      </c>
      <c r="E71" s="94"/>
      <c r="F71" s="94">
        <v>0.18705192187801287</v>
      </c>
      <c r="G71" s="94">
        <v>0.24865983365606881</v>
      </c>
      <c r="H71" s="95"/>
      <c r="I71" s="173">
        <v>2.708207427369036E-2</v>
      </c>
      <c r="J71" s="17">
        <v>4.0724142183062834E-2</v>
      </c>
      <c r="K71" s="17">
        <v>1.4485110866946753E-2</v>
      </c>
      <c r="L71" s="17">
        <v>1.8905784337903915E-2</v>
      </c>
      <c r="M71" s="17">
        <v>4.9179724961084812E-3</v>
      </c>
      <c r="N71" s="17">
        <v>1.0649774235847191E-2</v>
      </c>
      <c r="O71" s="17">
        <v>6.3321688634023399E-4</v>
      </c>
      <c r="P71" s="17">
        <v>1.1370506431935723E-3</v>
      </c>
      <c r="Q71" s="17">
        <v>7.0457740242948902E-3</v>
      </c>
      <c r="R71" s="17">
        <v>1.0031532966118141E-2</v>
      </c>
      <c r="S71" s="105"/>
      <c r="U71" s="1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</row>
    <row r="72" spans="1:46" x14ac:dyDescent="0.25">
      <c r="B72" s="11" t="s">
        <v>194</v>
      </c>
      <c r="C72" s="119">
        <v>0.99553514273892019</v>
      </c>
      <c r="D72" s="120">
        <v>1.7104683957433342</v>
      </c>
      <c r="E72" s="94"/>
      <c r="F72" s="94">
        <v>0.58065413059160209</v>
      </c>
      <c r="G72" s="94">
        <v>0.77189989856815744</v>
      </c>
      <c r="H72" s="95"/>
      <c r="I72" s="173">
        <v>6.5295283066249404E-2</v>
      </c>
      <c r="J72" s="17">
        <v>0.10764354124963341</v>
      </c>
      <c r="K72" s="17">
        <v>5.3282943656580414E-2</v>
      </c>
      <c r="L72" s="17">
        <v>6.7005776788345836E-2</v>
      </c>
      <c r="M72" s="17">
        <v>1.806470448083125E-3</v>
      </c>
      <c r="N72" s="17">
        <v>1.9599360905963144E-2</v>
      </c>
      <c r="O72" s="17">
        <v>1.826015974673073E-4</v>
      </c>
      <c r="P72" s="17">
        <v>1.7466226944500274E-3</v>
      </c>
      <c r="Q72" s="17">
        <v>1.0023267364118552E-2</v>
      </c>
      <c r="R72" s="17">
        <v>1.9291780860874401E-2</v>
      </c>
      <c r="S72" s="105"/>
      <c r="U72" s="1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</row>
    <row r="73" spans="1:46" x14ac:dyDescent="0.25">
      <c r="B73" s="9" t="s">
        <v>196</v>
      </c>
      <c r="C73" s="121">
        <v>1.0839563491889688</v>
      </c>
      <c r="D73" s="96">
        <v>1.7172083920025865</v>
      </c>
      <c r="E73" s="97"/>
      <c r="F73" s="97">
        <v>0.51431432629561424</v>
      </c>
      <c r="G73" s="97">
        <v>0.68371024226633925</v>
      </c>
      <c r="H73" s="98"/>
      <c r="I73" s="176">
        <v>6.5366557423442412E-2</v>
      </c>
      <c r="J73" s="146">
        <v>0.10287652201318689</v>
      </c>
      <c r="K73" s="146">
        <v>4.516653606924606E-2</v>
      </c>
      <c r="L73" s="146">
        <v>5.7321533864302027E-2</v>
      </c>
      <c r="M73" s="146">
        <v>6.0728277339117771E-3</v>
      </c>
      <c r="N73" s="146">
        <v>2.1832878315783198E-2</v>
      </c>
      <c r="O73" s="146">
        <v>2.1490157938185909E-3</v>
      </c>
      <c r="P73" s="146">
        <v>3.5343472922567932E-3</v>
      </c>
      <c r="Q73" s="146">
        <v>1.197817782646598E-2</v>
      </c>
      <c r="R73" s="146">
        <v>2.0187762540844888E-2</v>
      </c>
      <c r="S73" s="116"/>
      <c r="T73" s="2"/>
      <c r="U73" s="10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</row>
    <row r="75" spans="1:46" x14ac:dyDescent="0.25"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66"/>
      <c r="U75" s="166"/>
    </row>
    <row r="76" spans="1:46" x14ac:dyDescent="0.25"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66"/>
      <c r="U76" s="166"/>
    </row>
  </sheetData>
  <mergeCells count="10">
    <mergeCell ref="T3:U3"/>
    <mergeCell ref="F4:G4"/>
    <mergeCell ref="C4:D4"/>
    <mergeCell ref="T4:U4"/>
    <mergeCell ref="I4:J4"/>
    <mergeCell ref="K4:L4"/>
    <mergeCell ref="M4:N4"/>
    <mergeCell ref="O4:P4"/>
    <mergeCell ref="Q4:R4"/>
    <mergeCell ref="C3:R3"/>
  </mergeCells>
  <phoneticPr fontId="0" type="noConversion"/>
  <pageMargins left="0.91" right="0.5" top="0.94" bottom="1.07" header="0.68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5"/>
  <sheetViews>
    <sheetView workbookViewId="0">
      <pane xSplit="2" ySplit="5" topLeftCell="C52" activePane="bottomRight" state="frozen"/>
      <selection pane="topRight" activeCell="B1" sqref="B1"/>
      <selection pane="bottomLeft" activeCell="A5" sqref="A5"/>
      <selection pane="bottomRight" activeCell="T65" sqref="T65"/>
    </sheetView>
  </sheetViews>
  <sheetFormatPr defaultRowHeight="12.5" x14ac:dyDescent="0.25"/>
  <cols>
    <col min="1" max="1" width="3.54296875" customWidth="1"/>
    <col min="2" max="2" width="41.453125" customWidth="1"/>
    <col min="3" max="3" width="1.81640625" customWidth="1"/>
    <col min="4" max="5" width="9.1796875" customWidth="1"/>
    <col min="6" max="6" width="2.7265625" customWidth="1"/>
    <col min="7" max="8" width="9.1796875" customWidth="1"/>
    <col min="9" max="9" width="2.1796875" customWidth="1"/>
    <col min="10" max="11" width="9.1796875" customWidth="1"/>
    <col min="12" max="12" width="1.81640625" customWidth="1"/>
    <col min="14" max="14" width="9.81640625" customWidth="1"/>
    <col min="15" max="15" width="1.453125" customWidth="1"/>
    <col min="18" max="18" width="1.7265625" customWidth="1"/>
    <col min="21" max="21" width="2" customWidth="1"/>
    <col min="24" max="24" width="1.54296875" customWidth="1"/>
    <col min="27" max="27" width="1.81640625" customWidth="1"/>
    <col min="30" max="30" width="1.54296875" customWidth="1"/>
    <col min="33" max="33" width="2" customWidth="1"/>
    <col min="36" max="36" width="1.7265625" customWidth="1"/>
    <col min="39" max="39" width="2.26953125" customWidth="1"/>
    <col min="42" max="42" width="1.26953125" customWidth="1"/>
    <col min="45" max="45" width="2.1796875" customWidth="1"/>
    <col min="48" max="48" width="1.1796875" customWidth="1"/>
    <col min="51" max="51" width="2" customWidth="1"/>
    <col min="54" max="54" width="1.26953125" customWidth="1"/>
    <col min="57" max="57" width="2" customWidth="1"/>
    <col min="60" max="60" width="1.81640625" customWidth="1"/>
    <col min="63" max="63" width="1.7265625" customWidth="1"/>
    <col min="66" max="66" width="1.54296875" customWidth="1"/>
    <col min="69" max="69" width="2.1796875" customWidth="1"/>
    <col min="72" max="72" width="2.26953125" customWidth="1"/>
  </cols>
  <sheetData>
    <row r="1" spans="1:74" x14ac:dyDescent="0.25">
      <c r="B1" s="48" t="s">
        <v>199</v>
      </c>
    </row>
    <row r="2" spans="1:74" ht="13" x14ac:dyDescent="0.3">
      <c r="D2" s="206" t="s">
        <v>45</v>
      </c>
      <c r="E2" s="206"/>
      <c r="F2" s="206"/>
      <c r="G2" s="206"/>
      <c r="H2" s="206"/>
      <c r="J2" s="206" t="s">
        <v>44</v>
      </c>
      <c r="K2" s="206"/>
      <c r="L2" s="206"/>
      <c r="M2" s="206"/>
      <c r="N2" s="206"/>
    </row>
    <row r="3" spans="1:74" x14ac:dyDescent="0.25">
      <c r="B3" s="19"/>
      <c r="C3" s="12"/>
      <c r="D3" s="200" t="s">
        <v>55</v>
      </c>
      <c r="E3" s="204"/>
      <c r="F3" s="12"/>
      <c r="G3" s="204" t="s">
        <v>56</v>
      </c>
      <c r="H3" s="201"/>
      <c r="I3" s="12"/>
      <c r="J3" s="200" t="s">
        <v>50</v>
      </c>
      <c r="K3" s="204"/>
      <c r="L3" s="12"/>
      <c r="M3" s="204" t="s">
        <v>51</v>
      </c>
      <c r="N3" s="201"/>
      <c r="O3" s="12"/>
      <c r="P3" s="204" t="s">
        <v>50</v>
      </c>
      <c r="Q3" s="204"/>
      <c r="R3" s="12"/>
      <c r="S3" s="204" t="s">
        <v>51</v>
      </c>
      <c r="T3" s="204"/>
      <c r="U3" s="12"/>
      <c r="V3" s="204" t="s">
        <v>50</v>
      </c>
      <c r="W3" s="204"/>
      <c r="X3" s="12"/>
      <c r="Y3" s="204" t="s">
        <v>51</v>
      </c>
      <c r="Z3" s="204"/>
      <c r="AA3" s="12"/>
      <c r="AB3" s="204" t="s">
        <v>50</v>
      </c>
      <c r="AC3" s="204"/>
      <c r="AD3" s="12"/>
      <c r="AE3" s="204" t="s">
        <v>51</v>
      </c>
      <c r="AF3" s="204"/>
      <c r="AG3" s="12"/>
      <c r="AH3" s="204" t="s">
        <v>50</v>
      </c>
      <c r="AI3" s="204"/>
      <c r="AJ3" s="12"/>
      <c r="AK3" s="204" t="s">
        <v>51</v>
      </c>
      <c r="AL3" s="204"/>
      <c r="AM3" s="12"/>
      <c r="AN3" s="204" t="s">
        <v>50</v>
      </c>
      <c r="AO3" s="204"/>
      <c r="AP3" s="12"/>
      <c r="AQ3" s="204" t="s">
        <v>51</v>
      </c>
      <c r="AR3" s="204"/>
      <c r="AS3" s="12"/>
      <c r="AT3" s="204" t="s">
        <v>50</v>
      </c>
      <c r="AU3" s="204"/>
      <c r="AV3" s="12"/>
      <c r="AW3" s="204" t="s">
        <v>51</v>
      </c>
      <c r="AX3" s="204"/>
      <c r="AY3" s="12"/>
      <c r="AZ3" s="204" t="s">
        <v>50</v>
      </c>
      <c r="BA3" s="204"/>
      <c r="BB3" s="12"/>
      <c r="BC3" s="204" t="s">
        <v>51</v>
      </c>
      <c r="BD3" s="204"/>
      <c r="BE3" s="12"/>
      <c r="BF3" s="204" t="s">
        <v>50</v>
      </c>
      <c r="BG3" s="204"/>
      <c r="BH3" s="12"/>
      <c r="BI3" s="204" t="s">
        <v>51</v>
      </c>
      <c r="BJ3" s="204"/>
      <c r="BK3" s="12"/>
      <c r="BL3" s="204" t="s">
        <v>50</v>
      </c>
      <c r="BM3" s="204"/>
      <c r="BN3" s="12"/>
      <c r="BO3" s="204" t="s">
        <v>51</v>
      </c>
      <c r="BP3" s="204"/>
      <c r="BQ3" s="12"/>
      <c r="BR3" s="204" t="s">
        <v>50</v>
      </c>
      <c r="BS3" s="204"/>
      <c r="BT3" s="12"/>
      <c r="BU3" s="204" t="s">
        <v>51</v>
      </c>
      <c r="BV3" s="201"/>
    </row>
    <row r="4" spans="1:74" x14ac:dyDescent="0.25">
      <c r="B4" s="5" t="s">
        <v>16</v>
      </c>
      <c r="C4" s="13"/>
      <c r="D4" s="70" t="s">
        <v>52</v>
      </c>
      <c r="E4" s="13" t="s">
        <v>53</v>
      </c>
      <c r="F4" s="13"/>
      <c r="G4" s="13" t="s">
        <v>52</v>
      </c>
      <c r="H4" s="16" t="s">
        <v>53</v>
      </c>
      <c r="I4" s="13"/>
      <c r="J4" s="70" t="s">
        <v>0</v>
      </c>
      <c r="K4" s="13" t="s">
        <v>1</v>
      </c>
      <c r="L4" s="13"/>
      <c r="M4" s="13" t="s">
        <v>0</v>
      </c>
      <c r="N4" s="16" t="s">
        <v>1</v>
      </c>
      <c r="O4" s="13"/>
      <c r="P4" s="13" t="s">
        <v>0</v>
      </c>
      <c r="Q4" s="13" t="s">
        <v>1</v>
      </c>
      <c r="R4" s="13"/>
      <c r="S4" s="13" t="s">
        <v>0</v>
      </c>
      <c r="T4" s="13" t="s">
        <v>1</v>
      </c>
      <c r="U4" s="13"/>
      <c r="V4" s="13" t="s">
        <v>0</v>
      </c>
      <c r="W4" s="13" t="s">
        <v>1</v>
      </c>
      <c r="X4" s="13"/>
      <c r="Y4" s="13" t="s">
        <v>0</v>
      </c>
      <c r="Z4" s="13" t="s">
        <v>1</v>
      </c>
      <c r="AA4" s="13"/>
      <c r="AB4" s="13" t="s">
        <v>0</v>
      </c>
      <c r="AC4" s="13" t="s">
        <v>1</v>
      </c>
      <c r="AD4" s="13"/>
      <c r="AE4" s="13" t="s">
        <v>0</v>
      </c>
      <c r="AF4" s="13" t="s">
        <v>1</v>
      </c>
      <c r="AG4" s="13"/>
      <c r="AH4" s="13" t="s">
        <v>0</v>
      </c>
      <c r="AI4" s="13" t="s">
        <v>1</v>
      </c>
      <c r="AJ4" s="13"/>
      <c r="AK4" s="13" t="s">
        <v>0</v>
      </c>
      <c r="AL4" s="13" t="s">
        <v>1</v>
      </c>
      <c r="AM4" s="13"/>
      <c r="AN4" s="13" t="s">
        <v>0</v>
      </c>
      <c r="AO4" s="13" t="s">
        <v>1</v>
      </c>
      <c r="AP4" s="13"/>
      <c r="AQ4" s="13" t="s">
        <v>0</v>
      </c>
      <c r="AR4" s="13" t="s">
        <v>1</v>
      </c>
      <c r="AS4" s="13"/>
      <c r="AT4" s="13" t="s">
        <v>0</v>
      </c>
      <c r="AU4" s="13" t="s">
        <v>1</v>
      </c>
      <c r="AV4" s="13"/>
      <c r="AW4" s="13" t="s">
        <v>0</v>
      </c>
      <c r="AX4" s="13" t="s">
        <v>1</v>
      </c>
      <c r="AY4" s="13"/>
      <c r="AZ4" s="13" t="s">
        <v>0</v>
      </c>
      <c r="BA4" s="13" t="s">
        <v>1</v>
      </c>
      <c r="BB4" s="13"/>
      <c r="BC4" s="13" t="s">
        <v>0</v>
      </c>
      <c r="BD4" s="13" t="s">
        <v>1</v>
      </c>
      <c r="BE4" s="13"/>
      <c r="BF4" s="13" t="s">
        <v>0</v>
      </c>
      <c r="BG4" s="13" t="s">
        <v>1</v>
      </c>
      <c r="BH4" s="13"/>
      <c r="BI4" s="13" t="s">
        <v>0</v>
      </c>
      <c r="BJ4" s="13" t="s">
        <v>1</v>
      </c>
      <c r="BK4" s="13"/>
      <c r="BL4" s="13" t="s">
        <v>0</v>
      </c>
      <c r="BM4" s="13" t="s">
        <v>1</v>
      </c>
      <c r="BN4" s="13"/>
      <c r="BO4" s="13" t="s">
        <v>0</v>
      </c>
      <c r="BP4" s="13" t="s">
        <v>1</v>
      </c>
      <c r="BQ4" s="13"/>
      <c r="BR4" s="13" t="s">
        <v>0</v>
      </c>
      <c r="BS4" s="13" t="s">
        <v>1</v>
      </c>
      <c r="BT4" s="13"/>
      <c r="BU4" s="13" t="s">
        <v>0</v>
      </c>
      <c r="BV4" s="16" t="s">
        <v>1</v>
      </c>
    </row>
    <row r="5" spans="1:74" ht="13" x14ac:dyDescent="0.3">
      <c r="B5" s="21"/>
      <c r="C5" s="14"/>
      <c r="D5" s="181">
        <v>2022</v>
      </c>
      <c r="E5" s="182">
        <v>2022</v>
      </c>
      <c r="F5" s="182"/>
      <c r="G5" s="182">
        <v>2022</v>
      </c>
      <c r="H5" s="183">
        <v>2022</v>
      </c>
      <c r="I5" s="14"/>
      <c r="J5" s="71">
        <v>2022</v>
      </c>
      <c r="K5" s="15">
        <v>2022</v>
      </c>
      <c r="L5" s="15"/>
      <c r="M5" s="15">
        <v>2022</v>
      </c>
      <c r="N5" s="18">
        <v>2022</v>
      </c>
      <c r="O5" s="15"/>
      <c r="P5" s="15">
        <v>2023</v>
      </c>
      <c r="Q5" s="15">
        <v>2023</v>
      </c>
      <c r="R5" s="15"/>
      <c r="S5" s="15">
        <v>2023</v>
      </c>
      <c r="T5" s="15">
        <v>2023</v>
      </c>
      <c r="U5" s="15"/>
      <c r="V5" s="15">
        <v>2024</v>
      </c>
      <c r="W5" s="15">
        <v>2024</v>
      </c>
      <c r="X5" s="15"/>
      <c r="Y5" s="15">
        <v>2024</v>
      </c>
      <c r="Z5" s="15">
        <v>2024</v>
      </c>
      <c r="AA5" s="15"/>
      <c r="AB5" s="15">
        <v>2025</v>
      </c>
      <c r="AC5" s="15">
        <v>2025</v>
      </c>
      <c r="AD5" s="15"/>
      <c r="AE5" s="15">
        <v>2025</v>
      </c>
      <c r="AF5" s="15">
        <v>2025</v>
      </c>
      <c r="AG5" s="15"/>
      <c r="AH5" s="15">
        <v>2026</v>
      </c>
      <c r="AI5" s="15">
        <v>2026</v>
      </c>
      <c r="AJ5" s="15"/>
      <c r="AK5" s="15">
        <v>2026</v>
      </c>
      <c r="AL5" s="15">
        <v>2026</v>
      </c>
      <c r="AM5" s="15"/>
      <c r="AN5" s="15">
        <v>2027</v>
      </c>
      <c r="AO5" s="15">
        <v>2027</v>
      </c>
      <c r="AP5" s="15"/>
      <c r="AQ5" s="15">
        <v>2027</v>
      </c>
      <c r="AR5" s="15">
        <v>2027</v>
      </c>
      <c r="AS5" s="15"/>
      <c r="AT5" s="15">
        <v>2028</v>
      </c>
      <c r="AU5" s="15">
        <v>2028</v>
      </c>
      <c r="AV5" s="15"/>
      <c r="AW5" s="15">
        <v>2028</v>
      </c>
      <c r="AX5" s="15">
        <v>2028</v>
      </c>
      <c r="AY5" s="15"/>
      <c r="AZ5" s="15">
        <v>2029</v>
      </c>
      <c r="BA5" s="15">
        <v>2029</v>
      </c>
      <c r="BB5" s="15"/>
      <c r="BC5" s="15">
        <v>2029</v>
      </c>
      <c r="BD5" s="15">
        <v>2029</v>
      </c>
      <c r="BE5" s="15"/>
      <c r="BF5" s="15">
        <v>2030</v>
      </c>
      <c r="BG5" s="15">
        <v>2030</v>
      </c>
      <c r="BH5" s="15"/>
      <c r="BI5" s="15">
        <v>2030</v>
      </c>
      <c r="BJ5" s="15">
        <v>2030</v>
      </c>
      <c r="BK5" s="15"/>
      <c r="BL5" s="15">
        <v>2031</v>
      </c>
      <c r="BM5" s="15">
        <v>2031</v>
      </c>
      <c r="BN5" s="15"/>
      <c r="BO5" s="15">
        <v>2031</v>
      </c>
      <c r="BP5" s="15">
        <v>2031</v>
      </c>
      <c r="BQ5" s="15"/>
      <c r="BR5" s="15">
        <v>2032</v>
      </c>
      <c r="BS5" s="15">
        <v>2032</v>
      </c>
      <c r="BT5" s="15"/>
      <c r="BU5" s="15">
        <v>2032</v>
      </c>
      <c r="BV5" s="15">
        <v>2032</v>
      </c>
    </row>
    <row r="6" spans="1:74" x14ac:dyDescent="0.25">
      <c r="A6">
        <v>1</v>
      </c>
      <c r="B6" s="5" t="s">
        <v>182</v>
      </c>
      <c r="D6" s="78">
        <v>1.2263863463106646</v>
      </c>
      <c r="E6" s="79">
        <v>1.5286100574272736</v>
      </c>
      <c r="F6" s="3"/>
      <c r="G6" s="78">
        <v>1.1951236070473121</v>
      </c>
      <c r="H6" s="79">
        <v>1.4012303961758319</v>
      </c>
      <c r="J6" s="78">
        <v>8.4997987162675361</v>
      </c>
      <c r="K6" s="143">
        <v>10.59444101190496</v>
      </c>
      <c r="L6" s="143"/>
      <c r="M6" s="143">
        <v>16.808631209523963</v>
      </c>
      <c r="N6" s="79">
        <v>19.707388281856872</v>
      </c>
      <c r="O6" s="3"/>
      <c r="P6" s="78">
        <v>7.8711864993404843</v>
      </c>
      <c r="Q6" s="143">
        <v>9.919366573265842</v>
      </c>
      <c r="R6" s="143"/>
      <c r="S6" s="143">
        <v>15.563228949471972</v>
      </c>
      <c r="T6" s="79">
        <v>18.41767865933107</v>
      </c>
      <c r="U6" s="3"/>
      <c r="V6" s="78">
        <v>7.2984073847824442</v>
      </c>
      <c r="W6" s="143">
        <v>9.3065027044740063</v>
      </c>
      <c r="X6" s="143"/>
      <c r="Y6" s="143">
        <v>14.432120454539605</v>
      </c>
      <c r="Z6" s="79">
        <v>17.254066038289434</v>
      </c>
      <c r="AA6" s="3"/>
      <c r="AB6" s="78">
        <v>7.1611976634362255</v>
      </c>
      <c r="AC6" s="143">
        <v>9.1044285912206497</v>
      </c>
      <c r="AD6" s="143"/>
      <c r="AE6" s="3">
        <v>14.16871459219127</v>
      </c>
      <c r="AF6" s="79">
        <v>16.900212005851071</v>
      </c>
      <c r="AG6" s="3"/>
      <c r="AH6" s="78">
        <v>7.0268603815497004</v>
      </c>
      <c r="AI6" s="3">
        <v>8.9074043572014912</v>
      </c>
      <c r="AJ6" s="143"/>
      <c r="AK6" s="143">
        <v>13.910526749600647</v>
      </c>
      <c r="AL6" s="3">
        <v>16.554584839430905</v>
      </c>
      <c r="AM6" s="3"/>
      <c r="AN6" s="3">
        <v>6.89532485827832</v>
      </c>
      <c r="AO6" s="143">
        <v>8.7152835163961662</v>
      </c>
      <c r="AP6" s="143"/>
      <c r="AQ6" s="143">
        <v>13.657438927127941</v>
      </c>
      <c r="AR6" s="79">
        <v>16.216962958090921</v>
      </c>
      <c r="AS6" s="3"/>
      <c r="AT6" s="78">
        <v>6.7665225105639859</v>
      </c>
      <c r="AU6" s="3">
        <v>8.5279244157646943</v>
      </c>
      <c r="AV6" s="143"/>
      <c r="AW6" s="143">
        <v>13.409336299344291</v>
      </c>
      <c r="AX6" s="3">
        <v>15.887131641428486</v>
      </c>
      <c r="AY6" s="3"/>
      <c r="AZ6" s="78">
        <v>6.6403867798330092</v>
      </c>
      <c r="BA6" s="143">
        <v>8.3451900596529764</v>
      </c>
      <c r="BB6" s="143"/>
      <c r="BC6" s="143">
        <v>13.166107113361759</v>
      </c>
      <c r="BD6" s="79">
        <v>15.564882792273393</v>
      </c>
      <c r="BE6" s="3"/>
      <c r="BF6" s="78">
        <v>6.5168530615625029</v>
      </c>
      <c r="BG6" s="143">
        <v>8.1669479410321681</v>
      </c>
      <c r="BH6" s="143"/>
      <c r="BI6" s="143">
        <v>12.92764259089704</v>
      </c>
      <c r="BJ6" s="79">
        <v>15.250014708280212</v>
      </c>
      <c r="BK6" s="3"/>
      <c r="BL6" s="78">
        <v>6.3958586375947535</v>
      </c>
      <c r="BM6" s="143">
        <v>7.9930698792923867</v>
      </c>
      <c r="BN6" s="143"/>
      <c r="BO6" s="143">
        <v>12.693836833918443</v>
      </c>
      <c r="BP6" s="79">
        <v>14.942331862062472</v>
      </c>
      <c r="BQ6" s="3"/>
      <c r="BR6" s="78">
        <v>6.2773426110845261</v>
      </c>
      <c r="BS6" s="143">
        <v>7.8234318643227736</v>
      </c>
      <c r="BT6" s="143"/>
      <c r="BU6" s="143">
        <v>12.464586733732624</v>
      </c>
      <c r="BV6" s="79">
        <v>14.641644689529949</v>
      </c>
    </row>
    <row r="7" spans="1:74" x14ac:dyDescent="0.25">
      <c r="A7">
        <f>A6+1</f>
        <v>2</v>
      </c>
      <c r="B7" s="5" t="s">
        <v>125</v>
      </c>
      <c r="D7" s="104">
        <v>1.2320224849094592</v>
      </c>
      <c r="E7" s="105">
        <v>1.5277566537282639</v>
      </c>
      <c r="F7" s="3"/>
      <c r="G7" s="104">
        <v>1.1854351057179207</v>
      </c>
      <c r="H7" s="105">
        <v>1.3871162370415895</v>
      </c>
      <c r="J7" s="104">
        <v>8.5388614828833376</v>
      </c>
      <c r="K7" s="3">
        <v>10.588526269224463</v>
      </c>
      <c r="L7" s="3"/>
      <c r="M7" s="3">
        <v>16.672368780384044</v>
      </c>
      <c r="N7" s="105">
        <v>19.508881872711338</v>
      </c>
      <c r="O7" s="3"/>
      <c r="P7" s="104">
        <v>8.30560274697919</v>
      </c>
      <c r="Q7" s="3">
        <v>10.309802978376142</v>
      </c>
      <c r="R7" s="3"/>
      <c r="S7" s="3">
        <v>16.20623418981522</v>
      </c>
      <c r="T7" s="105">
        <v>18.999391315910302</v>
      </c>
      <c r="U7" s="3"/>
      <c r="V7" s="104">
        <v>8.0831599499180538</v>
      </c>
      <c r="W7" s="3">
        <v>10.048136152757362</v>
      </c>
      <c r="X7" s="3"/>
      <c r="Y7" s="3">
        <v>15.761453348275221</v>
      </c>
      <c r="Z7" s="105">
        <v>18.522804297804651</v>
      </c>
      <c r="AA7" s="3"/>
      <c r="AB7" s="104">
        <v>7.9364554939816356</v>
      </c>
      <c r="AC7" s="3">
        <v>9.8379601149396816</v>
      </c>
      <c r="AD7" s="3"/>
      <c r="AE7" s="3">
        <v>15.483169879552129</v>
      </c>
      <c r="AF7" s="105">
        <v>18.156014820390403</v>
      </c>
      <c r="AG7" s="3"/>
      <c r="AH7" s="104">
        <v>7.7926353657703542</v>
      </c>
      <c r="AI7" s="3">
        <v>9.6327990892315292</v>
      </c>
      <c r="AJ7" s="3"/>
      <c r="AK7" s="3">
        <v>15.210085706297903</v>
      </c>
      <c r="AL7" s="3">
        <v>17.79736887681953</v>
      </c>
      <c r="AM7" s="3"/>
      <c r="AN7" s="3">
        <v>7.6516348763134063</v>
      </c>
      <c r="AO7" s="3">
        <v>9.4325142092238643</v>
      </c>
      <c r="AP7" s="3"/>
      <c r="AQ7" s="3">
        <v>14.942093371577419</v>
      </c>
      <c r="AR7" s="105">
        <v>17.446657653023017</v>
      </c>
      <c r="AS7" s="3"/>
      <c r="AT7" s="104">
        <v>7.5133910642195678</v>
      </c>
      <c r="AU7" s="3">
        <v>9.2369710125493274</v>
      </c>
      <c r="AV7" s="3"/>
      <c r="AW7" s="3">
        <v>14.679088006241834</v>
      </c>
      <c r="AX7" s="3">
        <v>17.103678529887578</v>
      </c>
      <c r="AY7" s="3"/>
      <c r="AZ7" s="104">
        <v>7.3778426406725606</v>
      </c>
      <c r="BA7" s="3">
        <v>9.0460392857815943</v>
      </c>
      <c r="BB7" s="3"/>
      <c r="BC7" s="3">
        <v>14.420967254222729</v>
      </c>
      <c r="BD7" s="105">
        <v>16.768234875828973</v>
      </c>
      <c r="BE7" s="3"/>
      <c r="BF7" s="104">
        <v>7.2449299364343247</v>
      </c>
      <c r="BG7" s="3">
        <v>8.8595929152230575</v>
      </c>
      <c r="BH7" s="3"/>
      <c r="BI7" s="3">
        <v>14.167631200364795</v>
      </c>
      <c r="BJ7" s="105">
        <v>16.440135846955179</v>
      </c>
      <c r="BK7" s="3"/>
      <c r="BL7" s="104">
        <v>7.1145948507760028</v>
      </c>
      <c r="BM7" s="3">
        <v>8.6775097433446131</v>
      </c>
      <c r="BN7" s="3"/>
      <c r="BO7" s="3">
        <v>13.918982300700215</v>
      </c>
      <c r="BP7" s="105">
        <v>16.119196194522818</v>
      </c>
      <c r="BQ7" s="3"/>
      <c r="BR7" s="104">
        <v>6.9867808022597817</v>
      </c>
      <c r="BS7" s="3">
        <v>8.4996714306515582</v>
      </c>
      <c r="BT7" s="3"/>
      <c r="BU7" s="3">
        <v>13.674925315071548</v>
      </c>
      <c r="BV7" s="105">
        <v>15.805236079403587</v>
      </c>
    </row>
    <row r="8" spans="1:74" x14ac:dyDescent="0.25">
      <c r="A8">
        <f t="shared" ref="A8:A67" si="0">A7+1</f>
        <v>3</v>
      </c>
      <c r="B8" s="5" t="s">
        <v>2</v>
      </c>
      <c r="D8" s="104">
        <v>1.1992214866645319</v>
      </c>
      <c r="E8" s="105">
        <v>1.4899646315324053</v>
      </c>
      <c r="F8" s="3"/>
      <c r="G8" s="104">
        <v>1.1088648290062932</v>
      </c>
      <c r="H8" s="105">
        <v>1.2682189447007974</v>
      </c>
      <c r="J8" s="104">
        <v>10.605499653463911</v>
      </c>
      <c r="K8" s="3">
        <v>13.176731370400121</v>
      </c>
      <c r="L8" s="3"/>
      <c r="M8" s="3">
        <v>24.760447713929416</v>
      </c>
      <c r="N8" s="105">
        <v>28.318752699749144</v>
      </c>
      <c r="O8" s="3"/>
      <c r="P8" s="104">
        <v>11.540288389275652</v>
      </c>
      <c r="Q8" s="3">
        <v>14.054486435902531</v>
      </c>
      <c r="R8" s="3"/>
      <c r="S8" s="3">
        <v>27.201615888778917</v>
      </c>
      <c r="T8" s="105">
        <v>30.705532353979301</v>
      </c>
      <c r="U8" s="3"/>
      <c r="V8" s="104">
        <v>12.589993664055291</v>
      </c>
      <c r="W8" s="3">
        <v>15.054986559203</v>
      </c>
      <c r="X8" s="3"/>
      <c r="Y8" s="3">
        <v>29.928822550920817</v>
      </c>
      <c r="Z8" s="105">
        <v>33.392839296652362</v>
      </c>
      <c r="AA8" s="3"/>
      <c r="AB8" s="104">
        <v>12.354217026221738</v>
      </c>
      <c r="AC8" s="3">
        <v>14.739587074968046</v>
      </c>
      <c r="AD8" s="3"/>
      <c r="AE8" s="3">
        <v>29.395936318353638</v>
      </c>
      <c r="AF8" s="105">
        <v>32.7489254179049</v>
      </c>
      <c r="AG8" s="3"/>
      <c r="AH8" s="104">
        <v>12.123312996970812</v>
      </c>
      <c r="AI8" s="3">
        <v>14.43173306724241</v>
      </c>
      <c r="AJ8" s="3"/>
      <c r="AK8" s="3">
        <v>28.873169973760142</v>
      </c>
      <c r="AL8" s="3">
        <v>32.118824869659434</v>
      </c>
      <c r="AM8" s="3"/>
      <c r="AN8" s="3">
        <v>11.897165215588547</v>
      </c>
      <c r="AO8" s="3">
        <v>14.131215122349001</v>
      </c>
      <c r="AP8" s="3"/>
      <c r="AQ8" s="3">
        <v>28.360308985041229</v>
      </c>
      <c r="AR8" s="105">
        <v>31.502195970890401</v>
      </c>
      <c r="AS8" s="3"/>
      <c r="AT8" s="104">
        <v>11.675660608861154</v>
      </c>
      <c r="AU8" s="3">
        <v>13.837830471637524</v>
      </c>
      <c r="AV8" s="3"/>
      <c r="AW8" s="3">
        <v>27.857144137582811</v>
      </c>
      <c r="AX8" s="3">
        <v>30.898706883123058</v>
      </c>
      <c r="AY8" s="3"/>
      <c r="AZ8" s="104">
        <v>11.458689283003469</v>
      </c>
      <c r="BA8" s="3">
        <v>13.551382757846172</v>
      </c>
      <c r="BB8" s="3"/>
      <c r="BC8" s="3">
        <v>27.363471377577767</v>
      </c>
      <c r="BD8" s="105">
        <v>30.308035287262332</v>
      </c>
      <c r="BE8" s="3"/>
      <c r="BF8" s="104">
        <v>11.246144419558332</v>
      </c>
      <c r="BG8" s="3">
        <v>13.27168181030185</v>
      </c>
      <c r="BH8" s="3"/>
      <c r="BI8" s="3">
        <v>26.879091660697117</v>
      </c>
      <c r="BJ8" s="105">
        <v>29.729868072106687</v>
      </c>
      <c r="BK8" s="3"/>
      <c r="BL8" s="104">
        <v>11.037922175109516</v>
      </c>
      <c r="BM8" s="3">
        <v>12.998543428606304</v>
      </c>
      <c r="BN8" s="3"/>
      <c r="BO8" s="3">
        <v>26.403810805907369</v>
      </c>
      <c r="BP8" s="105">
        <v>29.16390103409498</v>
      </c>
      <c r="BQ8" s="3"/>
      <c r="BR8" s="104">
        <v>10.833921584657823</v>
      </c>
      <c r="BS8" s="3">
        <v>12.731789174470171</v>
      </c>
      <c r="BT8" s="3"/>
      <c r="BU8" s="3">
        <v>25.937439354240244</v>
      </c>
      <c r="BV8" s="105">
        <v>28.609838587853044</v>
      </c>
    </row>
    <row r="9" spans="1:74" x14ac:dyDescent="0.25">
      <c r="A9">
        <f t="shared" si="0"/>
        <v>4</v>
      </c>
      <c r="B9" s="5" t="s">
        <v>126</v>
      </c>
      <c r="D9" s="104">
        <v>1.4919630314043897</v>
      </c>
      <c r="E9" s="105">
        <v>1.816362754745704</v>
      </c>
      <c r="F9" s="3"/>
      <c r="G9" s="104">
        <v>1.4850204050446087</v>
      </c>
      <c r="H9" s="105">
        <v>1.6628214364948559</v>
      </c>
      <c r="J9" s="104">
        <v>13.194404527015054</v>
      </c>
      <c r="K9" s="3">
        <v>16.063283371947321</v>
      </c>
      <c r="L9" s="3"/>
      <c r="M9" s="3">
        <v>33.159830784944702</v>
      </c>
      <c r="N9" s="105">
        <v>37.130047016486465</v>
      </c>
      <c r="O9" s="3"/>
      <c r="P9" s="104">
        <v>15.531877613925722</v>
      </c>
      <c r="Q9" s="3">
        <v>18.33712054105191</v>
      </c>
      <c r="R9" s="3"/>
      <c r="S9" s="3">
        <v>39.070104726788799</v>
      </c>
      <c r="T9" s="105">
        <v>42.979636394125684</v>
      </c>
      <c r="U9" s="3"/>
      <c r="V9" s="104">
        <v>18.293974285555894</v>
      </c>
      <c r="W9" s="3">
        <v>21.044316047139336</v>
      </c>
      <c r="X9" s="3"/>
      <c r="Y9" s="3">
        <v>46.052511898068566</v>
      </c>
      <c r="Z9" s="105">
        <v>49.917525033548223</v>
      </c>
      <c r="AA9" s="3"/>
      <c r="AB9" s="104">
        <v>17.988097925278499</v>
      </c>
      <c r="AC9" s="3">
        <v>20.64959965812799</v>
      </c>
      <c r="AD9" s="3"/>
      <c r="AE9" s="3">
        <v>45.284024335121011</v>
      </c>
      <c r="AF9" s="105">
        <v>49.025157206044483</v>
      </c>
      <c r="AG9" s="3"/>
      <c r="AH9" s="104">
        <v>17.687371334592665</v>
      </c>
      <c r="AI9" s="3">
        <v>20.263015319223694</v>
      </c>
      <c r="AJ9" s="3"/>
      <c r="AK9" s="3">
        <v>44.528416252782783</v>
      </c>
      <c r="AL9" s="3">
        <v>48.149789856516705</v>
      </c>
      <c r="AM9" s="3"/>
      <c r="AN9" s="3">
        <v>17.391706456880193</v>
      </c>
      <c r="AO9" s="3">
        <v>19.884371148985402</v>
      </c>
      <c r="AP9" s="3"/>
      <c r="AQ9" s="3">
        <v>43.785469772101948</v>
      </c>
      <c r="AR9" s="105">
        <v>47.291063238260314</v>
      </c>
      <c r="AS9" s="3"/>
      <c r="AT9" s="104">
        <v>17.101016794270492</v>
      </c>
      <c r="AU9" s="3">
        <v>19.513480570915451</v>
      </c>
      <c r="AV9" s="3"/>
      <c r="AW9" s="3">
        <v>43.054970775926002</v>
      </c>
      <c r="AX9" s="3">
        <v>46.448626415259803</v>
      </c>
      <c r="AY9" s="3"/>
      <c r="AZ9" s="104">
        <v>16.815217377932914</v>
      </c>
      <c r="BA9" s="3">
        <v>19.150162143649236</v>
      </c>
      <c r="BB9" s="3"/>
      <c r="BC9" s="3">
        <v>42.336708841024382</v>
      </c>
      <c r="BD9" s="105">
        <v>45.622137008545145</v>
      </c>
      <c r="BE9" s="3"/>
      <c r="BF9" s="104">
        <v>16.534224739019233</v>
      </c>
      <c r="BG9" s="3">
        <v>18.794239397226537</v>
      </c>
      <c r="BH9" s="3"/>
      <c r="BI9" s="3">
        <v>41.630477171551306</v>
      </c>
      <c r="BJ9" s="105">
        <v>44.811260950957248</v>
      </c>
      <c r="BK9" s="3"/>
      <c r="BL9" s="104">
        <v>16.25795688023916</v>
      </c>
      <c r="BM9" s="3">
        <v>18.445540675208751</v>
      </c>
      <c r="BN9" s="3"/>
      <c r="BO9" s="3">
        <v>40.936072533816684</v>
      </c>
      <c r="BP9" s="105">
        <v>44.015672250013004</v>
      </c>
      <c r="BQ9" s="3"/>
      <c r="BR9" s="104">
        <v>15.986333248052148</v>
      </c>
      <c r="BS9" s="3">
        <v>18.103898982416606</v>
      </c>
      <c r="BT9" s="3"/>
      <c r="BU9" s="3">
        <v>40.253295192335521</v>
      </c>
      <c r="BV9" s="105">
        <v>43.235052758573232</v>
      </c>
    </row>
    <row r="10" spans="1:74" x14ac:dyDescent="0.25">
      <c r="A10">
        <f t="shared" si="0"/>
        <v>5</v>
      </c>
      <c r="B10" s="5" t="s">
        <v>19</v>
      </c>
      <c r="D10" s="104">
        <v>1.2574079403691309</v>
      </c>
      <c r="E10" s="105">
        <v>1.5697204918517391</v>
      </c>
      <c r="F10" s="3"/>
      <c r="G10" s="104">
        <v>1.2058209094764463</v>
      </c>
      <c r="H10" s="105">
        <v>1.4188079611964868</v>
      </c>
      <c r="J10" s="104">
        <v>8.7148021743115223</v>
      </c>
      <c r="K10" s="3">
        <v>10.879367877568022</v>
      </c>
      <c r="L10" s="3"/>
      <c r="M10" s="3">
        <v>16.959081765774197</v>
      </c>
      <c r="N10" s="105">
        <v>19.954605227661805</v>
      </c>
      <c r="O10" s="3"/>
      <c r="P10" s="104">
        <v>8.2736325134027577</v>
      </c>
      <c r="Q10" s="3">
        <v>10.39018499176424</v>
      </c>
      <c r="R10" s="3"/>
      <c r="S10" s="3">
        <v>16.097749514466386</v>
      </c>
      <c r="T10" s="105">
        <v>19.047486544268516</v>
      </c>
      <c r="U10" s="3"/>
      <c r="V10" s="104">
        <v>7.8726879874111448</v>
      </c>
      <c r="W10" s="3">
        <v>9.9478176011533854</v>
      </c>
      <c r="X10" s="3"/>
      <c r="Y10" s="3">
        <v>15.320704383104845</v>
      </c>
      <c r="Z10" s="105">
        <v>18.23685223315205</v>
      </c>
      <c r="AA10" s="3"/>
      <c r="AB10" s="104">
        <v>7.723734613811434</v>
      </c>
      <c r="AC10" s="3">
        <v>9.7318345307041447</v>
      </c>
      <c r="AD10" s="3"/>
      <c r="AE10" s="3">
        <v>15.04178720396758</v>
      </c>
      <c r="AF10" s="105">
        <v>17.864467540584471</v>
      </c>
      <c r="AG10" s="3"/>
      <c r="AH10" s="104">
        <v>7.5779307420984194</v>
      </c>
      <c r="AI10" s="3">
        <v>9.5212510892714732</v>
      </c>
      <c r="AJ10" s="3"/>
      <c r="AK10" s="3">
        <v>14.768400766715612</v>
      </c>
      <c r="AL10" s="3">
        <v>17.500722877552594</v>
      </c>
      <c r="AM10" s="3"/>
      <c r="AN10" s="3">
        <v>7.4351978035684372</v>
      </c>
      <c r="AO10" s="3">
        <v>9.3159103724454031</v>
      </c>
      <c r="AP10" s="3"/>
      <c r="AQ10" s="3">
        <v>14.500418750977849</v>
      </c>
      <c r="AR10" s="105">
        <v>17.145384884633287</v>
      </c>
      <c r="AS10" s="3"/>
      <c r="AT10" s="104">
        <v>7.2954595951174079</v>
      </c>
      <c r="AU10" s="3">
        <v>9.1156606679157957</v>
      </c>
      <c r="AV10" s="3"/>
      <c r="AW10" s="3">
        <v>14.237718307360803</v>
      </c>
      <c r="AX10" s="3">
        <v>16.798227482762524</v>
      </c>
      <c r="AY10" s="3"/>
      <c r="AZ10" s="104">
        <v>7.1586421957220017</v>
      </c>
      <c r="BA10" s="3">
        <v>8.9203552662463004</v>
      </c>
      <c r="BB10" s="3"/>
      <c r="BC10" s="3">
        <v>13.980179943302552</v>
      </c>
      <c r="BD10" s="105">
        <v>16.459031618928559</v>
      </c>
      <c r="BE10" s="3"/>
      <c r="BF10" s="104">
        <v>7.0246738862014055</v>
      </c>
      <c r="BG10" s="3">
        <v>8.7298522790268382</v>
      </c>
      <c r="BH10" s="3"/>
      <c r="BI10" s="3">
        <v>13.727687413212111</v>
      </c>
      <c r="BJ10" s="105">
        <v>16.127585021484663</v>
      </c>
      <c r="BK10" s="3"/>
      <c r="BL10" s="104">
        <v>6.8934850721224556</v>
      </c>
      <c r="BM10" s="3">
        <v>8.5440144641026414</v>
      </c>
      <c r="BN10" s="3"/>
      <c r="BO10" s="3">
        <v>13.480127612719755</v>
      </c>
      <c r="BP10" s="105">
        <v>15.803681964696707</v>
      </c>
      <c r="BQ10" s="3"/>
      <c r="BR10" s="104">
        <v>6.7650082097166955</v>
      </c>
      <c r="BS10" s="3">
        <v>8.3627090575908465</v>
      </c>
      <c r="BT10" s="3"/>
      <c r="BU10" s="3">
        <v>13.237390476871056</v>
      </c>
      <c r="BV10" s="105">
        <v>15.48712304215689</v>
      </c>
    </row>
    <row r="11" spans="1:74" x14ac:dyDescent="0.25">
      <c r="A11">
        <f t="shared" si="0"/>
        <v>6</v>
      </c>
      <c r="B11" s="5" t="s">
        <v>3</v>
      </c>
      <c r="D11" s="104">
        <v>2.237232185796421</v>
      </c>
      <c r="E11" s="105">
        <v>3.3106047874875371</v>
      </c>
      <c r="F11" s="3"/>
      <c r="G11" s="104">
        <v>1.7560700732594741</v>
      </c>
      <c r="H11" s="105">
        <v>2.2985384242839753</v>
      </c>
      <c r="J11" s="104">
        <v>3.714918443843843</v>
      </c>
      <c r="K11" s="3">
        <v>5.4972509618786178</v>
      </c>
      <c r="L11" s="3"/>
      <c r="M11" s="3">
        <v>7.984691102813855</v>
      </c>
      <c r="N11" s="105">
        <v>10.451245417439678</v>
      </c>
      <c r="O11" s="3"/>
      <c r="P11" s="104">
        <v>3.4998587508663945</v>
      </c>
      <c r="Q11" s="3">
        <v>5.2426565336434887</v>
      </c>
      <c r="R11" s="3"/>
      <c r="S11" s="3">
        <v>7.4684544066655478</v>
      </c>
      <c r="T11" s="105">
        <v>9.8973075571881228</v>
      </c>
      <c r="U11" s="3"/>
      <c r="V11" s="104">
        <v>3.3268446402693481</v>
      </c>
      <c r="W11" s="3">
        <v>5.0355342790940778</v>
      </c>
      <c r="X11" s="3"/>
      <c r="Y11" s="3">
        <v>7.0625841366165671</v>
      </c>
      <c r="Z11" s="105">
        <v>9.4637795046836306</v>
      </c>
      <c r="AA11" s="3"/>
      <c r="AB11" s="104">
        <v>3.2226496586818549</v>
      </c>
      <c r="AC11" s="3">
        <v>4.8761461434299047</v>
      </c>
      <c r="AD11" s="3"/>
      <c r="AE11" s="3">
        <v>6.8453526018308031</v>
      </c>
      <c r="AF11" s="105">
        <v>9.1695855620041886</v>
      </c>
      <c r="AG11" s="3"/>
      <c r="AH11" s="104">
        <v>3.1219650511477539</v>
      </c>
      <c r="AI11" s="3">
        <v>4.7221211667668204</v>
      </c>
      <c r="AJ11" s="3"/>
      <c r="AK11" s="3">
        <v>6.6352352174073985</v>
      </c>
      <c r="AL11" s="3">
        <v>8.885065998964917</v>
      </c>
      <c r="AM11" s="3"/>
      <c r="AN11" s="3">
        <v>3.0246655037751018</v>
      </c>
      <c r="AO11" s="3">
        <v>4.5732695325385206</v>
      </c>
      <c r="AP11" s="3"/>
      <c r="AQ11" s="3">
        <v>6.4319876912269649</v>
      </c>
      <c r="AR11" s="105">
        <v>8.6098883860510931</v>
      </c>
      <c r="AS11" s="3"/>
      <c r="AT11" s="104">
        <v>2.9306303946173644</v>
      </c>
      <c r="AU11" s="3">
        <v>4.4294084435024512</v>
      </c>
      <c r="AV11" s="3"/>
      <c r="AW11" s="3">
        <v>6.2353744496391252</v>
      </c>
      <c r="AX11" s="3">
        <v>8.3437321489129488</v>
      </c>
      <c r="AY11" s="3"/>
      <c r="AZ11" s="104">
        <v>2.8397436106171945</v>
      </c>
      <c r="BA11" s="3">
        <v>4.2903618516428281</v>
      </c>
      <c r="BB11" s="3"/>
      <c r="BC11" s="3">
        <v>6.0451683153917539</v>
      </c>
      <c r="BD11" s="105">
        <v>8.0862881308846823</v>
      </c>
      <c r="BE11" s="3"/>
      <c r="BF11" s="104">
        <v>2.7518933719581473</v>
      </c>
      <c r="BG11" s="3">
        <v>4.1559601988558974</v>
      </c>
      <c r="BH11" s="3"/>
      <c r="BI11" s="3">
        <v>5.8611501978578753</v>
      </c>
      <c r="BJ11" s="105">
        <v>7.8372581721932635</v>
      </c>
      <c r="BK11" s="3"/>
      <c r="BL11" s="104">
        <v>2.6669720635146694</v>
      </c>
      <c r="BM11" s="3">
        <v>4.0260401679721376</v>
      </c>
      <c r="BN11" s="3"/>
      <c r="BO11" s="3">
        <v>5.6831087950750847</v>
      </c>
      <c r="BP11" s="105">
        <v>7.596354705198884</v>
      </c>
      <c r="BQ11" s="3"/>
      <c r="BR11" s="104">
        <v>2.5848760731039122</v>
      </c>
      <c r="BS11" s="3">
        <v>3.9004444436891439</v>
      </c>
      <c r="BT11" s="3"/>
      <c r="BU11" s="3">
        <v>5.5108403071322511</v>
      </c>
      <c r="BV11" s="105">
        <v>7.3633003650358777</v>
      </c>
    </row>
    <row r="12" spans="1:74" x14ac:dyDescent="0.25">
      <c r="A12">
        <f t="shared" si="0"/>
        <v>7</v>
      </c>
      <c r="B12" s="5" t="s">
        <v>127</v>
      </c>
      <c r="D12" s="104">
        <v>1.587066195431911</v>
      </c>
      <c r="E12" s="105">
        <v>2.3432588435555486</v>
      </c>
      <c r="F12" s="3"/>
      <c r="G12" s="104">
        <v>1.6561498199207119</v>
      </c>
      <c r="H12" s="105">
        <v>2.4575101897144465</v>
      </c>
      <c r="J12" s="104">
        <v>4.9262513813447653</v>
      </c>
      <c r="K12" s="3">
        <v>7.2734723656390186</v>
      </c>
      <c r="L12" s="3"/>
      <c r="M12" s="3">
        <v>6.7131707280083761</v>
      </c>
      <c r="N12" s="105">
        <v>9.9614692287701114</v>
      </c>
      <c r="O12" s="3"/>
      <c r="P12" s="104">
        <v>4.7970503854678022</v>
      </c>
      <c r="Q12" s="3">
        <v>7.0922065842821445</v>
      </c>
      <c r="R12" s="3"/>
      <c r="S12" s="3">
        <v>6.5748735400705076</v>
      </c>
      <c r="T12" s="105">
        <v>9.7735219544314003</v>
      </c>
      <c r="U12" s="3"/>
      <c r="V12" s="104">
        <v>4.6760056180385705</v>
      </c>
      <c r="W12" s="3">
        <v>6.9262435143418948</v>
      </c>
      <c r="X12" s="3"/>
      <c r="Y12" s="3">
        <v>6.4517075404179236</v>
      </c>
      <c r="Z12" s="105">
        <v>9.6139323768539722</v>
      </c>
      <c r="AA12" s="3"/>
      <c r="AB12" s="104">
        <v>4.5172310349203029</v>
      </c>
      <c r="AC12" s="3">
        <v>6.6947829828232575</v>
      </c>
      <c r="AD12" s="3"/>
      <c r="AE12" s="3">
        <v>6.235056638511292</v>
      </c>
      <c r="AF12" s="105">
        <v>9.2959267743053768</v>
      </c>
      <c r="AG12" s="3"/>
      <c r="AH12" s="104">
        <v>4.3639410877912237</v>
      </c>
      <c r="AI12" s="3">
        <v>6.4712470897426329</v>
      </c>
      <c r="AJ12" s="3"/>
      <c r="AK12" s="3">
        <v>6.0258096535358598</v>
      </c>
      <c r="AL12" s="3">
        <v>8.9886967512844205</v>
      </c>
      <c r="AM12" s="3"/>
      <c r="AN12" s="3">
        <v>4.2159428465584003</v>
      </c>
      <c r="AO12" s="3">
        <v>6.2553579589999453</v>
      </c>
      <c r="AP12" s="3"/>
      <c r="AQ12" s="3">
        <v>5.8237089827274842</v>
      </c>
      <c r="AR12" s="105">
        <v>8.691868633563459</v>
      </c>
      <c r="AS12" s="3"/>
      <c r="AT12" s="104">
        <v>4.0730503077495337</v>
      </c>
      <c r="AU12" s="3">
        <v>6.0468477061281583</v>
      </c>
      <c r="AV12" s="3"/>
      <c r="AW12" s="3">
        <v>5.628506164605132</v>
      </c>
      <c r="AX12" s="3">
        <v>8.4050820190312514</v>
      </c>
      <c r="AY12" s="3"/>
      <c r="AZ12" s="104">
        <v>3.9350841399119529</v>
      </c>
      <c r="BA12" s="3">
        <v>5.8454580690650273</v>
      </c>
      <c r="BB12" s="3"/>
      <c r="BC12" s="3">
        <v>5.4399615472019605</v>
      </c>
      <c r="BD12" s="105">
        <v>8.1279892939359897</v>
      </c>
      <c r="BE12" s="3"/>
      <c r="BF12" s="104">
        <v>3.8018714386253465</v>
      </c>
      <c r="BG12" s="3">
        <v>5.6509400529822695</v>
      </c>
      <c r="BH12" s="3"/>
      <c r="BI12" s="3">
        <v>5.2578439686516019</v>
      </c>
      <c r="BJ12" s="105">
        <v>7.8602551672676455</v>
      </c>
      <c r="BK12" s="3"/>
      <c r="BL12" s="104">
        <v>3.6732454907541539</v>
      </c>
      <c r="BM12" s="3">
        <v>5.4630535886196174</v>
      </c>
      <c r="BN12" s="3"/>
      <c r="BO12" s="3">
        <v>5.0819304496561539</v>
      </c>
      <c r="BP12" s="105">
        <v>7.6015562225783491</v>
      </c>
      <c r="BQ12" s="3"/>
      <c r="BR12" s="104">
        <v>3.5490455475806191</v>
      </c>
      <c r="BS12" s="3">
        <v>5.2815672035936299</v>
      </c>
      <c r="BT12" s="3"/>
      <c r="BU12" s="3">
        <v>4.9120058973809764</v>
      </c>
      <c r="BV12" s="105">
        <v>7.3515804865674275</v>
      </c>
    </row>
    <row r="13" spans="1:74" x14ac:dyDescent="0.25">
      <c r="A13">
        <f t="shared" si="0"/>
        <v>8</v>
      </c>
      <c r="B13" s="5" t="s">
        <v>128</v>
      </c>
      <c r="D13" s="104">
        <v>1.6353524907289472</v>
      </c>
      <c r="E13" s="105">
        <v>2.4354998161630181</v>
      </c>
      <c r="F13" s="3"/>
      <c r="G13" s="104">
        <v>1.7389435099254236</v>
      </c>
      <c r="H13" s="105">
        <v>2.5868839893658913</v>
      </c>
      <c r="J13" s="104">
        <v>5.0761319783808032</v>
      </c>
      <c r="K13" s="3">
        <v>7.5597882231829896</v>
      </c>
      <c r="L13" s="3"/>
      <c r="M13" s="3">
        <v>7.0487733223618516</v>
      </c>
      <c r="N13" s="105">
        <v>10.485883381610996</v>
      </c>
      <c r="O13" s="3"/>
      <c r="P13" s="104">
        <v>4.9525490508694858</v>
      </c>
      <c r="Q13" s="3">
        <v>7.3811141770864577</v>
      </c>
      <c r="R13" s="3"/>
      <c r="S13" s="3">
        <v>6.919585806909911</v>
      </c>
      <c r="T13" s="105">
        <v>10.30415980416509</v>
      </c>
      <c r="U13" s="3"/>
      <c r="V13" s="104">
        <v>4.8374222670234053</v>
      </c>
      <c r="W13" s="3">
        <v>7.2184581562047869</v>
      </c>
      <c r="X13" s="3"/>
      <c r="Y13" s="3">
        <v>6.8068185993203079</v>
      </c>
      <c r="Z13" s="105">
        <v>10.152851850997468</v>
      </c>
      <c r="AA13" s="3"/>
      <c r="AB13" s="104">
        <v>4.6727515566426998</v>
      </c>
      <c r="AC13" s="3">
        <v>6.9768765325092019</v>
      </c>
      <c r="AD13" s="3"/>
      <c r="AE13" s="3">
        <v>6.5776971503239601</v>
      </c>
      <c r="AF13" s="105">
        <v>9.8164843280805769</v>
      </c>
      <c r="AG13" s="3"/>
      <c r="AH13" s="104">
        <v>4.5137748308191643</v>
      </c>
      <c r="AI13" s="3">
        <v>6.7435707241229199</v>
      </c>
      <c r="AJ13" s="3"/>
      <c r="AK13" s="3">
        <v>6.3564083035298937</v>
      </c>
      <c r="AL13" s="3">
        <v>9.4915170522187697</v>
      </c>
      <c r="AM13" s="3"/>
      <c r="AN13" s="3">
        <v>4.3602918279994745</v>
      </c>
      <c r="AO13" s="3">
        <v>6.5182505858888025</v>
      </c>
      <c r="AP13" s="3"/>
      <c r="AQ13" s="3">
        <v>6.1426799192951442</v>
      </c>
      <c r="AR13" s="105">
        <v>9.1775550655014104</v>
      </c>
      <c r="AS13" s="3"/>
      <c r="AT13" s="104">
        <v>4.212109469278996</v>
      </c>
      <c r="AU13" s="3">
        <v>6.3006363984685612</v>
      </c>
      <c r="AV13" s="3"/>
      <c r="AW13" s="3">
        <v>5.9362494878824039</v>
      </c>
      <c r="AX13" s="3">
        <v>8.874217410866807</v>
      </c>
      <c r="AY13" s="3"/>
      <c r="AZ13" s="104">
        <v>4.0690415947796827</v>
      </c>
      <c r="BA13" s="3">
        <v>6.0904584834306377</v>
      </c>
      <c r="BB13" s="3"/>
      <c r="BC13" s="3">
        <v>5.7368637813368926</v>
      </c>
      <c r="BD13" s="105">
        <v>8.5811366231566204</v>
      </c>
      <c r="BE13" s="3"/>
      <c r="BF13" s="104">
        <v>3.9309087099673463</v>
      </c>
      <c r="BG13" s="3">
        <v>5.8874568329793444</v>
      </c>
      <c r="BH13" s="3"/>
      <c r="BI13" s="3">
        <v>5.5442785182671939</v>
      </c>
      <c r="BJ13" s="105">
        <v>8.2979582391944025</v>
      </c>
      <c r="BK13" s="3"/>
      <c r="BL13" s="104">
        <v>3.7975377415219742</v>
      </c>
      <c r="BM13" s="3">
        <v>5.6913807537501775</v>
      </c>
      <c r="BN13" s="3"/>
      <c r="BO13" s="3">
        <v>5.3582580410378204</v>
      </c>
      <c r="BP13" s="105">
        <v>8.0243403261552206</v>
      </c>
      <c r="BQ13" s="3"/>
      <c r="BR13" s="104">
        <v>3.668761802390228</v>
      </c>
      <c r="BS13" s="3">
        <v>5.5019885241194242</v>
      </c>
      <c r="BT13" s="3"/>
      <c r="BU13" s="3">
        <v>5.178575004900539</v>
      </c>
      <c r="BV13" s="105">
        <v>7.7599530275222337</v>
      </c>
    </row>
    <row r="14" spans="1:74" x14ac:dyDescent="0.25">
      <c r="A14">
        <f t="shared" si="0"/>
        <v>9</v>
      </c>
      <c r="B14" s="5" t="s">
        <v>129</v>
      </c>
      <c r="D14" s="104">
        <v>1.6392061954305901</v>
      </c>
      <c r="E14" s="105">
        <v>2.4462326097445453</v>
      </c>
      <c r="F14" s="3"/>
      <c r="G14" s="104">
        <v>1.7597603546010929</v>
      </c>
      <c r="H14" s="105">
        <v>2.6149908139458979</v>
      </c>
      <c r="J14" s="104">
        <v>5.088093872701533</v>
      </c>
      <c r="K14" s="3">
        <v>7.5931028003309784</v>
      </c>
      <c r="L14" s="3"/>
      <c r="M14" s="3">
        <v>7.1331539929058279</v>
      </c>
      <c r="N14" s="105">
        <v>10.599813842344792</v>
      </c>
      <c r="O14" s="3"/>
      <c r="P14" s="104">
        <v>4.9353607579906926</v>
      </c>
      <c r="Q14" s="3">
        <v>7.3848049333812256</v>
      </c>
      <c r="R14" s="3"/>
      <c r="S14" s="3">
        <v>6.973183511531909</v>
      </c>
      <c r="T14" s="105">
        <v>10.386855631854658</v>
      </c>
      <c r="U14" s="3"/>
      <c r="V14" s="104">
        <v>4.7935201560003682</v>
      </c>
      <c r="W14" s="3">
        <v>7.1950264722983945</v>
      </c>
      <c r="X14" s="3"/>
      <c r="Y14" s="3">
        <v>6.8338105177662838</v>
      </c>
      <c r="Z14" s="105">
        <v>10.208610547012627</v>
      </c>
      <c r="AA14" s="3"/>
      <c r="AB14" s="104">
        <v>4.630493838312546</v>
      </c>
      <c r="AC14" s="3">
        <v>6.9544280168040098</v>
      </c>
      <c r="AD14" s="3"/>
      <c r="AE14" s="3">
        <v>6.6039464386383173</v>
      </c>
      <c r="AF14" s="105">
        <v>9.8705783696680065</v>
      </c>
      <c r="AG14" s="3"/>
      <c r="AH14" s="104">
        <v>4.4731018666303513</v>
      </c>
      <c r="AI14" s="3">
        <v>6.7220679347837482</v>
      </c>
      <c r="AJ14" s="3"/>
      <c r="AK14" s="3">
        <v>6.3819363259487378</v>
      </c>
      <c r="AL14" s="3">
        <v>9.5439984756486602</v>
      </c>
      <c r="AM14" s="3"/>
      <c r="AN14" s="3">
        <v>4.3211461482017546</v>
      </c>
      <c r="AO14" s="3">
        <v>6.4976574771274151</v>
      </c>
      <c r="AP14" s="3"/>
      <c r="AQ14" s="3">
        <v>6.1675074703931498</v>
      </c>
      <c r="AR14" s="105">
        <v>9.2284742814797269</v>
      </c>
      <c r="AS14" s="3"/>
      <c r="AT14" s="104">
        <v>4.1744356924228541</v>
      </c>
      <c r="AU14" s="3">
        <v>6.2809182679255926</v>
      </c>
      <c r="AV14" s="3"/>
      <c r="AW14" s="3">
        <v>5.9603968033046524</v>
      </c>
      <c r="AX14" s="3">
        <v>8.9236232528453918</v>
      </c>
      <c r="AY14" s="3"/>
      <c r="AZ14" s="104">
        <v>4.0327863502821364</v>
      </c>
      <c r="BA14" s="3">
        <v>6.0715819215810471</v>
      </c>
      <c r="BB14" s="3"/>
      <c r="BC14" s="3">
        <v>5.7603505486411688</v>
      </c>
      <c r="BD14" s="105">
        <v>8.6290763943710296</v>
      </c>
      <c r="BE14" s="3"/>
      <c r="BF14" s="104">
        <v>3.8960205636247913</v>
      </c>
      <c r="BG14" s="3">
        <v>5.8693896744825853</v>
      </c>
      <c r="BH14" s="3"/>
      <c r="BI14" s="3">
        <v>5.5671238878486982</v>
      </c>
      <c r="BJ14" s="105">
        <v>8.3444777584541772</v>
      </c>
      <c r="BK14" s="3"/>
      <c r="BL14" s="104">
        <v>3.7639671238555064</v>
      </c>
      <c r="BM14" s="3">
        <v>5.6740920306693079</v>
      </c>
      <c r="BN14" s="3"/>
      <c r="BO14" s="3">
        <v>5.38048063711034</v>
      </c>
      <c r="BP14" s="105">
        <v>8.0694839724111702</v>
      </c>
      <c r="BQ14" s="3"/>
      <c r="BR14" s="104">
        <v>3.6364609397133236</v>
      </c>
      <c r="BS14" s="3">
        <v>5.4854484209363026</v>
      </c>
      <c r="BT14" s="3"/>
      <c r="BU14" s="3">
        <v>5.2001929365101809</v>
      </c>
      <c r="BV14" s="105">
        <v>7.8037637832353139</v>
      </c>
    </row>
    <row r="15" spans="1:74" x14ac:dyDescent="0.25">
      <c r="A15">
        <f t="shared" si="0"/>
        <v>10</v>
      </c>
      <c r="B15" s="5" t="s">
        <v>130</v>
      </c>
      <c r="D15" s="104">
        <v>1.6102017611253996</v>
      </c>
      <c r="E15" s="105">
        <v>2.3773814622915896</v>
      </c>
      <c r="F15" s="3"/>
      <c r="G15" s="104">
        <v>1.6958353646900413</v>
      </c>
      <c r="H15" s="105">
        <v>2.5088390490689796</v>
      </c>
      <c r="J15" s="104">
        <v>4.9980641468007914</v>
      </c>
      <c r="K15" s="3">
        <v>7.3793889292753416</v>
      </c>
      <c r="L15" s="3"/>
      <c r="M15" s="3">
        <v>6.8740353033420734</v>
      </c>
      <c r="N15" s="105">
        <v>10.169529750817206</v>
      </c>
      <c r="O15" s="3"/>
      <c r="P15" s="104">
        <v>4.8325329701357447</v>
      </c>
      <c r="Q15" s="3">
        <v>7.1610364951372514</v>
      </c>
      <c r="R15" s="3"/>
      <c r="S15" s="3">
        <v>6.694211378801068</v>
      </c>
      <c r="T15" s="105">
        <v>9.9393343520991007</v>
      </c>
      <c r="U15" s="3"/>
      <c r="V15" s="104">
        <v>4.6780106741175711</v>
      </c>
      <c r="W15" s="3">
        <v>6.9609432589852274</v>
      </c>
      <c r="X15" s="3"/>
      <c r="Y15" s="3">
        <v>6.5346992014030336</v>
      </c>
      <c r="Z15" s="105">
        <v>9.7428693827146358</v>
      </c>
      <c r="AA15" s="3"/>
      <c r="AB15" s="104">
        <v>4.5192454836896259</v>
      </c>
      <c r="AC15" s="3">
        <v>6.7284360342871263</v>
      </c>
      <c r="AD15" s="3"/>
      <c r="AE15" s="3">
        <v>6.3154227178049505</v>
      </c>
      <c r="AF15" s="105">
        <v>9.42076557179033</v>
      </c>
      <c r="AG15" s="3"/>
      <c r="AH15" s="104">
        <v>4.3659574398247365</v>
      </c>
      <c r="AI15" s="3">
        <v>6.5038814104614779</v>
      </c>
      <c r="AJ15" s="3"/>
      <c r="AK15" s="3">
        <v>6.1036266693911889</v>
      </c>
      <c r="AL15" s="3">
        <v>9.1095628470042946</v>
      </c>
      <c r="AM15" s="3"/>
      <c r="AN15" s="3">
        <v>4.2179542740838585</v>
      </c>
      <c r="AO15" s="3">
        <v>6.2870009388444812</v>
      </c>
      <c r="AP15" s="3"/>
      <c r="AQ15" s="3">
        <v>5.8990515247602646</v>
      </c>
      <c r="AR15" s="105">
        <v>8.8088839190385837</v>
      </c>
      <c r="AS15" s="3"/>
      <c r="AT15" s="104">
        <v>4.0750506026263231</v>
      </c>
      <c r="AU15" s="3">
        <v>6.0775261649160219</v>
      </c>
      <c r="AV15" s="3"/>
      <c r="AW15" s="3">
        <v>5.7014469276313076</v>
      </c>
      <c r="AX15" s="3">
        <v>8.5183648645478378</v>
      </c>
      <c r="AY15" s="3"/>
      <c r="AZ15" s="104">
        <v>3.9370676738998256</v>
      </c>
      <c r="BA15" s="3">
        <v>5.8751982596969334</v>
      </c>
      <c r="BB15" s="3"/>
      <c r="BC15" s="3">
        <v>5.5105713653335879</v>
      </c>
      <c r="BD15" s="105">
        <v>8.2376546404524778</v>
      </c>
      <c r="BE15" s="3"/>
      <c r="BF15" s="104">
        <v>3.8038331258300335</v>
      </c>
      <c r="BG15" s="3">
        <v>5.6797676651541851</v>
      </c>
      <c r="BH15" s="3"/>
      <c r="BI15" s="3">
        <v>5.326191849582175</v>
      </c>
      <c r="BJ15" s="105">
        <v>7.9664146163861318</v>
      </c>
      <c r="BK15" s="3"/>
      <c r="BL15" s="104">
        <v>3.6751807521412041</v>
      </c>
      <c r="BM15" s="3">
        <v>5.4909937530641502</v>
      </c>
      <c r="BN15" s="3"/>
      <c r="BO15" s="3">
        <v>5.1480836090709099</v>
      </c>
      <c r="BP15" s="105">
        <v>7.7043181245974717</v>
      </c>
      <c r="BQ15" s="3"/>
      <c r="BR15" s="104">
        <v>3.5509502774537833</v>
      </c>
      <c r="BS15" s="3">
        <v>5.3086444968065969</v>
      </c>
      <c r="BT15" s="3"/>
      <c r="BU15" s="3">
        <v>4.9760297934324695</v>
      </c>
      <c r="BV15" s="105">
        <v>7.451050026634582</v>
      </c>
    </row>
    <row r="16" spans="1:74" x14ac:dyDescent="0.25">
      <c r="A16">
        <f t="shared" si="0"/>
        <v>11</v>
      </c>
      <c r="B16" s="5" t="s">
        <v>131</v>
      </c>
      <c r="D16" s="104">
        <v>1.4953643358543252</v>
      </c>
      <c r="E16" s="105">
        <v>1.8699300652370257</v>
      </c>
      <c r="F16" s="3"/>
      <c r="G16" s="104">
        <v>1.6607990802248995</v>
      </c>
      <c r="H16" s="105">
        <v>2.1298660608034461</v>
      </c>
      <c r="J16" s="104">
        <v>8.5112293337185321</v>
      </c>
      <c r="K16" s="3">
        <v>10.643161162563677</v>
      </c>
      <c r="L16" s="3"/>
      <c r="M16" s="3">
        <v>10.446179863441765</v>
      </c>
      <c r="N16" s="105">
        <v>13.39654159320712</v>
      </c>
      <c r="O16" s="3"/>
      <c r="P16" s="104">
        <v>8.7597297587926857</v>
      </c>
      <c r="Q16" s="3">
        <v>10.844372229682477</v>
      </c>
      <c r="R16" s="3"/>
      <c r="S16" s="3">
        <v>10.696973776002178</v>
      </c>
      <c r="T16" s="105">
        <v>13.602239368586106</v>
      </c>
      <c r="U16" s="3"/>
      <c r="V16" s="104">
        <v>9.037169479625943</v>
      </c>
      <c r="W16" s="3">
        <v>11.081013593879646</v>
      </c>
      <c r="X16" s="3"/>
      <c r="Y16" s="3">
        <v>10.98688005313041</v>
      </c>
      <c r="Z16" s="105">
        <v>13.859062870118001</v>
      </c>
      <c r="AA16" s="3"/>
      <c r="AB16" s="104">
        <v>8.8469524729288498</v>
      </c>
      <c r="AC16" s="3">
        <v>10.824777457351402</v>
      </c>
      <c r="AD16" s="3"/>
      <c r="AE16" s="3">
        <v>10.752659568751044</v>
      </c>
      <c r="AF16" s="105">
        <v>13.532784026620543</v>
      </c>
      <c r="AG16" s="3"/>
      <c r="AH16" s="104">
        <v>8.6613831420283525</v>
      </c>
      <c r="AI16" s="3">
        <v>10.575405199916291</v>
      </c>
      <c r="AJ16" s="3"/>
      <c r="AK16" s="3">
        <v>10.524217547453418</v>
      </c>
      <c r="AL16" s="3">
        <v>13.215346056967855</v>
      </c>
      <c r="AM16" s="3"/>
      <c r="AN16" s="3">
        <v>8.4803261160091825</v>
      </c>
      <c r="AO16" s="3">
        <v>10.332684295973747</v>
      </c>
      <c r="AP16" s="3"/>
      <c r="AQ16" s="3">
        <v>10.301385593448604</v>
      </c>
      <c r="AR16" s="105">
        <v>12.906475140083316</v>
      </c>
      <c r="AS16" s="3"/>
      <c r="AT16" s="104">
        <v>8.3036506430125154</v>
      </c>
      <c r="AU16" s="3">
        <v>10.096409622866464</v>
      </c>
      <c r="AV16" s="3"/>
      <c r="AW16" s="3">
        <v>10.084001002116423</v>
      </c>
      <c r="AX16" s="3">
        <v>12.605906898008802</v>
      </c>
      <c r="AY16" s="3"/>
      <c r="AZ16" s="104">
        <v>8.1312304134534834</v>
      </c>
      <c r="BA16" s="3">
        <v>9.8663831799843216</v>
      </c>
      <c r="BB16" s="3"/>
      <c r="BC16" s="3">
        <v>9.8719065455752446</v>
      </c>
      <c r="BD16" s="105">
        <v>12.313386043426718</v>
      </c>
      <c r="BE16" s="3"/>
      <c r="BF16" s="104">
        <v>7.9629433905300209</v>
      </c>
      <c r="BG16" s="3">
        <v>9.6424138191958608</v>
      </c>
      <c r="BH16" s="3"/>
      <c r="BI16" s="3">
        <v>9.6649502669424798</v>
      </c>
      <c r="BJ16" s="105">
        <v>12.028666041126725</v>
      </c>
      <c r="BK16" s="3"/>
      <c r="BL16" s="104">
        <v>7.7986716477072617</v>
      </c>
      <c r="BM16" s="3">
        <v>9.4243169861292326</v>
      </c>
      <c r="BN16" s="3"/>
      <c r="BO16" s="3">
        <v>9.4629852829162324</v>
      </c>
      <c r="BP16" s="105">
        <v>11.751508782839906</v>
      </c>
      <c r="BQ16" s="3"/>
      <c r="BR16" s="104">
        <v>7.6383012128758949</v>
      </c>
      <c r="BS16" s="3">
        <v>9.21191447184572</v>
      </c>
      <c r="BT16" s="3"/>
      <c r="BU16" s="3">
        <v>9.2658695943238545</v>
      </c>
      <c r="BV16" s="105">
        <v>11.481684274888421</v>
      </c>
    </row>
    <row r="17" spans="1:74" x14ac:dyDescent="0.25">
      <c r="A17">
        <f t="shared" si="0"/>
        <v>12</v>
      </c>
      <c r="B17" s="5" t="s">
        <v>132</v>
      </c>
      <c r="D17" s="104">
        <v>1.9405115307811371</v>
      </c>
      <c r="E17" s="105">
        <v>2.5745180127295568</v>
      </c>
      <c r="F17" s="3"/>
      <c r="G17" s="104">
        <v>2.2625668292177448</v>
      </c>
      <c r="H17" s="105">
        <v>3.1103801296787075</v>
      </c>
      <c r="J17" s="104">
        <v>5.2434312181213318</v>
      </c>
      <c r="K17" s="3">
        <v>6.9565719684890581</v>
      </c>
      <c r="L17" s="3"/>
      <c r="M17" s="3">
        <v>6.3269760221999158</v>
      </c>
      <c r="N17" s="105">
        <v>8.6977764573734717</v>
      </c>
      <c r="O17" s="3"/>
      <c r="P17" s="104">
        <v>5.0095769232738681</v>
      </c>
      <c r="Q17" s="3">
        <v>6.6847177127254289</v>
      </c>
      <c r="R17" s="3"/>
      <c r="S17" s="3">
        <v>6.1036747298653742</v>
      </c>
      <c r="T17" s="105">
        <v>8.4382375943791157</v>
      </c>
      <c r="U17" s="3"/>
      <c r="V17" s="104">
        <v>4.7999820609997519</v>
      </c>
      <c r="W17" s="3">
        <v>6.4423388156357264</v>
      </c>
      <c r="X17" s="3"/>
      <c r="Y17" s="3">
        <v>5.913387312861218</v>
      </c>
      <c r="Z17" s="105">
        <v>8.2213660951625176</v>
      </c>
      <c r="AA17" s="3"/>
      <c r="AB17" s="104">
        <v>4.6401272097459394</v>
      </c>
      <c r="AC17" s="3">
        <v>6.2294334586915712</v>
      </c>
      <c r="AD17" s="3"/>
      <c r="AE17" s="3">
        <v>5.7198991462106399</v>
      </c>
      <c r="AF17" s="105">
        <v>7.9539032712159736</v>
      </c>
      <c r="AG17" s="3"/>
      <c r="AH17" s="104">
        <v>4.4858467453884563</v>
      </c>
      <c r="AI17" s="3">
        <v>6.0238833467964437</v>
      </c>
      <c r="AJ17" s="3"/>
      <c r="AK17" s="3">
        <v>5.5330692526433074</v>
      </c>
      <c r="AL17" s="3">
        <v>7.6955595592038488</v>
      </c>
      <c r="AM17" s="3"/>
      <c r="AN17" s="3">
        <v>4.3369391947107987</v>
      </c>
      <c r="AO17" s="3">
        <v>5.8254250081119103</v>
      </c>
      <c r="AP17" s="3"/>
      <c r="AQ17" s="3">
        <v>5.3526592860280022</v>
      </c>
      <c r="AR17" s="105">
        <v>7.4460118971733751</v>
      </c>
      <c r="AS17" s="3"/>
      <c r="AT17" s="104">
        <v>4.1932105967326647</v>
      </c>
      <c r="AU17" s="3">
        <v>5.6338047200631172</v>
      </c>
      <c r="AV17" s="3"/>
      <c r="AW17" s="3">
        <v>5.1784397257951138</v>
      </c>
      <c r="AX17" s="3">
        <v>7.2049490636598978</v>
      </c>
      <c r="AY17" s="3"/>
      <c r="AZ17" s="104">
        <v>4.054474214124987</v>
      </c>
      <c r="BA17" s="3">
        <v>5.4487781370921162</v>
      </c>
      <c r="BB17" s="3"/>
      <c r="BC17" s="3">
        <v>5.0101895396659861</v>
      </c>
      <c r="BD17" s="105">
        <v>6.9720712294864233</v>
      </c>
      <c r="BE17" s="3"/>
      <c r="BF17" s="104">
        <v>3.9205502560480561</v>
      </c>
      <c r="BG17" s="3">
        <v>5.2701099330774772</v>
      </c>
      <c r="BH17" s="3"/>
      <c r="BI17" s="3">
        <v>4.8476958596756576</v>
      </c>
      <c r="BJ17" s="105">
        <v>6.7470895270780264</v>
      </c>
      <c r="BK17" s="3"/>
      <c r="BL17" s="104">
        <v>3.7912656119467125</v>
      </c>
      <c r="BM17" s="3">
        <v>5.0975734578240299</v>
      </c>
      <c r="BN17" s="3"/>
      <c r="BO17" s="3">
        <v>4.6907536709487596</v>
      </c>
      <c r="BP17" s="105">
        <v>6.5297256365848071</v>
      </c>
      <c r="BQ17" s="3"/>
      <c r="BR17" s="104">
        <v>3.6664535958561895</v>
      </c>
      <c r="BS17" s="3">
        <v>4.9309504070513581</v>
      </c>
      <c r="BT17" s="3"/>
      <c r="BU17" s="3">
        <v>4.5391655127109587</v>
      </c>
      <c r="BV17" s="105">
        <v>6.3197113881362865</v>
      </c>
    </row>
    <row r="18" spans="1:74" x14ac:dyDescent="0.25">
      <c r="A18">
        <f t="shared" si="0"/>
        <v>13</v>
      </c>
      <c r="B18" s="5" t="s">
        <v>133</v>
      </c>
      <c r="D18" s="104">
        <v>1.2675024195063889</v>
      </c>
      <c r="E18" s="105">
        <v>1.6206410740192776</v>
      </c>
      <c r="F18" s="3"/>
      <c r="G18" s="104">
        <v>1.1761991642362248</v>
      </c>
      <c r="H18" s="105">
        <v>1.3818592163868988</v>
      </c>
      <c r="J18" s="104">
        <v>8.8083616527056758</v>
      </c>
      <c r="K18" s="3">
        <v>11.26245794051456</v>
      </c>
      <c r="L18" s="3"/>
      <c r="M18" s="3">
        <v>19.423365201566785</v>
      </c>
      <c r="N18" s="105">
        <v>22.819567496005369</v>
      </c>
      <c r="O18" s="3"/>
      <c r="P18" s="104">
        <v>8.6751718452334963</v>
      </c>
      <c r="Q18" s="3">
        <v>11.074832697424359</v>
      </c>
      <c r="R18" s="3"/>
      <c r="S18" s="3">
        <v>19.173054326773769</v>
      </c>
      <c r="T18" s="105">
        <v>22.517345832436614</v>
      </c>
      <c r="U18" s="3"/>
      <c r="V18" s="104">
        <v>8.551689093346404</v>
      </c>
      <c r="W18" s="3">
        <v>10.904386391536777</v>
      </c>
      <c r="X18" s="3"/>
      <c r="Y18" s="3">
        <v>18.943745066002993</v>
      </c>
      <c r="Z18" s="105">
        <v>22.249954529978172</v>
      </c>
      <c r="AA18" s="3"/>
      <c r="AB18" s="104">
        <v>8.2601096331450972</v>
      </c>
      <c r="AC18" s="3">
        <v>10.536811395619509</v>
      </c>
      <c r="AD18" s="3"/>
      <c r="AE18" s="3">
        <v>18.300086440812755</v>
      </c>
      <c r="AF18" s="105">
        <v>21.500326251201074</v>
      </c>
      <c r="AG18" s="3"/>
      <c r="AH18" s="104">
        <v>7.9786196830759559</v>
      </c>
      <c r="AI18" s="3">
        <v>10.181877012177113</v>
      </c>
      <c r="AJ18" s="3"/>
      <c r="AK18" s="3">
        <v>17.678543844874334</v>
      </c>
      <c r="AL18" s="3">
        <v>20.776339185166009</v>
      </c>
      <c r="AM18" s="3"/>
      <c r="AN18" s="3">
        <v>7.7068656995913454</v>
      </c>
      <c r="AO18" s="3">
        <v>9.8391408838339469</v>
      </c>
      <c r="AP18" s="3"/>
      <c r="AQ18" s="3">
        <v>17.078350824617029</v>
      </c>
      <c r="AR18" s="105">
        <v>20.077105521791893</v>
      </c>
      <c r="AS18" s="3"/>
      <c r="AT18" s="104">
        <v>7.4445066847452965</v>
      </c>
      <c r="AU18" s="3">
        <v>9.5081764033867433</v>
      </c>
      <c r="AV18" s="3"/>
      <c r="AW18" s="3">
        <v>16.498767699355181</v>
      </c>
      <c r="AX18" s="3">
        <v>19.401768542803975</v>
      </c>
      <c r="AY18" s="3"/>
      <c r="AZ18" s="104">
        <v>7.1912137346377669</v>
      </c>
      <c r="BA18" s="3">
        <v>9.1885721424022879</v>
      </c>
      <c r="BB18" s="3"/>
      <c r="BC18" s="3">
        <v>15.939080618074231</v>
      </c>
      <c r="BD18" s="105">
        <v>18.749501519611407</v>
      </c>
      <c r="BE18" s="3"/>
      <c r="BF18" s="104">
        <v>6.9466696043899692</v>
      </c>
      <c r="BG18" s="3">
        <v>8.8799313009922756</v>
      </c>
      <c r="BH18" s="3"/>
      <c r="BI18" s="3">
        <v>15.398600649786649</v>
      </c>
      <c r="BJ18" s="105">
        <v>18.119506650802229</v>
      </c>
      <c r="BK18" s="3"/>
      <c r="BL18" s="104">
        <v>6.7105682890329996</v>
      </c>
      <c r="BM18" s="3">
        <v>8.5818711779608527</v>
      </c>
      <c r="BN18" s="3"/>
      <c r="BO18" s="3">
        <v>14.876662906247912</v>
      </c>
      <c r="BP18" s="105">
        <v>17.511014037807488</v>
      </c>
      <c r="BQ18" s="3"/>
      <c r="BR18" s="104">
        <v>6.4826146197157426</v>
      </c>
      <c r="BS18" s="3">
        <v>8.2940226605519243</v>
      </c>
      <c r="BT18" s="3"/>
      <c r="BU18" s="3">
        <v>14.372625695866478</v>
      </c>
      <c r="BV18" s="105">
        <v>16.92328069734068</v>
      </c>
    </row>
    <row r="19" spans="1:74" x14ac:dyDescent="0.25">
      <c r="A19">
        <f t="shared" si="0"/>
        <v>14</v>
      </c>
      <c r="B19" s="5" t="s">
        <v>134</v>
      </c>
      <c r="D19" s="104">
        <v>4.1053270841528935</v>
      </c>
      <c r="E19" s="105">
        <v>5.9564705895743986</v>
      </c>
      <c r="F19" s="3"/>
      <c r="G19" s="104">
        <v>4.4282468523685488</v>
      </c>
      <c r="H19" s="105">
        <v>6.4776718408430671</v>
      </c>
      <c r="J19" s="104">
        <v>0.5342650646517948</v>
      </c>
      <c r="K19" s="3">
        <v>0.77517188750190247</v>
      </c>
      <c r="L19" s="3"/>
      <c r="M19" s="3">
        <v>0.7203620875932496</v>
      </c>
      <c r="N19" s="105">
        <v>1.0537509234648603</v>
      </c>
      <c r="O19" s="3"/>
      <c r="P19" s="104">
        <v>0.5250293706474275</v>
      </c>
      <c r="Q19" s="3">
        <v>0.76059252873982219</v>
      </c>
      <c r="R19" s="3"/>
      <c r="S19" s="3">
        <v>0.71177609500251848</v>
      </c>
      <c r="T19" s="105">
        <v>1.0400690985476915</v>
      </c>
      <c r="U19" s="3"/>
      <c r="V19" s="104">
        <v>0.51702773089124165</v>
      </c>
      <c r="W19" s="3">
        <v>0.74798070288775675</v>
      </c>
      <c r="X19" s="3"/>
      <c r="Y19" s="3">
        <v>0.70542360731896503</v>
      </c>
      <c r="Z19" s="105">
        <v>1.0299782800919526</v>
      </c>
      <c r="AA19" s="3"/>
      <c r="AB19" s="104">
        <v>0.49912847524891141</v>
      </c>
      <c r="AC19" s="3">
        <v>0.72262133121368277</v>
      </c>
      <c r="AD19" s="3"/>
      <c r="AE19" s="3">
        <v>0.68147043494690285</v>
      </c>
      <c r="AF19" s="105">
        <v>0.9956225767797019</v>
      </c>
      <c r="AG19" s="3"/>
      <c r="AH19" s="104">
        <v>0.4818739072486537</v>
      </c>
      <c r="AI19" s="3">
        <v>0.69815707662212323</v>
      </c>
      <c r="AJ19" s="3"/>
      <c r="AK19" s="3">
        <v>0.65836305004783435</v>
      </c>
      <c r="AL19" s="3">
        <v>0.96245871123961479</v>
      </c>
      <c r="AM19" s="3"/>
      <c r="AN19" s="3">
        <v>0.46523994283697201</v>
      </c>
      <c r="AO19" s="3">
        <v>0.67455513663348265</v>
      </c>
      <c r="AP19" s="3"/>
      <c r="AQ19" s="3">
        <v>0.63607050130578102</v>
      </c>
      <c r="AR19" s="105">
        <v>0.93044381917108754</v>
      </c>
      <c r="AS19" s="3"/>
      <c r="AT19" s="104">
        <v>0.44920343009825381</v>
      </c>
      <c r="AU19" s="3">
        <v>0.65178395548332912</v>
      </c>
      <c r="AV19" s="3"/>
      <c r="AW19" s="3">
        <v>0.61456300989112822</v>
      </c>
      <c r="AX19" s="3">
        <v>0.89953663272759854</v>
      </c>
      <c r="AY19" s="3"/>
      <c r="AZ19" s="104">
        <v>0.43374211188952022</v>
      </c>
      <c r="BA19" s="3">
        <v>0.6298131749923922</v>
      </c>
      <c r="BB19" s="3"/>
      <c r="BC19" s="3">
        <v>0.59381192348354905</v>
      </c>
      <c r="BD19" s="105">
        <v>0.86969741894035357</v>
      </c>
      <c r="BE19" s="3"/>
      <c r="BF19" s="104">
        <v>0.41883459002574314</v>
      </c>
      <c r="BG19" s="3">
        <v>0.60861358744319916</v>
      </c>
      <c r="BH19" s="3"/>
      <c r="BI19" s="3">
        <v>0.57378967216144028</v>
      </c>
      <c r="BJ19" s="105">
        <v>0.84088792060208972</v>
      </c>
      <c r="BK19" s="3"/>
      <c r="BL19" s="104">
        <v>0.40446029094919994</v>
      </c>
      <c r="BM19" s="3">
        <v>0.5881570903785075</v>
      </c>
      <c r="BN19" s="3"/>
      <c r="BO19" s="3">
        <v>0.55446972607947154</v>
      </c>
      <c r="BP19" s="105">
        <v>0.81307129950926915</v>
      </c>
      <c r="BQ19" s="3"/>
      <c r="BR19" s="104">
        <v>0.3905994328192901</v>
      </c>
      <c r="BS19" s="3">
        <v>0.5684166432404022</v>
      </c>
      <c r="BT19" s="3"/>
      <c r="BU19" s="3">
        <v>0.53582655485924291</v>
      </c>
      <c r="BV19" s="105">
        <v>0.78621208196523573</v>
      </c>
    </row>
    <row r="20" spans="1:74" x14ac:dyDescent="0.25">
      <c r="A20">
        <f t="shared" si="0"/>
        <v>15</v>
      </c>
      <c r="B20" s="5" t="s">
        <v>135</v>
      </c>
      <c r="D20" s="104">
        <v>1.184758798540358</v>
      </c>
      <c r="E20" s="105">
        <v>1.6815217013650496</v>
      </c>
      <c r="F20" s="3"/>
      <c r="G20" s="104">
        <v>1.1712219116530762</v>
      </c>
      <c r="H20" s="105">
        <v>1.6269268862097142</v>
      </c>
      <c r="J20" s="104">
        <v>5.4536016522181416</v>
      </c>
      <c r="K20" s="3">
        <v>7.7402670822981969</v>
      </c>
      <c r="L20" s="3"/>
      <c r="M20" s="3">
        <v>8.1331727700416732</v>
      </c>
      <c r="N20" s="105">
        <v>11.297668971282842</v>
      </c>
      <c r="O20" s="3"/>
      <c r="P20" s="104">
        <v>5.1190328310753399</v>
      </c>
      <c r="Q20" s="3">
        <v>7.3549766862043917</v>
      </c>
      <c r="R20" s="3"/>
      <c r="S20" s="3">
        <v>7.6417436647089412</v>
      </c>
      <c r="T20" s="105">
        <v>10.757870693668098</v>
      </c>
      <c r="U20" s="3"/>
      <c r="V20" s="104">
        <v>4.808166099764664</v>
      </c>
      <c r="W20" s="3">
        <v>7.0003504920152269</v>
      </c>
      <c r="X20" s="3"/>
      <c r="Y20" s="3">
        <v>7.1873121725803655</v>
      </c>
      <c r="Z20" s="105">
        <v>10.267955309295086</v>
      </c>
      <c r="AA20" s="3"/>
      <c r="AB20" s="104">
        <v>4.6426561311011101</v>
      </c>
      <c r="AC20" s="3">
        <v>6.7640297873486155</v>
      </c>
      <c r="AD20" s="3"/>
      <c r="AE20" s="3">
        <v>6.9410884608257097</v>
      </c>
      <c r="AF20" s="105">
        <v>9.9229917295497874</v>
      </c>
      <c r="AG20" s="3"/>
      <c r="AH20" s="104">
        <v>4.4828928096457856</v>
      </c>
      <c r="AI20" s="3">
        <v>6.5358327831316423</v>
      </c>
      <c r="AJ20" s="3"/>
      <c r="AK20" s="3">
        <v>6.7033714999944713</v>
      </c>
      <c r="AL20" s="3">
        <v>9.5898195783755362</v>
      </c>
      <c r="AM20" s="3"/>
      <c r="AN20" s="3">
        <v>4.3286749474635648</v>
      </c>
      <c r="AO20" s="3">
        <v>6.31547553692962</v>
      </c>
      <c r="AP20" s="3"/>
      <c r="AQ20" s="3">
        <v>6.4738651810851344</v>
      </c>
      <c r="AR20" s="105">
        <v>9.2680296698152365</v>
      </c>
      <c r="AS20" s="3"/>
      <c r="AT20" s="104">
        <v>4.1798084647645908</v>
      </c>
      <c r="AU20" s="3">
        <v>6.1026842003917672</v>
      </c>
      <c r="AV20" s="3"/>
      <c r="AW20" s="3">
        <v>6.2522837827854314</v>
      </c>
      <c r="AX20" s="3">
        <v>8.9572272298636353</v>
      </c>
      <c r="AY20" s="3"/>
      <c r="AZ20" s="104">
        <v>4.0361061359976054</v>
      </c>
      <c r="BA20" s="3">
        <v>5.8971946536746032</v>
      </c>
      <c r="BB20" s="3"/>
      <c r="BC20" s="3">
        <v>6.0383516037571674</v>
      </c>
      <c r="BD20" s="105">
        <v>8.6570313806852877</v>
      </c>
      <c r="BE20" s="3"/>
      <c r="BF20" s="104">
        <v>3.8973873451378522</v>
      </c>
      <c r="BG20" s="3">
        <v>5.698752153388881</v>
      </c>
      <c r="BH20" s="3"/>
      <c r="BI20" s="3">
        <v>5.8318026080837759</v>
      </c>
      <c r="BJ20" s="105">
        <v>8.3670746436299979</v>
      </c>
      <c r="BK20" s="3"/>
      <c r="BL20" s="104">
        <v>3.7634778498308998</v>
      </c>
      <c r="BM20" s="3">
        <v>5.5071109935576077</v>
      </c>
      <c r="BN20" s="3"/>
      <c r="BO20" s="3">
        <v>5.6323800834027544</v>
      </c>
      <c r="BP20" s="105">
        <v>8.087002460346211</v>
      </c>
      <c r="BQ20" s="3"/>
      <c r="BR20" s="104">
        <v>3.634209554066286</v>
      </c>
      <c r="BS20" s="3">
        <v>5.3220341790924532</v>
      </c>
      <c r="BT20" s="3"/>
      <c r="BU20" s="3">
        <v>5.4398363112627699</v>
      </c>
      <c r="BV20" s="105">
        <v>7.8164727313191893</v>
      </c>
    </row>
    <row r="21" spans="1:74" x14ac:dyDescent="0.25">
      <c r="A21">
        <f t="shared" si="0"/>
        <v>16</v>
      </c>
      <c r="B21" s="5" t="s">
        <v>4</v>
      </c>
      <c r="D21" s="104">
        <v>2.2282696698864832</v>
      </c>
      <c r="E21" s="105">
        <v>3.1019995988583324</v>
      </c>
      <c r="F21" s="3"/>
      <c r="G21" s="104">
        <v>2.4549109668682281</v>
      </c>
      <c r="H21" s="105">
        <v>3.6518149033454632</v>
      </c>
      <c r="J21" s="104">
        <v>4.2310532786502595</v>
      </c>
      <c r="K21" s="3">
        <v>5.8900974825861017</v>
      </c>
      <c r="L21" s="3"/>
      <c r="M21" s="3">
        <v>4.7090831701346278</v>
      </c>
      <c r="N21" s="105">
        <v>7.0050198699177502</v>
      </c>
      <c r="O21" s="3"/>
      <c r="P21" s="104">
        <v>4.2401530980515609</v>
      </c>
      <c r="Q21" s="3">
        <v>5.8623972813853458</v>
      </c>
      <c r="R21" s="3"/>
      <c r="S21" s="3">
        <v>4.7376967178118656</v>
      </c>
      <c r="T21" s="105">
        <v>6.9985401355310541</v>
      </c>
      <c r="U21" s="3"/>
      <c r="V21" s="104">
        <v>4.2635621653897759</v>
      </c>
      <c r="W21" s="3">
        <v>5.8540575487894317</v>
      </c>
      <c r="X21" s="3"/>
      <c r="Y21" s="3">
        <v>4.7873795237504169</v>
      </c>
      <c r="Z21" s="105">
        <v>7.0224783156984669</v>
      </c>
      <c r="AA21" s="3"/>
      <c r="AB21" s="104">
        <v>4.1362893802093454</v>
      </c>
      <c r="AC21" s="3">
        <v>5.6754094554432637</v>
      </c>
      <c r="AD21" s="3"/>
      <c r="AE21" s="3">
        <v>4.6425810937532033</v>
      </c>
      <c r="AF21" s="105">
        <v>6.8060411564265735</v>
      </c>
      <c r="AG21" s="3"/>
      <c r="AH21" s="104">
        <v>4.0130118146355969</v>
      </c>
      <c r="AI21" s="3">
        <v>5.5024812049699232</v>
      </c>
      <c r="AJ21" s="3"/>
      <c r="AK21" s="3">
        <v>4.502381762645471</v>
      </c>
      <c r="AL21" s="3">
        <v>6.5965862279800458</v>
      </c>
      <c r="AM21" s="3"/>
      <c r="AN21" s="3">
        <v>3.8935981259765886</v>
      </c>
      <c r="AO21" s="3">
        <v>5.3350814138113876</v>
      </c>
      <c r="AP21" s="3"/>
      <c r="AQ21" s="3">
        <v>4.3666288885375559</v>
      </c>
      <c r="AR21" s="105">
        <v>6.3938788477538191</v>
      </c>
      <c r="AS21" s="3"/>
      <c r="AT21" s="104">
        <v>3.7779214677303896</v>
      </c>
      <c r="AU21" s="3">
        <v>5.1730253609875021</v>
      </c>
      <c r="AV21" s="3"/>
      <c r="AW21" s="3">
        <v>4.235175091571727</v>
      </c>
      <c r="AX21" s="3">
        <v>6.1976925148977235</v>
      </c>
      <c r="AY21" s="3"/>
      <c r="AZ21" s="104">
        <v>3.6658593302191695</v>
      </c>
      <c r="BA21" s="3">
        <v>5.0161347477101659</v>
      </c>
      <c r="BB21" s="3"/>
      <c r="BC21" s="3">
        <v>4.1078780665561574</v>
      </c>
      <c r="BD21" s="105">
        <v>6.0078086155234853</v>
      </c>
      <c r="BE21" s="3"/>
      <c r="BF21" s="104">
        <v>3.557293387045847</v>
      </c>
      <c r="BG21" s="3">
        <v>4.8642374659608993</v>
      </c>
      <c r="BH21" s="3"/>
      <c r="BI21" s="3">
        <v>3.9846004024608312</v>
      </c>
      <c r="BJ21" s="105">
        <v>5.8240161388619089</v>
      </c>
      <c r="BK21" s="3"/>
      <c r="BL21" s="104">
        <v>3.4521093471546442</v>
      </c>
      <c r="BM21" s="3">
        <v>4.717167375687028</v>
      </c>
      <c r="BN21" s="3"/>
      <c r="BO21" s="3">
        <v>3.8652094085176509</v>
      </c>
      <c r="BP21" s="105">
        <v>5.6461114039515419</v>
      </c>
      <c r="BQ21" s="3"/>
      <c r="BR21" s="104">
        <v>3.3501968122853256</v>
      </c>
      <c r="BS21" s="3">
        <v>4.5747640902853339</v>
      </c>
      <c r="BT21" s="3"/>
      <c r="BU21" s="3">
        <v>3.7495769466768096</v>
      </c>
      <c r="BV21" s="105">
        <v>5.4738977964564812</v>
      </c>
    </row>
    <row r="22" spans="1:74" x14ac:dyDescent="0.25">
      <c r="A22">
        <f t="shared" si="0"/>
        <v>17</v>
      </c>
      <c r="B22" s="5" t="s">
        <v>18</v>
      </c>
      <c r="D22" s="104">
        <v>1.2337190820437749</v>
      </c>
      <c r="E22" s="105">
        <v>1.8563280443397572</v>
      </c>
      <c r="F22" s="3"/>
      <c r="G22" s="104">
        <v>1.2744255220279272</v>
      </c>
      <c r="H22" s="105">
        <v>2.0928011053990105</v>
      </c>
      <c r="J22" s="104">
        <v>3.6337120062111614</v>
      </c>
      <c r="K22" s="3">
        <v>5.4675019624479813</v>
      </c>
      <c r="L22" s="3"/>
      <c r="M22" s="3">
        <v>3.9519672685667624</v>
      </c>
      <c r="N22" s="105">
        <v>6.4897330798872597</v>
      </c>
      <c r="O22" s="3"/>
      <c r="P22" s="104">
        <v>3.8273573127609235</v>
      </c>
      <c r="Q22" s="3">
        <v>5.6204711326963359</v>
      </c>
      <c r="R22" s="3"/>
      <c r="S22" s="3">
        <v>4.1578758491134025</v>
      </c>
      <c r="T22" s="105">
        <v>6.6568520320276381</v>
      </c>
      <c r="U22" s="3"/>
      <c r="V22" s="104">
        <v>4.0390759190796253</v>
      </c>
      <c r="W22" s="3">
        <v>5.7970968642720617</v>
      </c>
      <c r="X22" s="3"/>
      <c r="Y22" s="3">
        <v>4.3842323384585411</v>
      </c>
      <c r="Z22" s="105">
        <v>6.8547522354858792</v>
      </c>
      <c r="AA22" s="3"/>
      <c r="AB22" s="104">
        <v>3.9385753279609546</v>
      </c>
      <c r="AC22" s="3">
        <v>5.6398096463176506</v>
      </c>
      <c r="AD22" s="3"/>
      <c r="AE22" s="3">
        <v>4.2743557687938782</v>
      </c>
      <c r="AF22" s="105">
        <v>6.6656912885093815</v>
      </c>
      <c r="AG22" s="3"/>
      <c r="AH22" s="104">
        <v>3.8406548417273179</v>
      </c>
      <c r="AI22" s="3">
        <v>5.4870088096550438</v>
      </c>
      <c r="AJ22" s="3"/>
      <c r="AK22" s="3">
        <v>4.1673253275256688</v>
      </c>
      <c r="AL22" s="3">
        <v>6.4821106151787742</v>
      </c>
      <c r="AM22" s="3"/>
      <c r="AN22" s="3">
        <v>3.7452454009752554</v>
      </c>
      <c r="AO22" s="3">
        <v>5.3385589299599889</v>
      </c>
      <c r="AP22" s="3"/>
      <c r="AQ22" s="3">
        <v>4.0630640482050557</v>
      </c>
      <c r="AR22" s="105">
        <v>6.3038425670491849</v>
      </c>
      <c r="AS22" s="3"/>
      <c r="AT22" s="104">
        <v>3.6522798940571386</v>
      </c>
      <c r="AU22" s="3">
        <v>5.1943289252357658</v>
      </c>
      <c r="AV22" s="3"/>
      <c r="AW22" s="3">
        <v>3.9614971584524152</v>
      </c>
      <c r="AX22" s="3">
        <v>6.1307249169999203</v>
      </c>
      <c r="AY22" s="3"/>
      <c r="AZ22" s="104">
        <v>3.5616930986977797</v>
      </c>
      <c r="BA22" s="3">
        <v>5.0541919078761177</v>
      </c>
      <c r="BB22" s="3"/>
      <c r="BC22" s="3">
        <v>3.8625520135483664</v>
      </c>
      <c r="BD22" s="105">
        <v>5.9626006740833519</v>
      </c>
      <c r="BE22" s="3"/>
      <c r="BF22" s="104">
        <v>3.4734216254790642</v>
      </c>
      <c r="BG22" s="3">
        <v>4.9180250420678879</v>
      </c>
      <c r="BH22" s="3"/>
      <c r="BI22" s="3">
        <v>3.766158032165337</v>
      </c>
      <c r="BJ22" s="105">
        <v>5.7993179050331367</v>
      </c>
      <c r="BK22" s="3"/>
      <c r="BL22" s="104">
        <v>3.3874038631288386</v>
      </c>
      <c r="BM22" s="3">
        <v>4.7857094063301187</v>
      </c>
      <c r="BN22" s="3"/>
      <c r="BO22" s="3">
        <v>3.6722466341662994</v>
      </c>
      <c r="BP22" s="105">
        <v>5.6407295621805975</v>
      </c>
      <c r="BQ22" s="3"/>
      <c r="BR22" s="104">
        <v>3.3035799255526004</v>
      </c>
      <c r="BS22" s="3">
        <v>4.6571298609945355</v>
      </c>
      <c r="BT22" s="3"/>
      <c r="BU22" s="3">
        <v>3.5807511803999739</v>
      </c>
      <c r="BV22" s="105">
        <v>5.4866933175378589</v>
      </c>
    </row>
    <row r="23" spans="1:74" x14ac:dyDescent="0.25">
      <c r="A23">
        <f t="shared" si="0"/>
        <v>18</v>
      </c>
      <c r="B23" s="5" t="s">
        <v>136</v>
      </c>
      <c r="D23" s="104">
        <v>1.1029469914221932</v>
      </c>
      <c r="E23" s="105">
        <v>1.5103149179965862</v>
      </c>
      <c r="F23" s="3"/>
      <c r="G23" s="104">
        <v>1.1310428755521529</v>
      </c>
      <c r="H23" s="105">
        <v>1.6389544824601465</v>
      </c>
      <c r="J23" s="104">
        <v>7.1057480094682672</v>
      </c>
      <c r="K23" s="3">
        <v>9.730220314927573</v>
      </c>
      <c r="L23" s="3"/>
      <c r="M23" s="3">
        <v>8.0878833287503671</v>
      </c>
      <c r="N23" s="105">
        <v>11.719867497329794</v>
      </c>
      <c r="O23" s="3"/>
      <c r="P23" s="104">
        <v>6.9733370299916899</v>
      </c>
      <c r="Q23" s="3">
        <v>9.5395947112225947</v>
      </c>
      <c r="R23" s="3"/>
      <c r="S23" s="3">
        <v>7.9472935835424519</v>
      </c>
      <c r="T23" s="105">
        <v>11.523763048736663</v>
      </c>
      <c r="U23" s="3"/>
      <c r="V23" s="104">
        <v>6.845310219637339</v>
      </c>
      <c r="W23" s="3">
        <v>9.3613438948043761</v>
      </c>
      <c r="X23" s="3"/>
      <c r="Y23" s="3">
        <v>7.8130056958517988</v>
      </c>
      <c r="Z23" s="105">
        <v>11.3487492676729</v>
      </c>
      <c r="AA23" s="3"/>
      <c r="AB23" s="104">
        <v>6.6821937719039397</v>
      </c>
      <c r="AC23" s="3">
        <v>9.1169559094316934</v>
      </c>
      <c r="AD23" s="3"/>
      <c r="AE23" s="3">
        <v>7.6257974629606506</v>
      </c>
      <c r="AF23" s="105">
        <v>11.048214421462072</v>
      </c>
      <c r="AG23" s="3"/>
      <c r="AH23" s="104">
        <v>6.5230175690504026</v>
      </c>
      <c r="AI23" s="3">
        <v>8.8792363819597213</v>
      </c>
      <c r="AJ23" s="3"/>
      <c r="AK23" s="3">
        <v>7.4431446189547161</v>
      </c>
      <c r="AL23" s="3">
        <v>10.756004884040429</v>
      </c>
      <c r="AM23" s="3"/>
      <c r="AN23" s="3">
        <v>6.3676843311786451</v>
      </c>
      <c r="AO23" s="3">
        <v>8.6479930527485251</v>
      </c>
      <c r="AP23" s="3"/>
      <c r="AQ23" s="3">
        <v>7.2649336454279778</v>
      </c>
      <c r="AR23" s="105">
        <v>10.471877355296929</v>
      </c>
      <c r="AS23" s="3"/>
      <c r="AT23" s="104">
        <v>6.2160992641870365</v>
      </c>
      <c r="AU23" s="3">
        <v>8.4230395750030969</v>
      </c>
      <c r="AV23" s="3"/>
      <c r="AW23" s="3">
        <v>7.0910539569973947</v>
      </c>
      <c r="AX23" s="3">
        <v>10.195596086906557</v>
      </c>
      <c r="AY23" s="3"/>
      <c r="AZ23" s="104">
        <v>6.0681699928523178</v>
      </c>
      <c r="BA23" s="3">
        <v>8.2041953196884343</v>
      </c>
      <c r="BB23" s="3"/>
      <c r="BC23" s="3">
        <v>6.9213978214180703</v>
      </c>
      <c r="BD23" s="105">
        <v>9.9269326325048031</v>
      </c>
      <c r="BE23" s="3"/>
      <c r="BF23" s="104">
        <v>5.9238064958498846</v>
      </c>
      <c r="BG23" s="3">
        <v>7.9912851873514725</v>
      </c>
      <c r="BH23" s="3"/>
      <c r="BI23" s="3">
        <v>6.7558602820353917</v>
      </c>
      <c r="BJ23" s="105">
        <v>9.6656656066663693</v>
      </c>
      <c r="BK23" s="3"/>
      <c r="BL23" s="104">
        <v>5.7829210426508899</v>
      </c>
      <c r="BM23" s="3">
        <v>7.7841394265888857</v>
      </c>
      <c r="BN23" s="3"/>
      <c r="BO23" s="3">
        <v>6.5943390824995962</v>
      </c>
      <c r="BP23" s="105">
        <v>9.4115804523589635</v>
      </c>
      <c r="BQ23" s="3"/>
      <c r="BR23" s="104">
        <v>5.6454281322367423</v>
      </c>
      <c r="BS23" s="3">
        <v>7.5825934589099777</v>
      </c>
      <c r="BT23" s="3"/>
      <c r="BU23" s="3">
        <v>6.436734593670689</v>
      </c>
      <c r="BV23" s="105">
        <v>9.1644692165558812</v>
      </c>
    </row>
    <row r="24" spans="1:74" x14ac:dyDescent="0.25">
      <c r="A24">
        <f t="shared" si="0"/>
        <v>19</v>
      </c>
      <c r="B24" s="5" t="s">
        <v>137</v>
      </c>
      <c r="D24" s="104">
        <v>1.2320735092959914</v>
      </c>
      <c r="E24" s="105">
        <v>1.7049233885550366</v>
      </c>
      <c r="F24" s="3"/>
      <c r="G24" s="104">
        <v>1.120133735763436</v>
      </c>
      <c r="H24" s="105">
        <v>1.3465833540808505</v>
      </c>
      <c r="J24" s="104">
        <v>8.4912316998642385</v>
      </c>
      <c r="K24" s="3">
        <v>11.750029047382572</v>
      </c>
      <c r="L24" s="3"/>
      <c r="M24" s="3">
        <v>22.30784360125147</v>
      </c>
      <c r="N24" s="105">
        <v>26.817664623243111</v>
      </c>
      <c r="O24" s="3"/>
      <c r="P24" s="104">
        <v>7.5063403215595592</v>
      </c>
      <c r="Q24" s="3">
        <v>10.692852790084245</v>
      </c>
      <c r="R24" s="3"/>
      <c r="S24" s="3">
        <v>19.478514066033565</v>
      </c>
      <c r="T24" s="105">
        <v>23.919402690543343</v>
      </c>
      <c r="U24" s="3"/>
      <c r="V24" s="104">
        <v>6.6679643503641746</v>
      </c>
      <c r="W24" s="3">
        <v>9.7921138602848821</v>
      </c>
      <c r="X24" s="3"/>
      <c r="Y24" s="3">
        <v>17.060966619138405</v>
      </c>
      <c r="Z24" s="105">
        <v>21.451286055692375</v>
      </c>
      <c r="AA24" s="3"/>
      <c r="AB24" s="104">
        <v>6.4941719425737165</v>
      </c>
      <c r="AC24" s="3">
        <v>9.5174068912179575</v>
      </c>
      <c r="AD24" s="3"/>
      <c r="AE24" s="3">
        <v>16.639074871810212</v>
      </c>
      <c r="AF24" s="105">
        <v>20.888677080706177</v>
      </c>
      <c r="AG24" s="3"/>
      <c r="AH24" s="104">
        <v>6.325149053399997</v>
      </c>
      <c r="AI24" s="3">
        <v>9.250857052569712</v>
      </c>
      <c r="AJ24" s="3"/>
      <c r="AK24" s="3">
        <v>16.227960680431199</v>
      </c>
      <c r="AL24" s="3">
        <v>20.341526756972744</v>
      </c>
      <c r="AM24" s="3"/>
      <c r="AN24" s="3">
        <v>6.1607559772911973</v>
      </c>
      <c r="AO24" s="3">
        <v>8.9922067028016386</v>
      </c>
      <c r="AP24" s="3"/>
      <c r="AQ24" s="3">
        <v>15.827335651347536</v>
      </c>
      <c r="AR24" s="105">
        <v>19.809385541385343</v>
      </c>
      <c r="AS24" s="3"/>
      <c r="AT24" s="104">
        <v>6.0008574186748547</v>
      </c>
      <c r="AU24" s="3">
        <v>8.7412068657077882</v>
      </c>
      <c r="AV24" s="3"/>
      <c r="AW24" s="3">
        <v>15.436919600804464</v>
      </c>
      <c r="AX24" s="3">
        <v>19.291817835837016</v>
      </c>
      <c r="AY24" s="3"/>
      <c r="AZ24" s="104">
        <v>5.8453223415881581</v>
      </c>
      <c r="BA24" s="3">
        <v>8.4976169209006596</v>
      </c>
      <c r="BB24" s="3"/>
      <c r="BC24" s="3">
        <v>15.056440302952032</v>
      </c>
      <c r="BD24" s="105">
        <v>18.788401524211444</v>
      </c>
      <c r="BE24" s="3"/>
      <c r="BF24" s="104">
        <v>5.6940238248164965</v>
      </c>
      <c r="BG24" s="3">
        <v>8.2612043059749531</v>
      </c>
      <c r="BH24" s="3"/>
      <c r="BI24" s="3">
        <v>14.685633246244716</v>
      </c>
      <c r="BJ24" s="105">
        <v>18.298727525798416</v>
      </c>
      <c r="BK24" s="3"/>
      <c r="BL24" s="104">
        <v>5.546838922325934</v>
      </c>
      <c r="BM24" s="3">
        <v>8.031744229886705</v>
      </c>
      <c r="BN24" s="3"/>
      <c r="BO24" s="3">
        <v>14.324241397932617</v>
      </c>
      <c r="BP24" s="105">
        <v>17.822399364514727</v>
      </c>
      <c r="BQ24" s="3"/>
      <c r="BR24" s="104">
        <v>5.4036485287837053</v>
      </c>
      <c r="BS24" s="3">
        <v>7.8090193971047599</v>
      </c>
      <c r="BT24" s="3"/>
      <c r="BU24" s="3">
        <v>13.97201497635303</v>
      </c>
      <c r="BV24" s="105">
        <v>17.359032753336781</v>
      </c>
    </row>
    <row r="25" spans="1:74" x14ac:dyDescent="0.25">
      <c r="A25">
        <f t="shared" si="0"/>
        <v>20</v>
      </c>
      <c r="B25" s="5" t="s">
        <v>138</v>
      </c>
      <c r="D25" s="104">
        <v>1.6716993153460342</v>
      </c>
      <c r="E25" s="105">
        <v>2.3050812631297273</v>
      </c>
      <c r="F25" s="3"/>
      <c r="G25" s="104">
        <v>1.8598377111930184</v>
      </c>
      <c r="H25" s="105">
        <v>2.6578298121829009</v>
      </c>
      <c r="J25" s="104">
        <v>6.7616093838838491</v>
      </c>
      <c r="K25" s="3">
        <v>9.323482372885076</v>
      </c>
      <c r="L25" s="3"/>
      <c r="M25" s="3">
        <v>8.2629667337448272</v>
      </c>
      <c r="N25" s="105">
        <v>11.808320258188028</v>
      </c>
      <c r="O25" s="3"/>
      <c r="P25" s="104">
        <v>6.2295799525324638</v>
      </c>
      <c r="Q25" s="3">
        <v>8.7346268614621412</v>
      </c>
      <c r="R25" s="3"/>
      <c r="S25" s="3">
        <v>7.6947342915919688</v>
      </c>
      <c r="T25" s="105">
        <v>11.18589725788023</v>
      </c>
      <c r="U25" s="3"/>
      <c r="V25" s="104">
        <v>5.763678073555516</v>
      </c>
      <c r="W25" s="3">
        <v>8.2196989271266325</v>
      </c>
      <c r="X25" s="3"/>
      <c r="Y25" s="3">
        <v>7.2074491267823309</v>
      </c>
      <c r="Z25" s="105">
        <v>10.658857599960303</v>
      </c>
      <c r="AA25" s="3"/>
      <c r="AB25" s="104">
        <v>5.6092506166060803</v>
      </c>
      <c r="AC25" s="3">
        <v>7.9859384337341854</v>
      </c>
      <c r="AD25" s="3"/>
      <c r="AE25" s="3">
        <v>7.0105448906398715</v>
      </c>
      <c r="AF25" s="105">
        <v>10.351329834282117</v>
      </c>
      <c r="AG25" s="3"/>
      <c r="AH25" s="104">
        <v>5.4591932061109292</v>
      </c>
      <c r="AI25" s="3">
        <v>7.7592111260609382</v>
      </c>
      <c r="AJ25" s="3"/>
      <c r="AK25" s="3">
        <v>6.8193142338373933</v>
      </c>
      <c r="AL25" s="3">
        <v>10.053155647139407</v>
      </c>
      <c r="AM25" s="3"/>
      <c r="AN25" s="3">
        <v>5.313373953160025</v>
      </c>
      <c r="AO25" s="3">
        <v>7.5392924009263824</v>
      </c>
      <c r="AP25" s="3"/>
      <c r="AQ25" s="3">
        <v>6.6335836303036393</v>
      </c>
      <c r="AR25" s="105">
        <v>9.7640348263290431</v>
      </c>
      <c r="AS25" s="3"/>
      <c r="AT25" s="104">
        <v>5.1716652368430678</v>
      </c>
      <c r="AU25" s="3">
        <v>7.3259652684557643</v>
      </c>
      <c r="AV25" s="3"/>
      <c r="AW25" s="3">
        <v>6.4531852019549358</v>
      </c>
      <c r="AX25" s="3">
        <v>9.4836773162311001</v>
      </c>
      <c r="AY25" s="3"/>
      <c r="AZ25" s="104">
        <v>5.0339435562139361</v>
      </c>
      <c r="BA25" s="3">
        <v>7.1190200789346738</v>
      </c>
      <c r="BB25" s="3"/>
      <c r="BC25" s="3">
        <v>6.277956523362989</v>
      </c>
      <c r="BD25" s="105">
        <v>9.2118028565893795</v>
      </c>
      <c r="BE25" s="3"/>
      <c r="BF25" s="104">
        <v>4.9000893877288219</v>
      </c>
      <c r="BG25" s="3">
        <v>6.9182542599874246</v>
      </c>
      <c r="BH25" s="3"/>
      <c r="BI25" s="3">
        <v>6.1077404335674981</v>
      </c>
      <c r="BJ25" s="105">
        <v>8.9481406347498087</v>
      </c>
      <c r="BK25" s="3"/>
      <c r="BL25" s="104">
        <v>4.7699870479441202</v>
      </c>
      <c r="BM25" s="3">
        <v>6.7234720636704317</v>
      </c>
      <c r="BN25" s="3"/>
      <c r="BO25" s="3">
        <v>5.942384854758866</v>
      </c>
      <c r="BP25" s="105">
        <v>8.6924289508334134</v>
      </c>
      <c r="BQ25" s="3"/>
      <c r="BR25" s="104">
        <v>4.6435245612688423</v>
      </c>
      <c r="BS25" s="3">
        <v>6.5344843230886029</v>
      </c>
      <c r="BT25" s="3"/>
      <c r="BU25" s="3">
        <v>5.7817426175673505</v>
      </c>
      <c r="BV25" s="105">
        <v>8.444414895341696</v>
      </c>
    </row>
    <row r="26" spans="1:74" x14ac:dyDescent="0.25">
      <c r="A26">
        <f t="shared" si="0"/>
        <v>21</v>
      </c>
      <c r="B26" s="5" t="s">
        <v>139</v>
      </c>
      <c r="D26" s="104">
        <v>1.425985593246351</v>
      </c>
      <c r="E26" s="105">
        <v>1.8484962600398016</v>
      </c>
      <c r="F26" s="3"/>
      <c r="G26" s="104">
        <v>1.1744523590705467</v>
      </c>
      <c r="H26" s="105">
        <v>1.3736922225684254</v>
      </c>
      <c r="J26" s="104">
        <v>9.422056127447096</v>
      </c>
      <c r="K26" s="3">
        <v>12.213752786815276</v>
      </c>
      <c r="L26" s="3"/>
      <c r="M26" s="3">
        <v>22.773477302136037</v>
      </c>
      <c r="N26" s="105">
        <v>26.636881785090523</v>
      </c>
      <c r="O26" s="3"/>
      <c r="P26" s="104">
        <v>10.051047238396807</v>
      </c>
      <c r="Q26" s="3">
        <v>12.780819993425537</v>
      </c>
      <c r="R26" s="3"/>
      <c r="S26" s="3">
        <v>24.713307042221423</v>
      </c>
      <c r="T26" s="105">
        <v>28.517659573412498</v>
      </c>
      <c r="U26" s="3"/>
      <c r="V26" s="104">
        <v>10.755549484597472</v>
      </c>
      <c r="W26" s="3">
        <v>13.431898094262996</v>
      </c>
      <c r="X26" s="3"/>
      <c r="Y26" s="3">
        <v>26.865750536282338</v>
      </c>
      <c r="Z26" s="105">
        <v>30.626782229130789</v>
      </c>
      <c r="AA26" s="3"/>
      <c r="AB26" s="104">
        <v>10.47892538040167</v>
      </c>
      <c r="AC26" s="3">
        <v>13.068824047479744</v>
      </c>
      <c r="AD26" s="3"/>
      <c r="AE26" s="3">
        <v>26.211108168488458</v>
      </c>
      <c r="AF26" s="105">
        <v>29.85159237940541</v>
      </c>
      <c r="AG26" s="3"/>
      <c r="AH26" s="104">
        <v>10.209709559752847</v>
      </c>
      <c r="AI26" s="3">
        <v>12.716060331699069</v>
      </c>
      <c r="AJ26" s="3"/>
      <c r="AK26" s="3">
        <v>25.572787266872417</v>
      </c>
      <c r="AL26" s="3">
        <v>29.096734124972265</v>
      </c>
      <c r="AM26" s="3"/>
      <c r="AN26" s="3">
        <v>9.9476933658053479</v>
      </c>
      <c r="AO26" s="3">
        <v>12.373297258478427</v>
      </c>
      <c r="AP26" s="3"/>
      <c r="AQ26" s="3">
        <v>24.950367442152661</v>
      </c>
      <c r="AR26" s="105">
        <v>28.361649025501713</v>
      </c>
      <c r="AS26" s="3"/>
      <c r="AT26" s="104">
        <v>9.6926743755295899</v>
      </c>
      <c r="AU26" s="3">
        <v>12.040235018602148</v>
      </c>
      <c r="AV26" s="3"/>
      <c r="AW26" s="3">
        <v>24.343439627182704</v>
      </c>
      <c r="AX26" s="3">
        <v>27.645794875857522</v>
      </c>
      <c r="AY26" s="3"/>
      <c r="AZ26" s="104">
        <v>9.444456201096461</v>
      </c>
      <c r="BA26" s="3">
        <v>11.716583347132632</v>
      </c>
      <c r="BB26" s="3"/>
      <c r="BC26" s="3">
        <v>23.751605753820055</v>
      </c>
      <c r="BD26" s="105">
        <v>26.948645202196776</v>
      </c>
      <c r="BE26" s="3"/>
      <c r="BF26" s="104">
        <v>9.2028482980184823</v>
      </c>
      <c r="BG26" s="3">
        <v>11.402061200503192</v>
      </c>
      <c r="BH26" s="3"/>
      <c r="BI26" s="3">
        <v>23.174478439685029</v>
      </c>
      <c r="BJ26" s="105">
        <v>26.269688774839409</v>
      </c>
      <c r="BK26" s="3"/>
      <c r="BL26" s="104">
        <v>8.9676657798026813</v>
      </c>
      <c r="BM26" s="3">
        <v>11.09639644519569</v>
      </c>
      <c r="BN26" s="3"/>
      <c r="BO26" s="3">
        <v>22.611680684483236</v>
      </c>
      <c r="BP26" s="105">
        <v>25.608429137309383</v>
      </c>
      <c r="BQ26" s="3"/>
      <c r="BR26" s="104">
        <v>8.7387292388800208</v>
      </c>
      <c r="BS26" s="3">
        <v>10.799325557564012</v>
      </c>
      <c r="BT26" s="3"/>
      <c r="BU26" s="3">
        <v>22.062845575575473</v>
      </c>
      <c r="BV26" s="105">
        <v>24.964384150972577</v>
      </c>
    </row>
    <row r="27" spans="1:74" x14ac:dyDescent="0.25">
      <c r="A27">
        <f t="shared" si="0"/>
        <v>22</v>
      </c>
      <c r="B27" s="5" t="s">
        <v>140</v>
      </c>
      <c r="D27" s="104">
        <v>1.3710031115373804</v>
      </c>
      <c r="E27" s="105">
        <v>1.7996589789155861</v>
      </c>
      <c r="F27" s="3"/>
      <c r="G27" s="104">
        <v>1.1953642673696934</v>
      </c>
      <c r="H27" s="105">
        <v>1.3975019723231856</v>
      </c>
      <c r="J27" s="104">
        <v>9.0587649194981559</v>
      </c>
      <c r="K27" s="3">
        <v>11.891065372549951</v>
      </c>
      <c r="L27" s="3"/>
      <c r="M27" s="3">
        <v>23.178974268715304</v>
      </c>
      <c r="N27" s="105">
        <v>27.098569985060337</v>
      </c>
      <c r="O27" s="3"/>
      <c r="P27" s="104">
        <v>9.0190623648600141</v>
      </c>
      <c r="Q27" s="3">
        <v>11.788538262196981</v>
      </c>
      <c r="R27" s="3"/>
      <c r="S27" s="3">
        <v>23.23909663044628</v>
      </c>
      <c r="T27" s="105">
        <v>27.098781514727303</v>
      </c>
      <c r="U27" s="3"/>
      <c r="V27" s="104">
        <v>8.9896596402113733</v>
      </c>
      <c r="W27" s="3">
        <v>11.704934365437348</v>
      </c>
      <c r="X27" s="3"/>
      <c r="Y27" s="3">
        <v>23.319184277342313</v>
      </c>
      <c r="Z27" s="105">
        <v>27.134918243942977</v>
      </c>
      <c r="AA27" s="3"/>
      <c r="AB27" s="104">
        <v>8.757290339753661</v>
      </c>
      <c r="AC27" s="3">
        <v>11.384857752390676</v>
      </c>
      <c r="AD27" s="3"/>
      <c r="AE27" s="3">
        <v>22.74155875818537</v>
      </c>
      <c r="AF27" s="105">
        <v>26.434991941660808</v>
      </c>
      <c r="AG27" s="3"/>
      <c r="AH27" s="104">
        <v>8.5311923426806704</v>
      </c>
      <c r="AI27" s="3">
        <v>11.073996698973653</v>
      </c>
      <c r="AJ27" s="3"/>
      <c r="AK27" s="3">
        <v>22.178642761626808</v>
      </c>
      <c r="AL27" s="3">
        <v>25.753843616359163</v>
      </c>
      <c r="AM27" s="3"/>
      <c r="AN27" s="3">
        <v>8.3111868824917217</v>
      </c>
      <c r="AO27" s="3">
        <v>10.772069937636029</v>
      </c>
      <c r="AP27" s="3"/>
      <c r="AQ27" s="3">
        <v>21.630047210687831</v>
      </c>
      <c r="AR27" s="105">
        <v>25.09094413212966</v>
      </c>
      <c r="AS27" s="3"/>
      <c r="AT27" s="104">
        <v>8.097100629810523</v>
      </c>
      <c r="AU27" s="3">
        <v>10.478805336383397</v>
      </c>
      <c r="AV27" s="3"/>
      <c r="AW27" s="3">
        <v>21.095393847191598</v>
      </c>
      <c r="AX27" s="3">
        <v>24.445780156381936</v>
      </c>
      <c r="AY27" s="3"/>
      <c r="AZ27" s="104">
        <v>7.8887655148407472</v>
      </c>
      <c r="BA27" s="3">
        <v>10.193939582916595</v>
      </c>
      <c r="BB27" s="3"/>
      <c r="BC27" s="3">
        <v>20.574314911677497</v>
      </c>
      <c r="BD27" s="105">
        <v>23.817853656360164</v>
      </c>
      <c r="BE27" s="3"/>
      <c r="BF27" s="104">
        <v>7.6860185560502874</v>
      </c>
      <c r="BG27" s="3">
        <v>9.9172178803617239</v>
      </c>
      <c r="BH27" s="3"/>
      <c r="BI27" s="3">
        <v>20.066452833486224</v>
      </c>
      <c r="BJ27" s="105">
        <v>23.206681412809154</v>
      </c>
      <c r="BK27" s="3"/>
      <c r="BL27" s="104">
        <v>7.4887016948503433</v>
      </c>
      <c r="BM27" s="3">
        <v>9.648393654141648</v>
      </c>
      <c r="BN27" s="3"/>
      <c r="BO27" s="3">
        <v>19.57145993066684</v>
      </c>
      <c r="BP27" s="105">
        <v>22.61179455016762</v>
      </c>
      <c r="BQ27" s="3"/>
      <c r="BR27" s="104">
        <v>7.2966616360450471</v>
      </c>
      <c r="BS27" s="3">
        <v>9.3872282695582996</v>
      </c>
      <c r="BT27" s="3"/>
      <c r="BU27" s="3">
        <v>19.08899811937064</v>
      </c>
      <c r="BV27" s="105">
        <v>22.032738082688979</v>
      </c>
    </row>
    <row r="28" spans="1:74" x14ac:dyDescent="0.25">
      <c r="A28">
        <f t="shared" si="0"/>
        <v>23</v>
      </c>
      <c r="B28" s="5" t="s">
        <v>141</v>
      </c>
      <c r="D28" s="104">
        <v>2.7178856868626649</v>
      </c>
      <c r="E28" s="105">
        <v>3.9378110965196655</v>
      </c>
      <c r="F28" s="3"/>
      <c r="G28" s="104">
        <v>2.6449917384852917</v>
      </c>
      <c r="H28" s="105">
        <v>3.7734005514886819</v>
      </c>
      <c r="J28" s="104">
        <v>4.2224829903514376</v>
      </c>
      <c r="K28" s="3">
        <v>6.1177482388763957</v>
      </c>
      <c r="L28" s="3"/>
      <c r="M28" s="3">
        <v>6.1479425778343968</v>
      </c>
      <c r="N28" s="105">
        <v>8.7707835061164463</v>
      </c>
      <c r="O28" s="3"/>
      <c r="P28" s="104">
        <v>4.0379812102177359</v>
      </c>
      <c r="Q28" s="3">
        <v>5.891206710780212</v>
      </c>
      <c r="R28" s="3"/>
      <c r="S28" s="3">
        <v>5.9073055024674987</v>
      </c>
      <c r="T28" s="105">
        <v>8.4900564332710786</v>
      </c>
      <c r="U28" s="3"/>
      <c r="V28" s="104">
        <v>3.8685314597689282</v>
      </c>
      <c r="W28" s="3">
        <v>5.6854876451107659</v>
      </c>
      <c r="X28" s="3"/>
      <c r="Y28" s="3">
        <v>5.692699243702573</v>
      </c>
      <c r="Z28" s="105">
        <v>8.2460399306774672</v>
      </c>
      <c r="AA28" s="3"/>
      <c r="AB28" s="104">
        <v>3.723775255181609</v>
      </c>
      <c r="AC28" s="3">
        <v>5.4820411199353707</v>
      </c>
      <c r="AD28" s="3"/>
      <c r="AE28" s="3">
        <v>5.4822497492236604</v>
      </c>
      <c r="AF28" s="105">
        <v>7.9537515112798083</v>
      </c>
      <c r="AG28" s="3"/>
      <c r="AH28" s="104">
        <v>3.5846579504479705</v>
      </c>
      <c r="AI28" s="3">
        <v>5.286203676321513</v>
      </c>
      <c r="AJ28" s="3"/>
      <c r="AK28" s="3">
        <v>5.2799080258744997</v>
      </c>
      <c r="AL28" s="3">
        <v>7.6722933143667316</v>
      </c>
      <c r="AM28" s="3"/>
      <c r="AN28" s="3">
        <v>3.4509530633877827</v>
      </c>
      <c r="AO28" s="3">
        <v>5.0976802423752599</v>
      </c>
      <c r="AP28" s="3"/>
      <c r="AQ28" s="3">
        <v>5.0853517825024328</v>
      </c>
      <c r="AR28" s="105">
        <v>7.4012493268000625</v>
      </c>
      <c r="AS28" s="3"/>
      <c r="AT28" s="104">
        <v>3.3224434292891991</v>
      </c>
      <c r="AU28" s="3">
        <v>4.9161875385174891</v>
      </c>
      <c r="AV28" s="3"/>
      <c r="AW28" s="3">
        <v>4.8982718549053228</v>
      </c>
      <c r="AX28" s="3">
        <v>7.1402199978363869</v>
      </c>
      <c r="AY28" s="3"/>
      <c r="AZ28" s="104">
        <v>3.198920810009549</v>
      </c>
      <c r="BA28" s="3">
        <v>4.7414535940288349</v>
      </c>
      <c r="BB28" s="3"/>
      <c r="BC28" s="3">
        <v>4.7183716606128279</v>
      </c>
      <c r="BD28" s="105">
        <v>6.8888215711855416</v>
      </c>
      <c r="BE28" s="3"/>
      <c r="BF28" s="104">
        <v>3.0801855197499295</v>
      </c>
      <c r="BG28" s="3">
        <v>4.5732172838565308</v>
      </c>
      <c r="BH28" s="3"/>
      <c r="BI28" s="3">
        <v>4.5453666766843659</v>
      </c>
      <c r="BJ28" s="105">
        <v>6.6466854447560397</v>
      </c>
      <c r="BK28" s="3"/>
      <c r="BL28" s="104">
        <v>2.9660460667820656</v>
      </c>
      <c r="BM28" s="3">
        <v>4.4112278848173645</v>
      </c>
      <c r="BN28" s="3"/>
      <c r="BO28" s="3">
        <v>4.3789839395383048</v>
      </c>
      <c r="BP28" s="105">
        <v>6.4134575569182637</v>
      </c>
      <c r="BQ28" s="3"/>
      <c r="BR28" s="104">
        <v>2.8563188104373252</v>
      </c>
      <c r="BS28" s="3">
        <v>4.2552446503686943</v>
      </c>
      <c r="BT28" s="3"/>
      <c r="BU28" s="3">
        <v>4.2189615658697726</v>
      </c>
      <c r="BV28" s="105">
        <v>6.1887977981663402</v>
      </c>
    </row>
    <row r="29" spans="1:74" x14ac:dyDescent="0.25">
      <c r="A29">
        <f t="shared" si="0"/>
        <v>24</v>
      </c>
      <c r="B29" s="5" t="s">
        <v>142</v>
      </c>
      <c r="D29" s="104">
        <v>1.4965233963434881</v>
      </c>
      <c r="E29" s="105">
        <v>2.0086235210304428</v>
      </c>
      <c r="F29" s="3"/>
      <c r="G29" s="104">
        <v>1.58885432389937</v>
      </c>
      <c r="H29" s="105">
        <v>2.1697602654998258</v>
      </c>
      <c r="J29" s="104">
        <v>5.0193307148036821</v>
      </c>
      <c r="K29" s="3">
        <v>6.7369115365779235</v>
      </c>
      <c r="L29" s="3"/>
      <c r="M29" s="3">
        <v>6.5012579282208209</v>
      </c>
      <c r="N29" s="105">
        <v>8.8782029392095918</v>
      </c>
      <c r="O29" s="3"/>
      <c r="P29" s="104">
        <v>4.8543026052274474</v>
      </c>
      <c r="Q29" s="3">
        <v>6.5337849788246967</v>
      </c>
      <c r="R29" s="3"/>
      <c r="S29" s="3">
        <v>6.2997505165098886</v>
      </c>
      <c r="T29" s="105">
        <v>8.6403640372929562</v>
      </c>
      <c r="U29" s="3"/>
      <c r="V29" s="104">
        <v>4.697995912255351</v>
      </c>
      <c r="W29" s="3">
        <v>6.3446092822709979</v>
      </c>
      <c r="X29" s="3"/>
      <c r="Y29" s="3">
        <v>6.1124079102144417</v>
      </c>
      <c r="Z29" s="105">
        <v>8.4263684488868691</v>
      </c>
      <c r="AA29" s="3"/>
      <c r="AB29" s="104">
        <v>4.5077484756452746</v>
      </c>
      <c r="AC29" s="3">
        <v>6.1011738451188764</v>
      </c>
      <c r="AD29" s="3"/>
      <c r="AE29" s="3">
        <v>5.8697906349655131</v>
      </c>
      <c r="AF29" s="105">
        <v>8.1095847908456307</v>
      </c>
      <c r="AG29" s="3"/>
      <c r="AH29" s="104">
        <v>4.3253929464729568</v>
      </c>
      <c r="AI29" s="3">
        <v>5.867415789136734</v>
      </c>
      <c r="AJ29" s="3"/>
      <c r="AK29" s="3">
        <v>5.6370987472578156</v>
      </c>
      <c r="AL29" s="3">
        <v>7.8051937371317228</v>
      </c>
      <c r="AM29" s="3"/>
      <c r="AN29" s="3">
        <v>4.1505972081612423</v>
      </c>
      <c r="AO29" s="3">
        <v>5.6429408384391451</v>
      </c>
      <c r="AP29" s="3"/>
      <c r="AQ29" s="3">
        <v>5.4139187328796883</v>
      </c>
      <c r="AR29" s="105">
        <v>7.5126968381477806</v>
      </c>
      <c r="AS29" s="3"/>
      <c r="AT29" s="104">
        <v>3.9830432522722843</v>
      </c>
      <c r="AU29" s="3">
        <v>5.427371068105252</v>
      </c>
      <c r="AV29" s="3"/>
      <c r="AW29" s="3">
        <v>5.1998545106380831</v>
      </c>
      <c r="AX29" s="3">
        <v>7.2316161000555539</v>
      </c>
      <c r="AY29" s="3"/>
      <c r="AZ29" s="104">
        <v>3.8224265751499185</v>
      </c>
      <c r="BA29" s="3">
        <v>5.2203442169425607</v>
      </c>
      <c r="BB29" s="3"/>
      <c r="BC29" s="3">
        <v>4.9945266912564934</v>
      </c>
      <c r="BD29" s="105">
        <v>6.9614931324565656</v>
      </c>
      <c r="BE29" s="3"/>
      <c r="BF29" s="104">
        <v>3.6684556005030862</v>
      </c>
      <c r="BG29" s="3">
        <v>5.0215130294434811</v>
      </c>
      <c r="BH29" s="3"/>
      <c r="BI29" s="3">
        <v>4.797571867979423</v>
      </c>
      <c r="BJ29" s="105">
        <v>6.7018883320116371</v>
      </c>
      <c r="BK29" s="3"/>
      <c r="BL29" s="104">
        <v>3.5208511268098719</v>
      </c>
      <c r="BM29" s="3">
        <v>4.8305446256835047</v>
      </c>
      <c r="BN29" s="3"/>
      <c r="BO29" s="3">
        <v>4.6086419375196668</v>
      </c>
      <c r="BP29" s="105">
        <v>6.4523801004691901</v>
      </c>
      <c r="BQ29" s="3"/>
      <c r="BR29" s="104">
        <v>3.3793457984703683</v>
      </c>
      <c r="BS29" s="3">
        <v>4.6471198979641244</v>
      </c>
      <c r="BT29" s="3"/>
      <c r="BU29" s="3">
        <v>4.4274034500437818</v>
      </c>
      <c r="BV29" s="105">
        <v>6.2125640956377444</v>
      </c>
    </row>
    <row r="30" spans="1:74" x14ac:dyDescent="0.25">
      <c r="A30">
        <f t="shared" si="0"/>
        <v>25</v>
      </c>
      <c r="B30" s="5" t="s">
        <v>143</v>
      </c>
      <c r="D30" s="104">
        <v>1.5200476382453108</v>
      </c>
      <c r="E30" s="105">
        <v>2.2748797693810348</v>
      </c>
      <c r="F30" s="3"/>
      <c r="G30" s="104">
        <v>1.5119794600137624</v>
      </c>
      <c r="H30" s="105">
        <v>2.2101854506170446</v>
      </c>
      <c r="J30" s="104">
        <v>2.361532469168568</v>
      </c>
      <c r="K30" s="3">
        <v>3.5342329435474129</v>
      </c>
      <c r="L30" s="3"/>
      <c r="M30" s="3">
        <v>3.5144014870734384</v>
      </c>
      <c r="N30" s="105">
        <v>5.1372913718589253</v>
      </c>
      <c r="O30" s="3"/>
      <c r="P30" s="104">
        <v>2.2709119413743748</v>
      </c>
      <c r="Q30" s="3">
        <v>3.4176002085348682</v>
      </c>
      <c r="R30" s="3"/>
      <c r="S30" s="3">
        <v>3.3887801722621642</v>
      </c>
      <c r="T30" s="105">
        <v>4.9868642631898057</v>
      </c>
      <c r="U30" s="3"/>
      <c r="V30" s="104">
        <v>2.1854913883034217</v>
      </c>
      <c r="W30" s="3">
        <v>3.3097379190379761</v>
      </c>
      <c r="X30" s="3"/>
      <c r="Y30" s="3">
        <v>3.2722369656444346</v>
      </c>
      <c r="Z30" s="105">
        <v>4.852123389033804</v>
      </c>
      <c r="AA30" s="3"/>
      <c r="AB30" s="104">
        <v>2.0995402506469047</v>
      </c>
      <c r="AC30" s="3">
        <v>3.1874719875294377</v>
      </c>
      <c r="AD30" s="3"/>
      <c r="AE30" s="3">
        <v>3.1446710751561304</v>
      </c>
      <c r="AF30" s="105">
        <v>4.6739194434502771</v>
      </c>
      <c r="AG30" s="3"/>
      <c r="AH30" s="104">
        <v>2.0170820168561949</v>
      </c>
      <c r="AI30" s="3">
        <v>3.0699180151219658</v>
      </c>
      <c r="AJ30" s="3"/>
      <c r="AK30" s="3">
        <v>3.0222591349251444</v>
      </c>
      <c r="AL30" s="3">
        <v>4.5025539722284238</v>
      </c>
      <c r="AM30" s="3"/>
      <c r="AN30" s="3">
        <v>1.9379719196086067</v>
      </c>
      <c r="AO30" s="3">
        <v>2.9568887944228814</v>
      </c>
      <c r="AP30" s="3"/>
      <c r="AQ30" s="3">
        <v>2.9047884227208027</v>
      </c>
      <c r="AR30" s="105">
        <v>4.3377562624067316</v>
      </c>
      <c r="AS30" s="3"/>
      <c r="AT30" s="104">
        <v>1.8620712670500588</v>
      </c>
      <c r="AU30" s="3">
        <v>2.8482047248260045</v>
      </c>
      <c r="AV30" s="3"/>
      <c r="AW30" s="3">
        <v>2.7920551144613204</v>
      </c>
      <c r="AX30" s="3">
        <v>4.1792665629877037</v>
      </c>
      <c r="AY30" s="3"/>
      <c r="AZ30" s="104">
        <v>1.7892471856471612</v>
      </c>
      <c r="BA30" s="3">
        <v>2.7436934980945549</v>
      </c>
      <c r="BB30" s="3"/>
      <c r="BC30" s="3">
        <v>2.6838639086565399</v>
      </c>
      <c r="BD30" s="105">
        <v>4.0268356334454989</v>
      </c>
      <c r="BE30" s="3"/>
      <c r="BF30" s="104">
        <v>1.7193723739912277</v>
      </c>
      <c r="BG30" s="3">
        <v>2.6431897971161242</v>
      </c>
      <c r="BH30" s="3"/>
      <c r="BI30" s="3">
        <v>2.5800276668032391</v>
      </c>
      <c r="BJ30" s="105">
        <v>3.8802243110759425</v>
      </c>
      <c r="BK30" s="3"/>
      <c r="BL30" s="104">
        <v>1.6523248670854924</v>
      </c>
      <c r="BM30" s="3">
        <v>2.5465350072717667</v>
      </c>
      <c r="BN30" s="3"/>
      <c r="BO30" s="3">
        <v>2.4803670690521087</v>
      </c>
      <c r="BP30" s="105">
        <v>3.7392030963942209</v>
      </c>
      <c r="BQ30" s="3"/>
      <c r="BR30" s="104">
        <v>1.5879878106669412</v>
      </c>
      <c r="BS30" s="3">
        <v>2.4535769398851968</v>
      </c>
      <c r="BT30" s="3"/>
      <c r="BU30" s="3">
        <v>2.3847102844946542</v>
      </c>
      <c r="BV30" s="105">
        <v>3.603551755819399</v>
      </c>
    </row>
    <row r="31" spans="1:74" x14ac:dyDescent="0.25">
      <c r="A31">
        <f t="shared" si="0"/>
        <v>26</v>
      </c>
      <c r="B31" s="5" t="s">
        <v>17</v>
      </c>
      <c r="D31" s="104">
        <v>2.934783791174485</v>
      </c>
      <c r="E31" s="105">
        <v>4.163802770759057</v>
      </c>
      <c r="F31" s="3"/>
      <c r="G31" s="104">
        <v>3.48338745818767</v>
      </c>
      <c r="H31" s="105">
        <v>4.9462269553803022</v>
      </c>
      <c r="J31" s="104">
        <v>2.8267826488318222</v>
      </c>
      <c r="K31" s="3">
        <v>4.0105732698043859</v>
      </c>
      <c r="L31" s="3"/>
      <c r="M31" s="3">
        <v>3.9010539210075237</v>
      </c>
      <c r="N31" s="105">
        <v>5.5392913622415278</v>
      </c>
      <c r="O31" s="3"/>
      <c r="P31" s="104">
        <v>2.6516502909738793</v>
      </c>
      <c r="Q31" s="3">
        <v>3.809182709098704</v>
      </c>
      <c r="R31" s="3"/>
      <c r="S31" s="3">
        <v>3.7187435106972844</v>
      </c>
      <c r="T31" s="105">
        <v>5.3319405714110601</v>
      </c>
      <c r="U31" s="3"/>
      <c r="V31" s="104">
        <v>2.4979905010239665</v>
      </c>
      <c r="W31" s="3">
        <v>3.6328689527867173</v>
      </c>
      <c r="X31" s="3"/>
      <c r="Y31" s="3">
        <v>3.5692739658580428</v>
      </c>
      <c r="Z31" s="105">
        <v>5.1641012649608733</v>
      </c>
      <c r="AA31" s="3"/>
      <c r="AB31" s="104">
        <v>2.4060245336779333</v>
      </c>
      <c r="AC31" s="3">
        <v>3.5042447651160562</v>
      </c>
      <c r="AD31" s="3"/>
      <c r="AE31" s="3">
        <v>3.4417249766628775</v>
      </c>
      <c r="AF31" s="105">
        <v>4.9854353401153082</v>
      </c>
      <c r="AG31" s="3"/>
      <c r="AH31" s="104">
        <v>2.3175618657316797</v>
      </c>
      <c r="AI31" s="3">
        <v>3.3803544606007674</v>
      </c>
      <c r="AJ31" s="3"/>
      <c r="AK31" s="3">
        <v>3.3188952409161612</v>
      </c>
      <c r="AL31" s="3">
        <v>4.8131891232495096</v>
      </c>
      <c r="AM31" s="3"/>
      <c r="AN31" s="3">
        <v>2.2324652223215726</v>
      </c>
      <c r="AO31" s="3">
        <v>3.2610179229544469</v>
      </c>
      <c r="AP31" s="3"/>
      <c r="AQ31" s="3">
        <v>3.2006047878323471</v>
      </c>
      <c r="AR31" s="105">
        <v>4.6471241044328009</v>
      </c>
      <c r="AS31" s="3"/>
      <c r="AT31" s="104">
        <v>2.1506028370557657</v>
      </c>
      <c r="AU31" s="3">
        <v>3.1460620901619252</v>
      </c>
      <c r="AV31" s="3"/>
      <c r="AW31" s="3">
        <v>3.0866806942661094</v>
      </c>
      <c r="AX31" s="3">
        <v>4.4870109047072004</v>
      </c>
      <c r="AY31" s="3"/>
      <c r="AZ31" s="104">
        <v>2.071848226424386</v>
      </c>
      <c r="BA31" s="3">
        <v>3.03532067107871</v>
      </c>
      <c r="BB31" s="3"/>
      <c r="BC31" s="3">
        <v>2.9769568022056534</v>
      </c>
      <c r="BD31" s="105">
        <v>4.3326289169275283</v>
      </c>
      <c r="BE31" s="3"/>
      <c r="BF31" s="104">
        <v>1.996079973613802</v>
      </c>
      <c r="BG31" s="3">
        <v>2.928633873675583</v>
      </c>
      <c r="BH31" s="3"/>
      <c r="BI31" s="3">
        <v>2.8712734478266251</v>
      </c>
      <c r="BJ31" s="105">
        <v>4.1837659610792377</v>
      </c>
      <c r="BK31" s="3"/>
      <c r="BL31" s="104">
        <v>1.9231815213267416</v>
      </c>
      <c r="BM31" s="3">
        <v>2.8258481444401724</v>
      </c>
      <c r="BN31" s="3"/>
      <c r="BO31" s="3">
        <v>2.7694772016248095</v>
      </c>
      <c r="BP31" s="105">
        <v>4.0402179534773053</v>
      </c>
      <c r="BQ31" s="3"/>
      <c r="BR31" s="104">
        <v>1.8530409732271163</v>
      </c>
      <c r="BS31" s="3">
        <v>2.7268159184680374</v>
      </c>
      <c r="BT31" s="3"/>
      <c r="BU31" s="3">
        <v>2.6714206191661858</v>
      </c>
      <c r="BV31" s="105">
        <v>3.9017885892745627</v>
      </c>
    </row>
    <row r="32" spans="1:74" x14ac:dyDescent="0.25">
      <c r="A32">
        <f t="shared" si="0"/>
        <v>27</v>
      </c>
      <c r="B32" s="5" t="s">
        <v>144</v>
      </c>
      <c r="D32" s="104">
        <v>1.2647309351084433</v>
      </c>
      <c r="E32" s="105">
        <v>1.617686606950673</v>
      </c>
      <c r="F32" s="3"/>
      <c r="G32" s="104">
        <v>1.2283123698412888</v>
      </c>
      <c r="H32" s="105">
        <v>1.5258198135974737</v>
      </c>
      <c r="J32" s="104">
        <v>4.3828681102986886</v>
      </c>
      <c r="K32" s="3">
        <v>5.6060200990129641</v>
      </c>
      <c r="L32" s="3"/>
      <c r="M32" s="3">
        <v>6.9886512283505979</v>
      </c>
      <c r="N32" s="105">
        <v>8.6813605206283917</v>
      </c>
      <c r="O32" s="3"/>
      <c r="P32" s="104">
        <v>4.9422307581093179</v>
      </c>
      <c r="Q32" s="3">
        <v>6.1382514514202846</v>
      </c>
      <c r="R32" s="3"/>
      <c r="S32" s="3">
        <v>7.9257482922794189</v>
      </c>
      <c r="T32" s="105">
        <v>9.592584604412874</v>
      </c>
      <c r="U32" s="3"/>
      <c r="V32" s="104">
        <v>5.6067088457658532</v>
      </c>
      <c r="W32" s="3">
        <v>6.7793223220258225</v>
      </c>
      <c r="X32" s="3"/>
      <c r="Y32" s="3">
        <v>9.0364667504660456</v>
      </c>
      <c r="Z32" s="105">
        <v>10.684322501300429</v>
      </c>
      <c r="AA32" s="3"/>
      <c r="AB32" s="104">
        <v>5.3728635446008557</v>
      </c>
      <c r="AC32" s="3">
        <v>6.5075999045039188</v>
      </c>
      <c r="AD32" s="3"/>
      <c r="AE32" s="3">
        <v>8.6594341107578003</v>
      </c>
      <c r="AF32" s="105">
        <v>10.254473273599283</v>
      </c>
      <c r="AG32" s="3"/>
      <c r="AH32" s="104">
        <v>5.148881343927683</v>
      </c>
      <c r="AI32" s="3">
        <v>6.2470120884819238</v>
      </c>
      <c r="AJ32" s="3"/>
      <c r="AK32" s="3">
        <v>8.2982946664637218</v>
      </c>
      <c r="AL32" s="3">
        <v>9.8422742364302369</v>
      </c>
      <c r="AM32" s="3"/>
      <c r="AN32" s="3">
        <v>4.9343430681008877</v>
      </c>
      <c r="AO32" s="3">
        <v>5.9970954324023946</v>
      </c>
      <c r="AP32" s="3"/>
      <c r="AQ32" s="3">
        <v>7.9523738039478564</v>
      </c>
      <c r="AR32" s="105">
        <v>9.4469902905693335</v>
      </c>
      <c r="AS32" s="3"/>
      <c r="AT32" s="104">
        <v>4.7288474540597614</v>
      </c>
      <c r="AU32" s="3">
        <v>5.7574060044903153</v>
      </c>
      <c r="AV32" s="3"/>
      <c r="AW32" s="3">
        <v>7.6210256864535602</v>
      </c>
      <c r="AX32" s="3">
        <v>9.067917266275769</v>
      </c>
      <c r="AY32" s="3"/>
      <c r="AZ32" s="104">
        <v>4.5320103826079601</v>
      </c>
      <c r="BA32" s="3">
        <v>5.527518554299796</v>
      </c>
      <c r="BB32" s="3"/>
      <c r="BC32" s="3">
        <v>7.3036320219782214</v>
      </c>
      <c r="BD32" s="105">
        <v>8.7043806119647158</v>
      </c>
      <c r="BE32" s="3"/>
      <c r="BF32" s="104">
        <v>4.3434641428008343</v>
      </c>
      <c r="BG32" s="3">
        <v>5.3070257196839989</v>
      </c>
      <c r="BH32" s="3"/>
      <c r="BI32" s="3">
        <v>6.9996008840628257</v>
      </c>
      <c r="BJ32" s="105">
        <v>8.3557341388090087</v>
      </c>
      <c r="BK32" s="3"/>
      <c r="BL32" s="104">
        <v>4.1628567280097988</v>
      </c>
      <c r="BM32" s="3">
        <v>5.0955372676647785</v>
      </c>
      <c r="BN32" s="3"/>
      <c r="BO32" s="3">
        <v>6.7083655832178968</v>
      </c>
      <c r="BP32" s="105">
        <v>8.021358818872768</v>
      </c>
      <c r="BQ32" s="3"/>
      <c r="BR32" s="104">
        <v>3.9898511622953481</v>
      </c>
      <c r="BS32" s="3">
        <v>4.892679367744452</v>
      </c>
      <c r="BT32" s="3"/>
      <c r="BU32" s="3">
        <v>6.4293835868057903</v>
      </c>
      <c r="BV32" s="105">
        <v>7.700661634482846</v>
      </c>
    </row>
    <row r="33" spans="1:74" x14ac:dyDescent="0.25">
      <c r="A33">
        <f t="shared" si="0"/>
        <v>28</v>
      </c>
      <c r="B33" s="5" t="s">
        <v>145</v>
      </c>
      <c r="D33" s="104">
        <v>1.1760533576944443</v>
      </c>
      <c r="E33" s="105">
        <v>1.441815229309886</v>
      </c>
      <c r="F33" s="3"/>
      <c r="G33" s="104">
        <v>1.1933538688437029</v>
      </c>
      <c r="H33" s="105">
        <v>1.4747097912736218</v>
      </c>
      <c r="J33" s="104">
        <v>5.8465440750978823</v>
      </c>
      <c r="K33" s="3">
        <v>7.1677328508573934</v>
      </c>
      <c r="L33" s="3"/>
      <c r="M33" s="3">
        <v>7.7549680362854962</v>
      </c>
      <c r="N33" s="105">
        <v>9.5833495769409893</v>
      </c>
      <c r="O33" s="3"/>
      <c r="P33" s="104">
        <v>6.8587635601088852</v>
      </c>
      <c r="Q33" s="3">
        <v>8.1506464415155992</v>
      </c>
      <c r="R33" s="3"/>
      <c r="S33" s="3">
        <v>9.0833588041219251</v>
      </c>
      <c r="T33" s="105">
        <v>10.883793620839963</v>
      </c>
      <c r="U33" s="3"/>
      <c r="V33" s="104">
        <v>8.0939854022730184</v>
      </c>
      <c r="W33" s="3">
        <v>9.3605849560762344</v>
      </c>
      <c r="X33" s="3"/>
      <c r="Y33" s="3">
        <v>10.705808787425962</v>
      </c>
      <c r="Z33" s="105">
        <v>12.485741732931489</v>
      </c>
      <c r="AA33" s="3"/>
      <c r="AB33" s="104">
        <v>7.7529843842560373</v>
      </c>
      <c r="AC33" s="3">
        <v>8.9786709350550318</v>
      </c>
      <c r="AD33" s="3"/>
      <c r="AE33" s="3">
        <v>10.256814098450104</v>
      </c>
      <c r="AF33" s="105">
        <v>11.979697156554908</v>
      </c>
      <c r="AG33" s="3"/>
      <c r="AH33" s="104">
        <v>7.4264595832558014</v>
      </c>
      <c r="AI33" s="3">
        <v>8.6126065440652724</v>
      </c>
      <c r="AJ33" s="3"/>
      <c r="AK33" s="3">
        <v>9.8268141348348585</v>
      </c>
      <c r="AL33" s="3">
        <v>11.49454512547487</v>
      </c>
      <c r="AM33" s="3"/>
      <c r="AN33" s="3">
        <v>7.1137933372943287</v>
      </c>
      <c r="AO33" s="3">
        <v>8.2617263072623164</v>
      </c>
      <c r="AP33" s="3"/>
      <c r="AQ33" s="3">
        <v>9.4150006735532585</v>
      </c>
      <c r="AR33" s="105">
        <v>11.029412083099418</v>
      </c>
      <c r="AS33" s="3"/>
      <c r="AT33" s="104">
        <v>6.814394433200321</v>
      </c>
      <c r="AU33" s="3">
        <v>7.9253929228228284</v>
      </c>
      <c r="AV33" s="3"/>
      <c r="AW33" s="3">
        <v>9.0206000206944914</v>
      </c>
      <c r="AX33" s="3">
        <v>10.58346132708982</v>
      </c>
      <c r="AY33" s="3"/>
      <c r="AZ33" s="104">
        <v>6.5276969709232713</v>
      </c>
      <c r="BA33" s="3">
        <v>7.6029960627382369</v>
      </c>
      <c r="BB33" s="3"/>
      <c r="BC33" s="3">
        <v>8.6428715318460334</v>
      </c>
      <c r="BD33" s="105">
        <v>10.155891444192688</v>
      </c>
      <c r="BE33" s="3"/>
      <c r="BF33" s="104">
        <v>6.2531592767248512</v>
      </c>
      <c r="BG33" s="3">
        <v>7.2939512239867286</v>
      </c>
      <c r="BH33" s="3"/>
      <c r="BI33" s="3">
        <v>8.2811061960324643</v>
      </c>
      <c r="BJ33" s="105">
        <v>9.7459348118844051</v>
      </c>
      <c r="BK33" s="3"/>
      <c r="BL33" s="104">
        <v>5.9902628631397548</v>
      </c>
      <c r="BM33" s="3">
        <v>6.9976986288754315</v>
      </c>
      <c r="BN33" s="3"/>
      <c r="BO33" s="3">
        <v>7.9346252804751503</v>
      </c>
      <c r="BP33" s="105">
        <v>9.3528561639639864</v>
      </c>
      <c r="BQ33" s="3"/>
      <c r="BR33" s="104">
        <v>5.7385114336891112</v>
      </c>
      <c r="BS33" s="3">
        <v>6.7137021724396444</v>
      </c>
      <c r="BT33" s="3"/>
      <c r="BU33" s="3">
        <v>7.6027790335550369</v>
      </c>
      <c r="BV33" s="105">
        <v>8.9759512173536429</v>
      </c>
    </row>
    <row r="34" spans="1:74" x14ac:dyDescent="0.25">
      <c r="A34">
        <f t="shared" si="0"/>
        <v>29</v>
      </c>
      <c r="B34" s="5" t="s">
        <v>169</v>
      </c>
      <c r="D34" s="104">
        <v>3.1321966330844422</v>
      </c>
      <c r="E34" s="105">
        <v>4.5485166637515606</v>
      </c>
      <c r="F34" s="3"/>
      <c r="G34" s="104">
        <v>3.57013628581202</v>
      </c>
      <c r="H34" s="105">
        <v>5.3188357135576183</v>
      </c>
      <c r="J34" s="104">
        <v>2.6010904391170366</v>
      </c>
      <c r="K34" s="3">
        <v>3.7772543017511584</v>
      </c>
      <c r="L34" s="3"/>
      <c r="M34" s="3">
        <v>3.3230694007663852</v>
      </c>
      <c r="N34" s="105">
        <v>4.9507522381338598</v>
      </c>
      <c r="O34" s="3"/>
      <c r="P34" s="104">
        <v>2.4927315817944353</v>
      </c>
      <c r="Q34" s="3">
        <v>3.6428064142064276</v>
      </c>
      <c r="R34" s="3"/>
      <c r="S34" s="3">
        <v>3.1955263756851857</v>
      </c>
      <c r="T34" s="105">
        <v>4.79833015914505</v>
      </c>
      <c r="U34" s="3"/>
      <c r="V34" s="104">
        <v>2.3923919275656318</v>
      </c>
      <c r="W34" s="3">
        <v>3.5199587453774495</v>
      </c>
      <c r="X34" s="3"/>
      <c r="Y34" s="3">
        <v>3.079985345771048</v>
      </c>
      <c r="Z34" s="105">
        <v>4.664537717715044</v>
      </c>
      <c r="AA34" s="3"/>
      <c r="AB34" s="104">
        <v>2.3225422167188041</v>
      </c>
      <c r="AC34" s="3">
        <v>3.4136869905893681</v>
      </c>
      <c r="AD34" s="3"/>
      <c r="AE34" s="3">
        <v>2.9895451526981724</v>
      </c>
      <c r="AF34" s="105">
        <v>4.5233099179358396</v>
      </c>
      <c r="AG34" s="3"/>
      <c r="AH34" s="104">
        <v>2.2548823535331848</v>
      </c>
      <c r="AI34" s="3">
        <v>3.310827738987578</v>
      </c>
      <c r="AJ34" s="3"/>
      <c r="AK34" s="3">
        <v>2.9019373808609172</v>
      </c>
      <c r="AL34" s="3">
        <v>4.3866040384762615</v>
      </c>
      <c r="AM34" s="3"/>
      <c r="AN34" s="3">
        <v>2.1893385273315031</v>
      </c>
      <c r="AO34" s="3">
        <v>3.2112646144846773</v>
      </c>
      <c r="AP34" s="3"/>
      <c r="AQ34" s="3">
        <v>2.817067399314952</v>
      </c>
      <c r="AR34" s="105">
        <v>4.2542672863945574</v>
      </c>
      <c r="AS34" s="3"/>
      <c r="AT34" s="104">
        <v>2.125839593503696</v>
      </c>
      <c r="AU34" s="3">
        <v>3.1148854429008717</v>
      </c>
      <c r="AV34" s="3"/>
      <c r="AW34" s="3">
        <v>2.7348439414916546</v>
      </c>
      <c r="AX34" s="3">
        <v>4.1261523030349423</v>
      </c>
      <c r="AY34" s="3"/>
      <c r="AZ34" s="104">
        <v>2.0643169709623828</v>
      </c>
      <c r="BA34" s="3">
        <v>3.0215820919811387</v>
      </c>
      <c r="BB34" s="3"/>
      <c r="BC34" s="3">
        <v>2.6551789784556563</v>
      </c>
      <c r="BD34" s="105">
        <v>4.0021169611258243</v>
      </c>
      <c r="BE34" s="3"/>
      <c r="BF34" s="104">
        <v>2.0047045437652975</v>
      </c>
      <c r="BG34" s="3">
        <v>2.9312503178060267</v>
      </c>
      <c r="BH34" s="3"/>
      <c r="BI34" s="3">
        <v>2.5779875971950186</v>
      </c>
      <c r="BJ34" s="105">
        <v>3.8820241698089348</v>
      </c>
      <c r="BK34" s="3"/>
      <c r="BL34" s="104">
        <v>1.9469385667272323</v>
      </c>
      <c r="BM34" s="3">
        <v>2.8437896173291946</v>
      </c>
      <c r="BN34" s="3"/>
      <c r="BO34" s="3">
        <v>2.503187883734586</v>
      </c>
      <c r="BP34" s="105">
        <v>3.7657416872758813</v>
      </c>
      <c r="BQ34" s="3"/>
      <c r="BR34" s="104">
        <v>1.8909575748519531</v>
      </c>
      <c r="BS34" s="3">
        <v>2.7591030867864501</v>
      </c>
      <c r="BT34" s="3"/>
      <c r="BU34" s="3">
        <v>2.4307008108722332</v>
      </c>
      <c r="BV34" s="105">
        <v>3.6531419407023313</v>
      </c>
    </row>
    <row r="35" spans="1:74" x14ac:dyDescent="0.25">
      <c r="A35">
        <f t="shared" si="0"/>
        <v>30</v>
      </c>
      <c r="B35" s="5" t="s">
        <v>170</v>
      </c>
      <c r="D35" s="104">
        <v>2.5064305079747773</v>
      </c>
      <c r="E35" s="105">
        <v>3.7005109850167703</v>
      </c>
      <c r="F35" s="3"/>
      <c r="G35" s="104">
        <v>2.8194921193017839</v>
      </c>
      <c r="H35" s="105">
        <v>4.293797221025148</v>
      </c>
      <c r="J35" s="104">
        <v>2.0814314024034934</v>
      </c>
      <c r="K35" s="3">
        <v>3.073039425847309</v>
      </c>
      <c r="L35" s="3"/>
      <c r="M35" s="3">
        <v>2.62437263938306</v>
      </c>
      <c r="N35" s="105">
        <v>3.9966502721447368</v>
      </c>
      <c r="O35" s="3"/>
      <c r="P35" s="104">
        <v>1.8673020758780503</v>
      </c>
      <c r="Q35" s="3">
        <v>2.836914786836926</v>
      </c>
      <c r="R35" s="3"/>
      <c r="S35" s="3">
        <v>2.3789101107967294</v>
      </c>
      <c r="T35" s="105">
        <v>3.7302125459229107</v>
      </c>
      <c r="U35" s="3"/>
      <c r="V35" s="104">
        <v>1.6878294440749086</v>
      </c>
      <c r="W35" s="3">
        <v>2.6384659489298672</v>
      </c>
      <c r="X35" s="3"/>
      <c r="Y35" s="3">
        <v>2.1746445892071335</v>
      </c>
      <c r="Z35" s="105">
        <v>3.5105595033651262</v>
      </c>
      <c r="AA35" s="3"/>
      <c r="AB35" s="104">
        <v>1.6391100514307388</v>
      </c>
      <c r="AC35" s="3">
        <v>2.5590396181202242</v>
      </c>
      <c r="AD35" s="3"/>
      <c r="AE35" s="3">
        <v>2.1114415470831154</v>
      </c>
      <c r="AF35" s="105">
        <v>3.404538109222778</v>
      </c>
      <c r="AG35" s="3"/>
      <c r="AH35" s="104">
        <v>1.5919014371159013</v>
      </c>
      <c r="AI35" s="3">
        <v>2.4821548701622227</v>
      </c>
      <c r="AJ35" s="3"/>
      <c r="AK35" s="3">
        <v>2.050199058403027</v>
      </c>
      <c r="AL35" s="3">
        <v>3.3019016626079818</v>
      </c>
      <c r="AM35" s="3"/>
      <c r="AN35" s="3">
        <v>1.5461531591970212</v>
      </c>
      <c r="AO35" s="3">
        <v>2.4077253767944446</v>
      </c>
      <c r="AP35" s="3"/>
      <c r="AQ35" s="3">
        <v>1.9908521612372905</v>
      </c>
      <c r="AR35" s="105">
        <v>3.2025361659889402</v>
      </c>
      <c r="AS35" s="3"/>
      <c r="AT35" s="104">
        <v>1.5018165841516689</v>
      </c>
      <c r="AU35" s="3">
        <v>2.335667913012919</v>
      </c>
      <c r="AV35" s="3"/>
      <c r="AW35" s="3">
        <v>1.9333381877507845</v>
      </c>
      <c r="AX35" s="3">
        <v>3.1063316610419855</v>
      </c>
      <c r="AY35" s="3"/>
      <c r="AZ35" s="104">
        <v>1.4588448176921389</v>
      </c>
      <c r="BA35" s="3">
        <v>2.2659022394694297</v>
      </c>
      <c r="BB35" s="3"/>
      <c r="BC35" s="3">
        <v>1.8775966782302207</v>
      </c>
      <c r="BD35" s="105">
        <v>3.0131820784700256</v>
      </c>
      <c r="BE35" s="3"/>
      <c r="BF35" s="104">
        <v>1.4171926383893985</v>
      </c>
      <c r="BG35" s="3">
        <v>2.198350989547273</v>
      </c>
      <c r="BH35" s="3"/>
      <c r="BI35" s="3">
        <v>1.823569298511649</v>
      </c>
      <c r="BJ35" s="105">
        <v>2.9229850936646624</v>
      </c>
      <c r="BK35" s="3"/>
      <c r="BL35" s="104">
        <v>1.3768164339783051</v>
      </c>
      <c r="BM35" s="3">
        <v>2.1329395609201587</v>
      </c>
      <c r="BN35" s="3"/>
      <c r="BO35" s="3">
        <v>1.7711997606670702</v>
      </c>
      <c r="BP35" s="105">
        <v>2.8356419879747392</v>
      </c>
      <c r="BQ35" s="3"/>
      <c r="BR35" s="104">
        <v>1.3376741402304595</v>
      </c>
      <c r="BS35" s="3">
        <v>2.0695960114083527</v>
      </c>
      <c r="BT35" s="3"/>
      <c r="BU35" s="3">
        <v>1.7204337468152195</v>
      </c>
      <c r="BV35" s="105">
        <v>2.7510575153541192</v>
      </c>
    </row>
    <row r="36" spans="1:74" x14ac:dyDescent="0.25">
      <c r="A36">
        <f t="shared" si="0"/>
        <v>31</v>
      </c>
      <c r="B36" s="5" t="s">
        <v>5</v>
      </c>
      <c r="D36" s="104">
        <v>1.3678464190232154</v>
      </c>
      <c r="E36" s="105">
        <v>1.9031399623946303</v>
      </c>
      <c r="F36" s="3"/>
      <c r="G36" s="104">
        <v>1.4200273454639114</v>
      </c>
      <c r="H36" s="105">
        <v>2.0120361501293638</v>
      </c>
      <c r="J36" s="104">
        <v>4.8122125937480975</v>
      </c>
      <c r="K36" s="3">
        <v>6.6954257198265799</v>
      </c>
      <c r="L36" s="3"/>
      <c r="M36" s="3">
        <v>6.2512946129291835</v>
      </c>
      <c r="N36" s="105">
        <v>8.8574567148306507</v>
      </c>
      <c r="O36" s="3"/>
      <c r="P36" s="104">
        <v>4.7418407109821477</v>
      </c>
      <c r="Q36" s="3">
        <v>6.5832814227552436</v>
      </c>
      <c r="R36" s="3"/>
      <c r="S36" s="3">
        <v>6.1776280436189959</v>
      </c>
      <c r="T36" s="105">
        <v>8.7439550831012767</v>
      </c>
      <c r="U36" s="3"/>
      <c r="V36" s="104">
        <v>4.675785625111839</v>
      </c>
      <c r="W36" s="3">
        <v>6.4811876607415613</v>
      </c>
      <c r="X36" s="3"/>
      <c r="Y36" s="3">
        <v>6.1121126466266409</v>
      </c>
      <c r="Z36" s="105">
        <v>8.6492164640493954</v>
      </c>
      <c r="AA36" s="3"/>
      <c r="AB36" s="104">
        <v>4.4713938809121725</v>
      </c>
      <c r="AC36" s="3">
        <v>6.218478811750761</v>
      </c>
      <c r="AD36" s="3"/>
      <c r="AE36" s="3">
        <v>5.8487927836764513</v>
      </c>
      <c r="AF36" s="105">
        <v>8.3045780955490844</v>
      </c>
      <c r="AG36" s="3"/>
      <c r="AH36" s="104">
        <v>4.2761041462348786</v>
      </c>
      <c r="AI36" s="3">
        <v>5.966829625468816</v>
      </c>
      <c r="AJ36" s="3"/>
      <c r="AK36" s="3">
        <v>5.5970756392261327</v>
      </c>
      <c r="AL36" s="3">
        <v>7.9742475846475172</v>
      </c>
      <c r="AM36" s="3"/>
      <c r="AN36" s="3">
        <v>4.0895058186266571</v>
      </c>
      <c r="AO36" s="3">
        <v>5.7257613458954406</v>
      </c>
      <c r="AP36" s="3"/>
      <c r="AQ36" s="3">
        <v>5.3564418016824646</v>
      </c>
      <c r="AR36" s="105">
        <v>7.6576123937505285</v>
      </c>
      <c r="AS36" s="3"/>
      <c r="AT36" s="104">
        <v>3.9112069895932988</v>
      </c>
      <c r="AU36" s="3">
        <v>5.4948163700981425</v>
      </c>
      <c r="AV36" s="3"/>
      <c r="AW36" s="3">
        <v>5.1263953752271982</v>
      </c>
      <c r="AX36" s="3">
        <v>7.3540868152728525</v>
      </c>
      <c r="AY36" s="3"/>
      <c r="AZ36" s="104">
        <v>3.7408335877728969</v>
      </c>
      <c r="BA36" s="3">
        <v>5.2735572994181839</v>
      </c>
      <c r="BB36" s="3"/>
      <c r="BC36" s="3">
        <v>4.9064629064567287</v>
      </c>
      <c r="BD36" s="105">
        <v>7.0631107763353862</v>
      </c>
      <c r="BE36" s="3"/>
      <c r="BF36" s="104">
        <v>3.5780285615779555</v>
      </c>
      <c r="BG36" s="3">
        <v>5.0615660337106467</v>
      </c>
      <c r="BH36" s="3"/>
      <c r="BI36" s="3">
        <v>4.6961923603085864</v>
      </c>
      <c r="BJ36" s="105">
        <v>6.7841486973898739</v>
      </c>
      <c r="BK36" s="3"/>
      <c r="BL36" s="104">
        <v>3.422451099481334</v>
      </c>
      <c r="BM36" s="3">
        <v>4.8584429066503745</v>
      </c>
      <c r="BN36" s="3"/>
      <c r="BO36" s="3">
        <v>4.4951521430014125</v>
      </c>
      <c r="BP36" s="105">
        <v>6.516688402315066</v>
      </c>
      <c r="BQ36" s="3"/>
      <c r="BR36" s="104">
        <v>3.2737758862056445</v>
      </c>
      <c r="BS36" s="3">
        <v>4.6638058602261516</v>
      </c>
      <c r="BT36" s="3"/>
      <c r="BU36" s="3">
        <v>4.302930169820379</v>
      </c>
      <c r="BV36" s="105">
        <v>6.2602400776409262</v>
      </c>
    </row>
    <row r="37" spans="1:74" x14ac:dyDescent="0.25">
      <c r="A37">
        <f t="shared" si="0"/>
        <v>32</v>
      </c>
      <c r="B37" s="5" t="s">
        <v>146</v>
      </c>
      <c r="D37" s="104">
        <v>1.178138298563864</v>
      </c>
      <c r="E37" s="105">
        <v>1.4746716558164736</v>
      </c>
      <c r="F37" s="3"/>
      <c r="G37" s="104">
        <v>1.2051982047158525</v>
      </c>
      <c r="H37" s="105">
        <v>1.5183104251827686</v>
      </c>
      <c r="J37" s="104">
        <v>6.9964566246778226</v>
      </c>
      <c r="K37" s="3">
        <v>8.757440691079017</v>
      </c>
      <c r="L37" s="3"/>
      <c r="M37" s="3">
        <v>9.3802807517609565</v>
      </c>
      <c r="N37" s="105">
        <v>11.817291131708725</v>
      </c>
      <c r="O37" s="3"/>
      <c r="P37" s="104">
        <v>6.6227913811057517</v>
      </c>
      <c r="Q37" s="3">
        <v>8.3447142520489148</v>
      </c>
      <c r="R37" s="3"/>
      <c r="S37" s="3">
        <v>8.9079145458064595</v>
      </c>
      <c r="T37" s="105">
        <v>11.30767533927202</v>
      </c>
      <c r="U37" s="3"/>
      <c r="V37" s="104">
        <v>6.272528880573855</v>
      </c>
      <c r="W37" s="3">
        <v>7.9607521486500632</v>
      </c>
      <c r="X37" s="3"/>
      <c r="Y37" s="3">
        <v>8.4683479476997583</v>
      </c>
      <c r="Z37" s="105">
        <v>10.840782238549604</v>
      </c>
      <c r="AA37" s="3"/>
      <c r="AB37" s="104">
        <v>6.0711119698438729</v>
      </c>
      <c r="AC37" s="3">
        <v>7.7048031773084995</v>
      </c>
      <c r="AD37" s="3"/>
      <c r="AE37" s="3">
        <v>8.1974079065178671</v>
      </c>
      <c r="AF37" s="105">
        <v>10.493801631064141</v>
      </c>
      <c r="AG37" s="3"/>
      <c r="AH37" s="104">
        <v>5.8762145220939885</v>
      </c>
      <c r="AI37" s="3">
        <v>7.4572042615768339</v>
      </c>
      <c r="AJ37" s="3"/>
      <c r="AK37" s="3">
        <v>7.9351979007681441</v>
      </c>
      <c r="AL37" s="3">
        <v>10.158080622332472</v>
      </c>
      <c r="AM37" s="3"/>
      <c r="AN37" s="3">
        <v>5.6876233506070131</v>
      </c>
      <c r="AO37" s="3">
        <v>7.2176784846647015</v>
      </c>
      <c r="AP37" s="3"/>
      <c r="AQ37" s="3">
        <v>7.6814341367455086</v>
      </c>
      <c r="AR37" s="105">
        <v>9.833248336947717</v>
      </c>
      <c r="AS37" s="3"/>
      <c r="AT37" s="104">
        <v>5.5051323356268771</v>
      </c>
      <c r="AU37" s="3">
        <v>6.985958296244295</v>
      </c>
      <c r="AV37" s="3"/>
      <c r="AW37" s="3">
        <v>7.4358421548195475</v>
      </c>
      <c r="AX37" s="3">
        <v>9.5189463327028339</v>
      </c>
      <c r="AY37" s="3"/>
      <c r="AZ37" s="104">
        <v>5.3285421857284687</v>
      </c>
      <c r="BA37" s="3">
        <v>6.7617851878219968</v>
      </c>
      <c r="BB37" s="3"/>
      <c r="BC37" s="3">
        <v>7.1981565175383535</v>
      </c>
      <c r="BD37" s="105">
        <v>9.2148281746666214</v>
      </c>
      <c r="BE37" s="3"/>
      <c r="BF37" s="104">
        <v>5.1576602074470115</v>
      </c>
      <c r="BG37" s="3">
        <v>6.5449093797034239</v>
      </c>
      <c r="BH37" s="3"/>
      <c r="BI37" s="3">
        <v>6.9681205083791493</v>
      </c>
      <c r="BJ37" s="105">
        <v>8.9205590242459589</v>
      </c>
      <c r="BK37" s="3"/>
      <c r="BL37" s="104">
        <v>4.9923000828717328</v>
      </c>
      <c r="BM37" s="3">
        <v>6.335089519122695</v>
      </c>
      <c r="BN37" s="3"/>
      <c r="BO37" s="3">
        <v>6.7454858407718739</v>
      </c>
      <c r="BP37" s="105">
        <v>8.63581524268964</v>
      </c>
      <c r="BQ37" s="3"/>
      <c r="BR37" s="104">
        <v>4.8322816549196457</v>
      </c>
      <c r="BS37" s="3">
        <v>6.1320923891233825</v>
      </c>
      <c r="BT37" s="3"/>
      <c r="BU37" s="3">
        <v>6.5300123770355176</v>
      </c>
      <c r="BV37" s="105">
        <v>8.360284008509657</v>
      </c>
    </row>
    <row r="38" spans="1:74" x14ac:dyDescent="0.25">
      <c r="A38">
        <f t="shared" si="0"/>
        <v>33</v>
      </c>
      <c r="B38" s="5" t="s">
        <v>147</v>
      </c>
      <c r="D38" s="104">
        <v>2.6318214306278485</v>
      </c>
      <c r="E38" s="105">
        <v>3.7525734031879971</v>
      </c>
      <c r="F38" s="3"/>
      <c r="G38" s="104">
        <v>3.377418615927418</v>
      </c>
      <c r="H38" s="105">
        <v>4.7113398117659449</v>
      </c>
      <c r="J38" s="104">
        <v>4.308491198462133</v>
      </c>
      <c r="K38" s="3">
        <v>6.1432471409587803</v>
      </c>
      <c r="L38" s="3"/>
      <c r="M38" s="3">
        <v>6.4288748999454937</v>
      </c>
      <c r="N38" s="105">
        <v>8.9679775311651575</v>
      </c>
      <c r="O38" s="3"/>
      <c r="P38" s="104">
        <v>4.0931549381742718</v>
      </c>
      <c r="Q38" s="3">
        <v>5.8872133173851182</v>
      </c>
      <c r="R38" s="3"/>
      <c r="S38" s="3">
        <v>6.0839600130842753</v>
      </c>
      <c r="T38" s="105">
        <v>8.584252582669798</v>
      </c>
      <c r="U38" s="3"/>
      <c r="V38" s="104">
        <v>3.8951130249750032</v>
      </c>
      <c r="W38" s="3">
        <v>5.6540600435553783</v>
      </c>
      <c r="X38" s="3"/>
      <c r="Y38" s="3">
        <v>5.7749341691661025</v>
      </c>
      <c r="Z38" s="105">
        <v>8.2467554629357682</v>
      </c>
      <c r="AA38" s="3"/>
      <c r="AB38" s="104">
        <v>3.7654757707503221</v>
      </c>
      <c r="AC38" s="3">
        <v>5.4676062489811006</v>
      </c>
      <c r="AD38" s="3"/>
      <c r="AE38" s="3">
        <v>5.5868028157576362</v>
      </c>
      <c r="AF38" s="105">
        <v>7.9793980202297403</v>
      </c>
      <c r="AG38" s="3"/>
      <c r="AH38" s="104">
        <v>3.6403118966112773</v>
      </c>
      <c r="AI38" s="3">
        <v>5.2875331150692064</v>
      </c>
      <c r="AJ38" s="3"/>
      <c r="AK38" s="3">
        <v>5.4049958751683755</v>
      </c>
      <c r="AL38" s="3">
        <v>7.7210005231820924</v>
      </c>
      <c r="AM38" s="3"/>
      <c r="AN38" s="3">
        <v>3.5194606828990502</v>
      </c>
      <c r="AO38" s="3">
        <v>5.1136135222810069</v>
      </c>
      <c r="AP38" s="3"/>
      <c r="AQ38" s="3">
        <v>5.2292930217439322</v>
      </c>
      <c r="AR38" s="105">
        <v>7.4712519163738209</v>
      </c>
      <c r="AS38" s="3"/>
      <c r="AT38" s="104">
        <v>3.4027674470231033</v>
      </c>
      <c r="AU38" s="3">
        <v>4.9456287839791884</v>
      </c>
      <c r="AV38" s="3"/>
      <c r="AW38" s="3">
        <v>5.0594819234515951</v>
      </c>
      <c r="AX38" s="3">
        <v>7.2298523669625894</v>
      </c>
      <c r="AY38" s="3"/>
      <c r="AZ38" s="104">
        <v>3.2900833057579839</v>
      </c>
      <c r="BA38" s="3">
        <v>4.7833683191237588</v>
      </c>
      <c r="BB38" s="3"/>
      <c r="BC38" s="3">
        <v>4.8953579385347874</v>
      </c>
      <c r="BD38" s="105">
        <v>6.9965128425324687</v>
      </c>
      <c r="BE38" s="3"/>
      <c r="BF38" s="104">
        <v>3.1812649473497712</v>
      </c>
      <c r="BG38" s="3">
        <v>4.6266293382511536</v>
      </c>
      <c r="BH38" s="3"/>
      <c r="BI38" s="3">
        <v>4.7367238242358987</v>
      </c>
      <c r="BJ38" s="105">
        <v>6.770954705533283</v>
      </c>
      <c r="BK38" s="3"/>
      <c r="BL38" s="104">
        <v>3.0761744130092081</v>
      </c>
      <c r="BM38" s="3">
        <v>4.4752165421739862</v>
      </c>
      <c r="BN38" s="3"/>
      <c r="BO38" s="3">
        <v>4.5833894570844214</v>
      </c>
      <c r="BP38" s="105">
        <v>6.5529093236285139</v>
      </c>
      <c r="BQ38" s="3"/>
      <c r="BR38" s="104">
        <v>2.974678887387451</v>
      </c>
      <c r="BS38" s="3">
        <v>4.3289418328637055</v>
      </c>
      <c r="BT38" s="3"/>
      <c r="BU38" s="3">
        <v>4.4351715642693339</v>
      </c>
      <c r="BV38" s="105">
        <v>6.3421176952998843</v>
      </c>
    </row>
    <row r="39" spans="1:74" x14ac:dyDescent="0.25">
      <c r="A39">
        <f t="shared" si="0"/>
        <v>34</v>
      </c>
      <c r="B39" s="5" t="s">
        <v>148</v>
      </c>
      <c r="D39" s="104">
        <v>1.432807726615728</v>
      </c>
      <c r="E39" s="105">
        <v>2.1208949501249208</v>
      </c>
      <c r="F39" s="3"/>
      <c r="G39" s="104">
        <v>1.4364428453503901</v>
      </c>
      <c r="H39" s="105">
        <v>1.9470851421631903</v>
      </c>
      <c r="J39" s="104">
        <v>3.7110771986753499</v>
      </c>
      <c r="K39" s="3">
        <v>5.4932736221244562</v>
      </c>
      <c r="L39" s="3"/>
      <c r="M39" s="3">
        <v>6.9379167770345793</v>
      </c>
      <c r="N39" s="105">
        <v>9.4042827515588261</v>
      </c>
      <c r="O39" s="3"/>
      <c r="P39" s="104">
        <v>3.8234899070317057</v>
      </c>
      <c r="Q39" s="3">
        <v>5.5661546139995712</v>
      </c>
      <c r="R39" s="3"/>
      <c r="S39" s="3">
        <v>7.1428790579428494</v>
      </c>
      <c r="T39" s="105">
        <v>9.5715467471332509</v>
      </c>
      <c r="U39" s="3"/>
      <c r="V39" s="104">
        <v>3.945147915640475</v>
      </c>
      <c r="W39" s="3">
        <v>5.6537070830710743</v>
      </c>
      <c r="X39" s="3"/>
      <c r="Y39" s="3">
        <v>7.3681589286233775</v>
      </c>
      <c r="Z39" s="105">
        <v>9.769170947239413</v>
      </c>
      <c r="AA39" s="3"/>
      <c r="AB39" s="104">
        <v>3.8234257425590807</v>
      </c>
      <c r="AC39" s="3">
        <v>5.4767959703283022</v>
      </c>
      <c r="AD39" s="3"/>
      <c r="AE39" s="3">
        <v>7.1425154084643339</v>
      </c>
      <c r="AF39" s="105">
        <v>9.4665708958493848</v>
      </c>
      <c r="AG39" s="3"/>
      <c r="AH39" s="104">
        <v>3.7054991406906392</v>
      </c>
      <c r="AI39" s="3">
        <v>5.3055330722720138</v>
      </c>
      <c r="AJ39" s="3"/>
      <c r="AK39" s="3">
        <v>6.9238320017369457</v>
      </c>
      <c r="AL39" s="3">
        <v>9.17349099167593</v>
      </c>
      <c r="AM39" s="3"/>
      <c r="AN39" s="3">
        <v>3.5912481126710527</v>
      </c>
      <c r="AO39" s="3">
        <v>5.1397338937890238</v>
      </c>
      <c r="AP39" s="3"/>
      <c r="AQ39" s="3">
        <v>6.7118920039031034</v>
      </c>
      <c r="AR39" s="105">
        <v>8.8896263995155635</v>
      </c>
      <c r="AS39" s="3"/>
      <c r="AT39" s="104">
        <v>3.4805565253936819</v>
      </c>
      <c r="AU39" s="3">
        <v>4.9792201312242241</v>
      </c>
      <c r="AV39" s="3"/>
      <c r="AW39" s="3">
        <v>6.5064855429933566</v>
      </c>
      <c r="AX39" s="3">
        <v>8.6146822531898746</v>
      </c>
      <c r="AY39" s="3"/>
      <c r="AZ39" s="104">
        <v>3.3733119824629645</v>
      </c>
      <c r="BA39" s="3">
        <v>4.8238194578001119</v>
      </c>
      <c r="BB39" s="3"/>
      <c r="BC39" s="3">
        <v>6.3074093604421995</v>
      </c>
      <c r="BD39" s="105">
        <v>8.3483733209794515</v>
      </c>
      <c r="BE39" s="3"/>
      <c r="BF39" s="104">
        <v>3.2694057009962294</v>
      </c>
      <c r="BG39" s="3">
        <v>4.6733653167585025</v>
      </c>
      <c r="BH39" s="3"/>
      <c r="BI39" s="3">
        <v>6.1144665991199787</v>
      </c>
      <c r="BJ39" s="105">
        <v>8.0904236826461187</v>
      </c>
      <c r="BK39" s="3"/>
      <c r="BL39" s="104">
        <v>3.1687323926193489</v>
      </c>
      <c r="BM39" s="3">
        <v>4.5276967219345812</v>
      </c>
      <c r="BN39" s="3"/>
      <c r="BO39" s="3">
        <v>5.9274665983176078</v>
      </c>
      <c r="BP39" s="105">
        <v>7.8405664176268175</v>
      </c>
      <c r="BQ39" s="3"/>
      <c r="BR39" s="104">
        <v>3.0711901485075783</v>
      </c>
      <c r="BS39" s="3">
        <v>4.386658065484685</v>
      </c>
      <c r="BT39" s="3"/>
      <c r="BU39" s="3">
        <v>5.7462246954488627</v>
      </c>
      <c r="BV39" s="105">
        <v>7.5985433039980625</v>
      </c>
    </row>
    <row r="40" spans="1:74" x14ac:dyDescent="0.25">
      <c r="A40">
        <f t="shared" si="0"/>
        <v>35</v>
      </c>
      <c r="B40" s="5" t="s">
        <v>149</v>
      </c>
      <c r="D40" s="104">
        <v>2.9559538937614698</v>
      </c>
      <c r="E40" s="105">
        <v>4.7578319204188242</v>
      </c>
      <c r="F40" s="3"/>
      <c r="G40" s="104">
        <v>1.4409121453991074</v>
      </c>
      <c r="H40" s="105">
        <v>1.6754485354424822</v>
      </c>
      <c r="J40" s="104">
        <v>3.9744958397620671</v>
      </c>
      <c r="K40" s="3">
        <v>6.3972524111087239</v>
      </c>
      <c r="L40" s="3"/>
      <c r="M40" s="3">
        <v>20.598661388957055</v>
      </c>
      <c r="N40" s="105">
        <v>23.951492925090506</v>
      </c>
      <c r="O40" s="3"/>
      <c r="P40" s="104">
        <v>3.7182789431176508</v>
      </c>
      <c r="Q40" s="3">
        <v>6.0872952394747593</v>
      </c>
      <c r="R40" s="3"/>
      <c r="S40" s="3">
        <v>18.586029410749894</v>
      </c>
      <c r="T40" s="105">
        <v>21.887613078062959</v>
      </c>
      <c r="U40" s="3"/>
      <c r="V40" s="104">
        <v>3.4927828150067914</v>
      </c>
      <c r="W40" s="3">
        <v>5.8154352993025364</v>
      </c>
      <c r="X40" s="3"/>
      <c r="Y40" s="3">
        <v>16.81272972815006</v>
      </c>
      <c r="Z40" s="105">
        <v>20.076717675520332</v>
      </c>
      <c r="AA40" s="3"/>
      <c r="AB40" s="104">
        <v>3.377228324794908</v>
      </c>
      <c r="AC40" s="3">
        <v>5.6248557644485535</v>
      </c>
      <c r="AD40" s="3"/>
      <c r="AE40" s="3">
        <v>16.294423679245636</v>
      </c>
      <c r="AF40" s="105">
        <v>19.453795244664548</v>
      </c>
      <c r="AG40" s="3"/>
      <c r="AH40" s="104">
        <v>3.2656339570963002</v>
      </c>
      <c r="AI40" s="3">
        <v>5.4407548759309226</v>
      </c>
      <c r="AJ40" s="3"/>
      <c r="AK40" s="3">
        <v>15.792287173259936</v>
      </c>
      <c r="AL40" s="3">
        <v>18.850522522321839</v>
      </c>
      <c r="AM40" s="3"/>
      <c r="AN40" s="3">
        <v>3.1578586953299501</v>
      </c>
      <c r="AO40" s="3">
        <v>5.2629039375260387</v>
      </c>
      <c r="AP40" s="3"/>
      <c r="AQ40" s="3">
        <v>15.305807940319585</v>
      </c>
      <c r="AR40" s="105">
        <v>18.266267431875953</v>
      </c>
      <c r="AS40" s="3"/>
      <c r="AT40" s="104">
        <v>3.0537667571446878</v>
      </c>
      <c r="AU40" s="3">
        <v>5.0910826508872553</v>
      </c>
      <c r="AV40" s="3"/>
      <c r="AW40" s="3">
        <v>14.834490276433275</v>
      </c>
      <c r="AX40" s="3">
        <v>17.700418726359747</v>
      </c>
      <c r="AY40" s="3"/>
      <c r="AZ40" s="104">
        <v>2.953227391445588</v>
      </c>
      <c r="BA40" s="3">
        <v>4.9250787942552705</v>
      </c>
      <c r="BB40" s="3"/>
      <c r="BC40" s="3">
        <v>14.377854492926131</v>
      </c>
      <c r="BD40" s="105">
        <v>17.152385281010453</v>
      </c>
      <c r="BE40" s="3"/>
      <c r="BF40" s="104">
        <v>2.8561146836467377</v>
      </c>
      <c r="BG40" s="3">
        <v>4.7646879139815308</v>
      </c>
      <c r="BH40" s="3"/>
      <c r="BI40" s="3">
        <v>13.935436384834032</v>
      </c>
      <c r="BJ40" s="105">
        <v>16.621595410755024</v>
      </c>
      <c r="BK40" s="3"/>
      <c r="BL40" s="104">
        <v>2.7623073688025781</v>
      </c>
      <c r="BM40" s="3">
        <v>4.6097130283326777</v>
      </c>
      <c r="BN40" s="3"/>
      <c r="BO40" s="3">
        <v>13.506786717575492</v>
      </c>
      <c r="BP40" s="105">
        <v>16.107496211708224</v>
      </c>
      <c r="BQ40" s="3"/>
      <c r="BR40" s="104">
        <v>2.6716886522852779</v>
      </c>
      <c r="BS40" s="3">
        <v>4.4599643430668943</v>
      </c>
      <c r="BT40" s="3"/>
      <c r="BU40" s="3">
        <v>13.091470731244719</v>
      </c>
      <c r="BV40" s="105">
        <v>15.609552925801657</v>
      </c>
    </row>
    <row r="41" spans="1:74" x14ac:dyDescent="0.25">
      <c r="A41">
        <f t="shared" si="0"/>
        <v>36</v>
      </c>
      <c r="B41" s="5" t="s">
        <v>6</v>
      </c>
      <c r="D41" s="106" t="s">
        <v>58</v>
      </c>
      <c r="E41" s="107" t="s">
        <v>58</v>
      </c>
      <c r="F41" s="184"/>
      <c r="G41" s="106" t="s">
        <v>58</v>
      </c>
      <c r="H41" s="107" t="s">
        <v>58</v>
      </c>
      <c r="J41" s="104">
        <v>1.5258641875005494</v>
      </c>
      <c r="K41" s="3">
        <v>1.975244227233151</v>
      </c>
      <c r="L41" s="3"/>
      <c r="M41" s="3">
        <v>2.0849375296301673</v>
      </c>
      <c r="N41" s="105">
        <v>2.7068306189911406</v>
      </c>
      <c r="O41" s="3"/>
      <c r="P41" s="104">
        <v>1.461177047957865</v>
      </c>
      <c r="Q41" s="3">
        <v>1.9005891828684733</v>
      </c>
      <c r="R41" s="3"/>
      <c r="S41" s="3">
        <v>2.0167242230733491</v>
      </c>
      <c r="T41" s="105">
        <v>2.6291117064650393</v>
      </c>
      <c r="U41" s="3"/>
      <c r="V41" s="104">
        <v>1.4020123918244096</v>
      </c>
      <c r="W41" s="3">
        <v>1.8328248300289178</v>
      </c>
      <c r="X41" s="3"/>
      <c r="Y41" s="3">
        <v>1.956557246990231</v>
      </c>
      <c r="Z41" s="105">
        <v>2.5619713652814062</v>
      </c>
      <c r="AA41" s="3"/>
      <c r="AB41" s="104">
        <v>1.3539570524414779</v>
      </c>
      <c r="AC41" s="3">
        <v>1.7708536239258446</v>
      </c>
      <c r="AD41" s="3"/>
      <c r="AE41" s="3">
        <v>1.8908933460723816</v>
      </c>
      <c r="AF41" s="105">
        <v>2.4769029090590782</v>
      </c>
      <c r="AG41" s="3"/>
      <c r="AH41" s="104">
        <v>1.3075772995551387</v>
      </c>
      <c r="AI41" s="3">
        <v>1.7110251475516094</v>
      </c>
      <c r="AJ41" s="3"/>
      <c r="AK41" s="3">
        <v>1.8274755805607434</v>
      </c>
      <c r="AL41" s="3">
        <v>2.394726099629275</v>
      </c>
      <c r="AM41" s="3"/>
      <c r="AN41" s="3">
        <v>1.2628137757416018</v>
      </c>
      <c r="AO41" s="3">
        <v>1.6532637804035228</v>
      </c>
      <c r="AP41" s="3"/>
      <c r="AQ41" s="3">
        <v>1.7662257923430342</v>
      </c>
      <c r="AR41" s="105">
        <v>2.3153405567714258</v>
      </c>
      <c r="AS41" s="3"/>
      <c r="AT41" s="104">
        <v>1.2196092607126803</v>
      </c>
      <c r="AU41" s="3">
        <v>1.5974966259171057</v>
      </c>
      <c r="AV41" s="3"/>
      <c r="AW41" s="3">
        <v>1.7070685897377029</v>
      </c>
      <c r="AX41" s="3">
        <v>2.2386494575517979</v>
      </c>
      <c r="AY41" s="3"/>
      <c r="AZ41" s="104">
        <v>1.1779085929929303</v>
      </c>
      <c r="BA41" s="3">
        <v>1.5436534111976201</v>
      </c>
      <c r="BB41" s="3"/>
      <c r="BC41" s="3">
        <v>1.6499312477699539</v>
      </c>
      <c r="BD41" s="105">
        <v>2.1645594075010965</v>
      </c>
      <c r="BE41" s="3"/>
      <c r="BF41" s="104">
        <v>1.1376585945251048</v>
      </c>
      <c r="BG41" s="3">
        <v>1.4916663905306689</v>
      </c>
      <c r="BH41" s="3"/>
      <c r="BI41" s="3">
        <v>1.5947436121163943</v>
      </c>
      <c r="BJ41" s="105">
        <v>2.0929803165680947</v>
      </c>
      <c r="BK41" s="3"/>
      <c r="BL41" s="104">
        <v>1.0988079980919374</v>
      </c>
      <c r="BM41" s="3">
        <v>1.4414702525257042</v>
      </c>
      <c r="BN41" s="3"/>
      <c r="BO41" s="3">
        <v>1.541438006580252</v>
      </c>
      <c r="BP41" s="105">
        <v>2.023825279667582</v>
      </c>
      <c r="BQ41" s="3"/>
      <c r="BR41" s="104">
        <v>1.0613073774466664</v>
      </c>
      <c r="BS41" s="3">
        <v>1.3930020307520992</v>
      </c>
      <c r="BT41" s="3"/>
      <c r="BU41" s="3">
        <v>1.489949143964395</v>
      </c>
      <c r="BV41" s="105">
        <v>1.9570104616480721</v>
      </c>
    </row>
    <row r="42" spans="1:74" x14ac:dyDescent="0.25">
      <c r="A42">
        <f t="shared" si="0"/>
        <v>37</v>
      </c>
      <c r="B42" s="5" t="s">
        <v>7</v>
      </c>
      <c r="D42" s="104">
        <v>2.0792016337750012</v>
      </c>
      <c r="E42" s="105">
        <v>3.6544846055748552</v>
      </c>
      <c r="F42" s="3"/>
      <c r="G42" s="104">
        <v>1.3895973546439091</v>
      </c>
      <c r="H42" s="105">
        <v>1.9023379899121635</v>
      </c>
      <c r="J42" s="104">
        <v>2.2862020310870608</v>
      </c>
      <c r="K42" s="3">
        <v>4.0183164499887782</v>
      </c>
      <c r="L42" s="3"/>
      <c r="M42" s="3">
        <v>6.4963553248800325</v>
      </c>
      <c r="N42" s="105">
        <v>8.8934132532616434</v>
      </c>
      <c r="O42" s="3"/>
      <c r="P42" s="104">
        <v>2.3276703359729751</v>
      </c>
      <c r="Q42" s="3">
        <v>4.0213639303122815</v>
      </c>
      <c r="R42" s="3"/>
      <c r="S42" s="3">
        <v>6.7619651837076837</v>
      </c>
      <c r="T42" s="105">
        <v>9.1223841969082979</v>
      </c>
      <c r="U42" s="3"/>
      <c r="V42" s="104">
        <v>2.3769827633510157</v>
      </c>
      <c r="W42" s="3">
        <v>4.0375292275425734</v>
      </c>
      <c r="X42" s="3"/>
      <c r="Y42" s="3">
        <v>7.0510370327558718</v>
      </c>
      <c r="Z42" s="105">
        <v>9.3845775351840679</v>
      </c>
      <c r="AA42" s="3"/>
      <c r="AB42" s="104">
        <v>2.2985243501912489</v>
      </c>
      <c r="AC42" s="3">
        <v>3.905432754686577</v>
      </c>
      <c r="AD42" s="3"/>
      <c r="AE42" s="3">
        <v>6.8287209051311253</v>
      </c>
      <c r="AF42" s="105">
        <v>9.087467453525969</v>
      </c>
      <c r="AG42" s="3"/>
      <c r="AH42" s="104">
        <v>2.2227228305409934</v>
      </c>
      <c r="AI42" s="3">
        <v>3.7777937571566444</v>
      </c>
      <c r="AJ42" s="3"/>
      <c r="AK42" s="3">
        <v>6.6135026365442169</v>
      </c>
      <c r="AL42" s="3">
        <v>8.7999433244589174</v>
      </c>
      <c r="AM42" s="3"/>
      <c r="AN42" s="3">
        <v>2.1494854767381901</v>
      </c>
      <c r="AO42" s="3">
        <v>3.6544568220110758</v>
      </c>
      <c r="AP42" s="3"/>
      <c r="AQ42" s="3">
        <v>6.4051519433413624</v>
      </c>
      <c r="AR42" s="105">
        <v>8.5216892102484447</v>
      </c>
      <c r="AS42" s="3"/>
      <c r="AT42" s="104">
        <v>2.0787229143206161</v>
      </c>
      <c r="AU42" s="3">
        <v>3.5352721513112995</v>
      </c>
      <c r="AV42" s="3"/>
      <c r="AW42" s="3">
        <v>6.203446173204556</v>
      </c>
      <c r="AX42" s="3">
        <v>8.2523998528138414</v>
      </c>
      <c r="AY42" s="3"/>
      <c r="AZ42" s="104">
        <v>2.0103489957492924</v>
      </c>
      <c r="BA42" s="3">
        <v>3.420095351256971</v>
      </c>
      <c r="BB42" s="3"/>
      <c r="BC42" s="3">
        <v>6.008170045119261</v>
      </c>
      <c r="BD42" s="105">
        <v>7.991780301537375</v>
      </c>
      <c r="BE42" s="3"/>
      <c r="BF42" s="104">
        <v>1.9442806791015674</v>
      </c>
      <c r="BG42" s="3">
        <v>3.3087872295699046</v>
      </c>
      <c r="BH42" s="3"/>
      <c r="BI42" s="3">
        <v>5.8191153985230297</v>
      </c>
      <c r="BJ42" s="105">
        <v>7.7395455545228007</v>
      </c>
      <c r="BK42" s="3"/>
      <c r="BL42" s="104">
        <v>1.8804379115292786</v>
      </c>
      <c r="BM42" s="3">
        <v>3.2012136007905769</v>
      </c>
      <c r="BN42" s="3"/>
      <c r="BO42" s="3">
        <v>5.6360809512966723</v>
      </c>
      <c r="BP42" s="105">
        <v>7.4954202127966463</v>
      </c>
      <c r="BQ42" s="3"/>
      <c r="BR42" s="104">
        <v>1.8187435172862159</v>
      </c>
      <c r="BS42" s="3">
        <v>3.0972450991651437</v>
      </c>
      <c r="BT42" s="3"/>
      <c r="BU42" s="3">
        <v>5.4588720662725958</v>
      </c>
      <c r="BV42" s="105">
        <v>7.2591381469657268</v>
      </c>
    </row>
    <row r="43" spans="1:74" x14ac:dyDescent="0.25">
      <c r="A43">
        <f t="shared" si="0"/>
        <v>38</v>
      </c>
      <c r="B43" s="5" t="s">
        <v>150</v>
      </c>
      <c r="D43" s="104">
        <v>2.2723378403699686</v>
      </c>
      <c r="E43" s="105">
        <v>3.8371315624696254</v>
      </c>
      <c r="F43" s="3"/>
      <c r="G43" s="104">
        <v>1.3691760942532933</v>
      </c>
      <c r="H43" s="105">
        <v>1.8785025717790693</v>
      </c>
      <c r="J43" s="104">
        <v>2.4985664216402705</v>
      </c>
      <c r="K43" s="3">
        <v>4.2191473059488898</v>
      </c>
      <c r="L43" s="3"/>
      <c r="M43" s="3">
        <v>6.4008861134311275</v>
      </c>
      <c r="N43" s="105">
        <v>8.7819828846068706</v>
      </c>
      <c r="O43" s="3"/>
      <c r="P43" s="104">
        <v>2.6436667855926448</v>
      </c>
      <c r="Q43" s="3">
        <v>4.3260826759608682</v>
      </c>
      <c r="R43" s="3"/>
      <c r="S43" s="3">
        <v>7.1043603876135304</v>
      </c>
      <c r="T43" s="105">
        <v>9.4490622091287335</v>
      </c>
      <c r="U43" s="3"/>
      <c r="V43" s="104">
        <v>2.8203698286715664</v>
      </c>
      <c r="W43" s="3">
        <v>4.4698593038563921</v>
      </c>
      <c r="X43" s="3"/>
      <c r="Y43" s="3">
        <v>7.9283642055867567</v>
      </c>
      <c r="Z43" s="105">
        <v>10.246366490784354</v>
      </c>
      <c r="AA43" s="3"/>
      <c r="AB43" s="104">
        <v>2.7279753704960861</v>
      </c>
      <c r="AC43" s="3">
        <v>4.3241839427696283</v>
      </c>
      <c r="AD43" s="3"/>
      <c r="AE43" s="3">
        <v>7.6788176804616786</v>
      </c>
      <c r="AF43" s="105">
        <v>9.9225240379957675</v>
      </c>
      <c r="AG43" s="3"/>
      <c r="AH43" s="104">
        <v>2.638679048607631</v>
      </c>
      <c r="AI43" s="3">
        <v>4.1833953103517691</v>
      </c>
      <c r="AJ43" s="3"/>
      <c r="AK43" s="3">
        <v>7.437215876709276</v>
      </c>
      <c r="AL43" s="3">
        <v>9.6090978328019716</v>
      </c>
      <c r="AM43" s="3"/>
      <c r="AN43" s="3">
        <v>2.5523741565319185</v>
      </c>
      <c r="AO43" s="3">
        <v>4.0473244322479056</v>
      </c>
      <c r="AP43" s="3"/>
      <c r="AQ43" s="3">
        <v>7.2033021930839922</v>
      </c>
      <c r="AR43" s="105">
        <v>9.3057461902168335</v>
      </c>
      <c r="AS43" s="3"/>
      <c r="AT43" s="104">
        <v>2.4689577801311753</v>
      </c>
      <c r="AU43" s="3">
        <v>3.9158083731823718</v>
      </c>
      <c r="AV43" s="3"/>
      <c r="AW43" s="3">
        <v>6.9768284734502997</v>
      </c>
      <c r="AX43" s="3">
        <v>9.0121388983845225</v>
      </c>
      <c r="AY43" s="3"/>
      <c r="AZ43" s="104">
        <v>2.3883306578379675</v>
      </c>
      <c r="BA43" s="3">
        <v>3.7886900131675327</v>
      </c>
      <c r="BB43" s="3"/>
      <c r="BC43" s="3">
        <v>6.7575547218910543</v>
      </c>
      <c r="BD43" s="105">
        <v>8.72795682227631</v>
      </c>
      <c r="BE43" s="3"/>
      <c r="BF43" s="104">
        <v>2.3103970462536818</v>
      </c>
      <c r="BG43" s="3">
        <v>3.6658178323345183</v>
      </c>
      <c r="BH43" s="3"/>
      <c r="BI43" s="3">
        <v>6.5452488277374998</v>
      </c>
      <c r="BJ43" s="105">
        <v>8.4528915215487785</v>
      </c>
      <c r="BK43" s="3"/>
      <c r="BL43" s="104">
        <v>2.2350645908966955</v>
      </c>
      <c r="BM43" s="3">
        <v>3.5470457040401673</v>
      </c>
      <c r="BN43" s="3"/>
      <c r="BO43" s="3">
        <v>6.339686300161353</v>
      </c>
      <c r="BP43" s="105">
        <v>8.1866448820371662</v>
      </c>
      <c r="BQ43" s="3"/>
      <c r="BR43" s="104">
        <v>2.1622442018942207</v>
      </c>
      <c r="BS43" s="3">
        <v>3.432232695918779</v>
      </c>
      <c r="BT43" s="3"/>
      <c r="BU43" s="3">
        <v>6.1406500119833431</v>
      </c>
      <c r="BV43" s="105">
        <v>7.9289287603779419</v>
      </c>
    </row>
    <row r="44" spans="1:74" x14ac:dyDescent="0.25">
      <c r="A44">
        <f t="shared" si="0"/>
        <v>39</v>
      </c>
      <c r="B44" s="5" t="s">
        <v>8</v>
      </c>
      <c r="D44" s="104">
        <v>1.7906480401837415</v>
      </c>
      <c r="E44" s="105">
        <v>2.789677328071595</v>
      </c>
      <c r="F44" s="3"/>
      <c r="G44" s="104">
        <v>1.5997144249227011</v>
      </c>
      <c r="H44" s="105">
        <v>2.3258776641242327</v>
      </c>
      <c r="J44" s="104">
        <v>5.4973728010457119</v>
      </c>
      <c r="K44" s="3">
        <v>8.5644391990404873</v>
      </c>
      <c r="L44" s="3"/>
      <c r="M44" s="3">
        <v>9.3504676446308608</v>
      </c>
      <c r="N44" s="105">
        <v>13.594953889857008</v>
      </c>
      <c r="O44" s="3"/>
      <c r="P44" s="104">
        <v>5.4275016786593433</v>
      </c>
      <c r="Q44" s="3">
        <v>8.4265360698116751</v>
      </c>
      <c r="R44" s="3"/>
      <c r="S44" s="3">
        <v>9.2853680904213007</v>
      </c>
      <c r="T44" s="105">
        <v>13.464977567470742</v>
      </c>
      <c r="U44" s="3"/>
      <c r="V44" s="104">
        <v>5.3672063095669289</v>
      </c>
      <c r="W44" s="3">
        <v>8.3075468592751243</v>
      </c>
      <c r="X44" s="3"/>
      <c r="Y44" s="3">
        <v>9.2369211136533504</v>
      </c>
      <c r="Z44" s="105">
        <v>13.368936634830913</v>
      </c>
      <c r="AA44" s="3"/>
      <c r="AB44" s="104">
        <v>5.1782736723332841</v>
      </c>
      <c r="AC44" s="3">
        <v>8.0236369568257935</v>
      </c>
      <c r="AD44" s="3"/>
      <c r="AE44" s="3">
        <v>8.9187064056864589</v>
      </c>
      <c r="AF44" s="105">
        <v>12.918283780350412</v>
      </c>
      <c r="AG44" s="3"/>
      <c r="AH44" s="104">
        <v>4.9961788441867574</v>
      </c>
      <c r="AI44" s="3">
        <v>7.7497531655330736</v>
      </c>
      <c r="AJ44" s="3"/>
      <c r="AK44" s="3">
        <v>8.6116784373171829</v>
      </c>
      <c r="AL44" s="3">
        <v>12.483223349092599</v>
      </c>
      <c r="AM44" s="3"/>
      <c r="AN44" s="3">
        <v>4.8206664858972754</v>
      </c>
      <c r="AO44" s="3">
        <v>7.4855291489298015</v>
      </c>
      <c r="AP44" s="3"/>
      <c r="AQ44" s="3">
        <v>8.3154346252362945</v>
      </c>
      <c r="AR44" s="105">
        <v>12.063201089504014</v>
      </c>
      <c r="AS44" s="3"/>
      <c r="AT44" s="104">
        <v>4.6514911357329245</v>
      </c>
      <c r="AU44" s="3">
        <v>7.2306124530369296</v>
      </c>
      <c r="AV44" s="3"/>
      <c r="AW44" s="3">
        <v>8.0295872830218027</v>
      </c>
      <c r="AX44" s="3">
        <v>11.657683044595144</v>
      </c>
      <c r="AY44" s="3"/>
      <c r="AZ44" s="104">
        <v>4.4884168123448474</v>
      </c>
      <c r="BA44" s="3">
        <v>6.9846639594673743</v>
      </c>
      <c r="BB44" s="3"/>
      <c r="BC44" s="3">
        <v>7.7537630515679554</v>
      </c>
      <c r="BD44" s="105">
        <v>11.266154783769689</v>
      </c>
      <c r="BE44" s="3"/>
      <c r="BF44" s="104">
        <v>4.331216634267788</v>
      </c>
      <c r="BG44" s="3">
        <v>6.7473573609518871</v>
      </c>
      <c r="BH44" s="3"/>
      <c r="BI44" s="3">
        <v>7.4876023521127122</v>
      </c>
      <c r="BJ44" s="105">
        <v>10.888120664810268</v>
      </c>
      <c r="BK44" s="3"/>
      <c r="BL44" s="104">
        <v>4.1796724553135682</v>
      </c>
      <c r="BM44" s="3">
        <v>6.5183786583311942</v>
      </c>
      <c r="BN44" s="3"/>
      <c r="BO44" s="3">
        <v>7.2307588609308917</v>
      </c>
      <c r="BP44" s="105">
        <v>10.523103124790159</v>
      </c>
      <c r="BQ44" s="3"/>
      <c r="BR44" s="104">
        <v>4.0335745151674303</v>
      </c>
      <c r="BS44" s="3">
        <v>6.2974256781006357</v>
      </c>
      <c r="BT44" s="3"/>
      <c r="BU44" s="3">
        <v>6.9828990048002249</v>
      </c>
      <c r="BV44" s="105">
        <v>10.170641998732862</v>
      </c>
    </row>
    <row r="45" spans="1:74" x14ac:dyDescent="0.25">
      <c r="A45">
        <f t="shared" si="0"/>
        <v>40</v>
      </c>
      <c r="B45" s="5" t="s">
        <v>9</v>
      </c>
      <c r="D45" s="104">
        <v>1.6313651558248745</v>
      </c>
      <c r="E45" s="105">
        <v>2.5967031712118449</v>
      </c>
      <c r="F45" s="3"/>
      <c r="G45" s="104">
        <v>1.5636223277548753</v>
      </c>
      <c r="H45" s="105">
        <v>2.2652964314839257</v>
      </c>
      <c r="J45" s="104">
        <v>5.0083669347356059</v>
      </c>
      <c r="K45" s="3">
        <v>7.9719995585198076</v>
      </c>
      <c r="L45" s="3"/>
      <c r="M45" s="3">
        <v>9.1395062495612791</v>
      </c>
      <c r="N45" s="105">
        <v>13.240851403281997</v>
      </c>
      <c r="O45" s="3"/>
      <c r="P45" s="104">
        <v>4.9674185175889303</v>
      </c>
      <c r="Q45" s="3">
        <v>7.8653134465284413</v>
      </c>
      <c r="R45" s="3"/>
      <c r="S45" s="3">
        <v>9.1061909384485293</v>
      </c>
      <c r="T45" s="105">
        <v>13.144847228693752</v>
      </c>
      <c r="U45" s="3"/>
      <c r="V45" s="104">
        <v>4.9357547950441649</v>
      </c>
      <c r="W45" s="3">
        <v>7.7769352741651847</v>
      </c>
      <c r="X45" s="3"/>
      <c r="Y45" s="3">
        <v>9.0911841318647859</v>
      </c>
      <c r="Z45" s="105">
        <v>13.083851525225002</v>
      </c>
      <c r="AA45" s="3"/>
      <c r="AB45" s="104">
        <v>4.768865406546472</v>
      </c>
      <c r="AC45" s="3">
        <v>7.5182716345801843</v>
      </c>
      <c r="AD45" s="3"/>
      <c r="AE45" s="3">
        <v>8.7864916755088451</v>
      </c>
      <c r="AF45" s="105">
        <v>12.651187267574556</v>
      </c>
      <c r="AG45" s="3"/>
      <c r="AH45" s="104">
        <v>4.6076953808505587</v>
      </c>
      <c r="AI45" s="3">
        <v>7.2684081375393967</v>
      </c>
      <c r="AJ45" s="3"/>
      <c r="AK45" s="3">
        <v>8.4921186319009685</v>
      </c>
      <c r="AL45" s="3">
        <v>12.233099528983878</v>
      </c>
      <c r="AM45" s="3"/>
      <c r="AN45" s="3">
        <v>4.4520460270509643</v>
      </c>
      <c r="AO45" s="3">
        <v>7.0270388381720652</v>
      </c>
      <c r="AP45" s="3"/>
      <c r="AQ45" s="3">
        <v>8.207711891393906</v>
      </c>
      <c r="AR45" s="105">
        <v>11.829088646422703</v>
      </c>
      <c r="AS45" s="3"/>
      <c r="AT45" s="104">
        <v>4.3017256611656469</v>
      </c>
      <c r="AU45" s="3">
        <v>6.7938686684565033</v>
      </c>
      <c r="AV45" s="3"/>
      <c r="AW45" s="3">
        <v>7.932930561493543</v>
      </c>
      <c r="AX45" s="3">
        <v>11.438672389659292</v>
      </c>
      <c r="AY45" s="3"/>
      <c r="AZ45" s="104">
        <v>4.1565493546630838</v>
      </c>
      <c r="BA45" s="3">
        <v>6.5686130410173398</v>
      </c>
      <c r="BB45" s="3"/>
      <c r="BC45" s="3">
        <v>7.6674455387032889</v>
      </c>
      <c r="BD45" s="105">
        <v>11.061385341202701</v>
      </c>
      <c r="BE45" s="3"/>
      <c r="BF45" s="104">
        <v>4.0163386922060411</v>
      </c>
      <c r="BG45" s="3">
        <v>6.3509974677500534</v>
      </c>
      <c r="BH45" s="3"/>
      <c r="BI45" s="3">
        <v>7.4109390956083443</v>
      </c>
      <c r="BJ45" s="105">
        <v>10.696778298787946</v>
      </c>
      <c r="BK45" s="3"/>
      <c r="BL45" s="104">
        <v>3.8809215382656554</v>
      </c>
      <c r="BM45" s="3">
        <v>6.1407571927011091</v>
      </c>
      <c r="BN45" s="3"/>
      <c r="BO45" s="3">
        <v>7.1631044826470021</v>
      </c>
      <c r="BP45" s="105">
        <v>10.344417699563776</v>
      </c>
      <c r="BQ45" s="3"/>
      <c r="BR45" s="104">
        <v>3.7501318122728073</v>
      </c>
      <c r="BS45" s="3">
        <v>5.9376368386547282</v>
      </c>
      <c r="BT45" s="3"/>
      <c r="BU45" s="3">
        <v>6.9236455440365212</v>
      </c>
      <c r="BV45" s="105">
        <v>10.003885065174657</v>
      </c>
    </row>
    <row r="46" spans="1:74" x14ac:dyDescent="0.25">
      <c r="A46">
        <f t="shared" si="0"/>
        <v>41</v>
      </c>
      <c r="B46" s="5" t="s">
        <v>10</v>
      </c>
      <c r="D46" s="104">
        <v>1.1169100129186029</v>
      </c>
      <c r="E46" s="105">
        <v>1.8237317649460598</v>
      </c>
      <c r="F46" s="3"/>
      <c r="G46" s="104">
        <v>1.0884084030662236</v>
      </c>
      <c r="H46" s="105">
        <v>1.60217509560785</v>
      </c>
      <c r="J46" s="104">
        <v>3.4289657087521794</v>
      </c>
      <c r="K46" s="3">
        <v>5.5989413754300958</v>
      </c>
      <c r="L46" s="3"/>
      <c r="M46" s="3">
        <v>6.3618402125159523</v>
      </c>
      <c r="N46" s="105">
        <v>9.3648504752580788</v>
      </c>
      <c r="O46" s="3"/>
      <c r="P46" s="104">
        <v>3.2648764503956453</v>
      </c>
      <c r="Q46" s="3">
        <v>5.386718891297984</v>
      </c>
      <c r="R46" s="3"/>
      <c r="S46" s="3">
        <v>6.0614125961338496</v>
      </c>
      <c r="T46" s="105">
        <v>9.018521991399421</v>
      </c>
      <c r="U46" s="3"/>
      <c r="V46" s="104">
        <v>3.1098587217739286</v>
      </c>
      <c r="W46" s="3">
        <v>5.1901747686598538</v>
      </c>
      <c r="X46" s="3"/>
      <c r="Y46" s="3">
        <v>5.7782409897160205</v>
      </c>
      <c r="Z46" s="105">
        <v>8.7016772547909866</v>
      </c>
      <c r="AA46" s="3"/>
      <c r="AB46" s="104">
        <v>3.0040821943240137</v>
      </c>
      <c r="AC46" s="3">
        <v>5.0172010150460702</v>
      </c>
      <c r="AD46" s="3"/>
      <c r="AE46" s="3">
        <v>5.5823567442799593</v>
      </c>
      <c r="AF46" s="105">
        <v>8.4120918897892238</v>
      </c>
      <c r="AG46" s="3"/>
      <c r="AH46" s="104">
        <v>2.9019319163053554</v>
      </c>
      <c r="AI46" s="3">
        <v>4.8501092618030563</v>
      </c>
      <c r="AJ46" s="3"/>
      <c r="AK46" s="3">
        <v>5.3931472191883145</v>
      </c>
      <c r="AL46" s="3">
        <v>8.1322983039173398</v>
      </c>
      <c r="AM46" s="3"/>
      <c r="AN46" s="3">
        <v>2.8032824389880142</v>
      </c>
      <c r="AO46" s="3">
        <v>4.6886955287078065</v>
      </c>
      <c r="AP46" s="3"/>
      <c r="AQ46" s="3">
        <v>5.2103836620436121</v>
      </c>
      <c r="AR46" s="105">
        <v>7.8619604381999695</v>
      </c>
      <c r="AS46" s="3"/>
      <c r="AT46" s="104">
        <v>2.7080127030138033</v>
      </c>
      <c r="AU46" s="3">
        <v>4.5327630584736713</v>
      </c>
      <c r="AV46" s="3"/>
      <c r="AW46" s="3">
        <v>5.0338452162075944</v>
      </c>
      <c r="AX46" s="3">
        <v>7.6007539483232938</v>
      </c>
      <c r="AY46" s="3"/>
      <c r="AZ46" s="104">
        <v>2.6160058825343819</v>
      </c>
      <c r="BA46" s="3">
        <v>4.3821220549170556</v>
      </c>
      <c r="BB46" s="3"/>
      <c r="BC46" s="3">
        <v>4.8633186457072446</v>
      </c>
      <c r="BD46" s="105">
        <v>7.3483657890301091</v>
      </c>
      <c r="BE46" s="3"/>
      <c r="BF46" s="104">
        <v>2.5271492349912985</v>
      </c>
      <c r="BG46" s="3">
        <v>4.2365894308741776</v>
      </c>
      <c r="BH46" s="3"/>
      <c r="BI46" s="3">
        <v>4.6985980698460938</v>
      </c>
      <c r="BJ46" s="105">
        <v>7.1044938135674194</v>
      </c>
      <c r="BK46" s="3"/>
      <c r="BL46" s="104">
        <v>2.4413339563286662</v>
      </c>
      <c r="BM46" s="3">
        <v>4.0959885654936006</v>
      </c>
      <c r="BN46" s="3"/>
      <c r="BO46" s="3">
        <v>4.5394847071726003</v>
      </c>
      <c r="BP46" s="105">
        <v>6.8688463876279409</v>
      </c>
      <c r="BQ46" s="3"/>
      <c r="BR46" s="104">
        <v>2.3584550414371801</v>
      </c>
      <c r="BS46" s="3">
        <v>3.9601490705450311</v>
      </c>
      <c r="BT46" s="3"/>
      <c r="BU46" s="3">
        <v>4.3857866284702318</v>
      </c>
      <c r="BV46" s="105">
        <v>6.6411420172480282</v>
      </c>
    </row>
    <row r="47" spans="1:74" x14ac:dyDescent="0.25">
      <c r="A47">
        <f t="shared" si="0"/>
        <v>42</v>
      </c>
      <c r="B47" s="5" t="s">
        <v>151</v>
      </c>
      <c r="D47" s="104">
        <v>1.519419390844394</v>
      </c>
      <c r="E47" s="105">
        <v>2.4058690301090238</v>
      </c>
      <c r="F47" s="184"/>
      <c r="G47" s="104">
        <v>1.4227225321179036</v>
      </c>
      <c r="H47" s="105">
        <v>2.0670551350172213</v>
      </c>
      <c r="J47" s="104">
        <v>4.6646882274823342</v>
      </c>
      <c r="K47" s="3">
        <v>7.386129865946427</v>
      </c>
      <c r="L47" s="3"/>
      <c r="M47" s="3">
        <v>8.3159348922533844</v>
      </c>
      <c r="N47" s="105">
        <v>12.082114068941108</v>
      </c>
      <c r="O47" s="3"/>
      <c r="P47" s="104">
        <v>4.4806351313200068</v>
      </c>
      <c r="Q47" s="3">
        <v>7.1417112242940011</v>
      </c>
      <c r="R47" s="3"/>
      <c r="S47" s="3">
        <v>8.0086997073070751</v>
      </c>
      <c r="T47" s="105">
        <v>11.717313016362944</v>
      </c>
      <c r="U47" s="3"/>
      <c r="V47" s="104">
        <v>4.310416939006787</v>
      </c>
      <c r="W47" s="3">
        <v>6.9194133430206994</v>
      </c>
      <c r="X47" s="3"/>
      <c r="Y47" s="3">
        <v>7.7285132879616008</v>
      </c>
      <c r="Z47" s="105">
        <v>11.394895958211078</v>
      </c>
      <c r="AA47" s="3"/>
      <c r="AB47" s="104">
        <v>4.1636060157522241</v>
      </c>
      <c r="AC47" s="3">
        <v>6.6883280511269696</v>
      </c>
      <c r="AD47" s="3"/>
      <c r="AE47" s="3">
        <v>7.4683680853392262</v>
      </c>
      <c r="AF47" s="105">
        <v>11.01723693629911</v>
      </c>
      <c r="AG47" s="3"/>
      <c r="AH47" s="104">
        <v>4.0218963815480899</v>
      </c>
      <c r="AI47" s="3">
        <v>6.4651730636625286</v>
      </c>
      <c r="AJ47" s="3"/>
      <c r="AK47" s="3">
        <v>7.217116057632138</v>
      </c>
      <c r="AL47" s="3">
        <v>10.652380300681415</v>
      </c>
      <c r="AM47" s="3"/>
      <c r="AN47" s="3">
        <v>3.8851070182481675</v>
      </c>
      <c r="AO47" s="3">
        <v>6.2496688734158576</v>
      </c>
      <c r="AP47" s="3"/>
      <c r="AQ47" s="3">
        <v>6.9744484071468502</v>
      </c>
      <c r="AR47" s="105">
        <v>10.299882676768718</v>
      </c>
      <c r="AS47" s="3"/>
      <c r="AT47" s="104">
        <v>3.7530634855415133</v>
      </c>
      <c r="AU47" s="3">
        <v>6.0415461046822028</v>
      </c>
      <c r="AV47" s="3"/>
      <c r="AW47" s="3">
        <v>6.7400672477690895</v>
      </c>
      <c r="AX47" s="3">
        <v>9.9593163909686329</v>
      </c>
      <c r="AY47" s="3"/>
      <c r="AZ47" s="104">
        <v>3.6255976752294328</v>
      </c>
      <c r="BA47" s="3">
        <v>5.8405451346381696</v>
      </c>
      <c r="BB47" s="3"/>
      <c r="BC47" s="3">
        <v>6.5136852112964236</v>
      </c>
      <c r="BD47" s="105">
        <v>9.6302689007986384</v>
      </c>
      <c r="BE47" s="3"/>
      <c r="BF47" s="104">
        <v>3.5025475749785033</v>
      </c>
      <c r="BG47" s="3">
        <v>5.6464157293444934</v>
      </c>
      <c r="BH47" s="3"/>
      <c r="BI47" s="3">
        <v>6.295025068334394</v>
      </c>
      <c r="BJ47" s="105">
        <v>9.3123422462687131</v>
      </c>
      <c r="BK47" s="3"/>
      <c r="BL47" s="104">
        <v>3.3837570411711306</v>
      </c>
      <c r="BM47" s="3">
        <v>5.4589166937914939</v>
      </c>
      <c r="BN47" s="3"/>
      <c r="BO47" s="3">
        <v>6.0838193632010542</v>
      </c>
      <c r="BP47" s="105">
        <v>9.005152521714658</v>
      </c>
      <c r="BQ47" s="3"/>
      <c r="BR47" s="104">
        <v>3.2690755804906884</v>
      </c>
      <c r="BS47" s="3">
        <v>5.2778155354260479</v>
      </c>
      <c r="BT47" s="3"/>
      <c r="BU47" s="3">
        <v>5.8798100623068148</v>
      </c>
      <c r="BV47" s="105">
        <v>8.7083293672955389</v>
      </c>
    </row>
    <row r="48" spans="1:74" x14ac:dyDescent="0.25">
      <c r="A48">
        <f t="shared" si="0"/>
        <v>43</v>
      </c>
      <c r="B48" s="5" t="s">
        <v>11</v>
      </c>
      <c r="D48" s="104">
        <v>1.8233281893956204</v>
      </c>
      <c r="E48" s="105">
        <v>2.7982512076853623</v>
      </c>
      <c r="F48" s="3"/>
      <c r="G48" s="104">
        <v>1.6379957013768156</v>
      </c>
      <c r="H48" s="105">
        <v>2.3466368448513624</v>
      </c>
      <c r="J48" s="104">
        <v>5.5977023797121372</v>
      </c>
      <c r="K48" s="3">
        <v>8.5907614083917583</v>
      </c>
      <c r="L48" s="3"/>
      <c r="M48" s="3">
        <v>9.5742249798794052</v>
      </c>
      <c r="N48" s="105">
        <v>13.71629307683561</v>
      </c>
      <c r="O48" s="3"/>
      <c r="P48" s="104">
        <v>5.1930972084777807</v>
      </c>
      <c r="Q48" s="3">
        <v>8.1197658217258653</v>
      </c>
      <c r="R48" s="3"/>
      <c r="S48" s="3">
        <v>8.8696349152415408</v>
      </c>
      <c r="T48" s="105">
        <v>12.948391700492929</v>
      </c>
      <c r="U48" s="3"/>
      <c r="V48" s="104">
        <v>4.8360135718841253</v>
      </c>
      <c r="W48" s="3">
        <v>7.7054046080386334</v>
      </c>
      <c r="X48" s="3"/>
      <c r="Y48" s="3">
        <v>8.2546601719075365</v>
      </c>
      <c r="Z48" s="105">
        <v>12.28697142881105</v>
      </c>
      <c r="AA48" s="3"/>
      <c r="AB48" s="104">
        <v>4.6699067993936074</v>
      </c>
      <c r="AC48" s="3">
        <v>7.4466123425444533</v>
      </c>
      <c r="AD48" s="3"/>
      <c r="AE48" s="3">
        <v>7.9763883467158871</v>
      </c>
      <c r="AF48" s="105">
        <v>11.879457148867417</v>
      </c>
      <c r="AG48" s="3"/>
      <c r="AH48" s="104">
        <v>4.5096661439009527</v>
      </c>
      <c r="AI48" s="3">
        <v>7.1967975633688344</v>
      </c>
      <c r="AJ48" s="3"/>
      <c r="AK48" s="3">
        <v>7.7077117219744</v>
      </c>
      <c r="AL48" s="3">
        <v>11.485837445207524</v>
      </c>
      <c r="AM48" s="3"/>
      <c r="AN48" s="3">
        <v>4.3550782767368563</v>
      </c>
      <c r="AO48" s="3">
        <v>6.9556386229345826</v>
      </c>
      <c r="AP48" s="3"/>
      <c r="AQ48" s="3">
        <v>7.4482916014873233</v>
      </c>
      <c r="AR48" s="105">
        <v>11.105625613099518</v>
      </c>
      <c r="AS48" s="3"/>
      <c r="AT48" s="104">
        <v>4.2059378805390013</v>
      </c>
      <c r="AU48" s="3">
        <v>6.7228257933222881</v>
      </c>
      <c r="AV48" s="3"/>
      <c r="AW48" s="3">
        <v>7.1978015580629418</v>
      </c>
      <c r="AX48" s="3">
        <v>10.73835248424796</v>
      </c>
      <c r="AY48" s="3"/>
      <c r="AZ48" s="104">
        <v>4.062047337604314</v>
      </c>
      <c r="BA48" s="3">
        <v>6.4980608084556666</v>
      </c>
      <c r="BB48" s="3"/>
      <c r="BC48" s="3">
        <v>6.9559269757989695</v>
      </c>
      <c r="BD48" s="105">
        <v>10.383565775271727</v>
      </c>
      <c r="BE48" s="3"/>
      <c r="BF48" s="104">
        <v>3.9232164308288757</v>
      </c>
      <c r="BG48" s="3">
        <v>6.2810564245409042</v>
      </c>
      <c r="BH48" s="3"/>
      <c r="BI48" s="3">
        <v>6.7223646100217387</v>
      </c>
      <c r="BJ48" s="105">
        <v>10.040829461211157</v>
      </c>
      <c r="BK48" s="3"/>
      <c r="BL48" s="104">
        <v>3.7892620567072184</v>
      </c>
      <c r="BM48" s="3">
        <v>6.0715359980041557</v>
      </c>
      <c r="BN48" s="3"/>
      <c r="BO48" s="3">
        <v>6.4968221641729693</v>
      </c>
      <c r="BP48" s="105">
        <v>9.7097231730680189</v>
      </c>
      <c r="BQ48" s="3"/>
      <c r="BR48" s="104">
        <v>3.6600079498858249</v>
      </c>
      <c r="BS48" s="3">
        <v>5.8692330802038644</v>
      </c>
      <c r="BT48" s="3"/>
      <c r="BU48" s="3">
        <v>6.2790178829673451</v>
      </c>
      <c r="BV48" s="105">
        <v>9.3898416184228815</v>
      </c>
    </row>
    <row r="49" spans="1:74" x14ac:dyDescent="0.25">
      <c r="A49">
        <f t="shared" si="0"/>
        <v>44</v>
      </c>
      <c r="B49" s="5" t="s">
        <v>152</v>
      </c>
      <c r="D49" s="104">
        <v>1.2482258803265376</v>
      </c>
      <c r="E49" s="105">
        <v>1.9448578399489946</v>
      </c>
      <c r="F49" s="3"/>
      <c r="G49" s="104">
        <v>1.3819076274931199</v>
      </c>
      <c r="H49" s="105">
        <v>2.2586961414253559</v>
      </c>
      <c r="J49" s="104">
        <v>5.8837495244715523</v>
      </c>
      <c r="K49" s="3">
        <v>9.1674564446389688</v>
      </c>
      <c r="L49" s="3"/>
      <c r="M49" s="3">
        <v>7.1622669328266522</v>
      </c>
      <c r="N49" s="105">
        <v>11.706560093586662</v>
      </c>
      <c r="O49" s="3"/>
      <c r="P49" s="104">
        <v>5.8247381429027163</v>
      </c>
      <c r="Q49" s="3">
        <v>9.0356076534178715</v>
      </c>
      <c r="R49" s="3"/>
      <c r="S49" s="3">
        <v>7.1123009220481457</v>
      </c>
      <c r="T49" s="105">
        <v>11.587134780342701</v>
      </c>
      <c r="U49" s="3"/>
      <c r="V49" s="104">
        <v>5.7712903907784687</v>
      </c>
      <c r="W49" s="3">
        <v>8.9193202531375491</v>
      </c>
      <c r="X49" s="3"/>
      <c r="Y49" s="3">
        <v>7.0747565121966263</v>
      </c>
      <c r="Z49" s="105">
        <v>11.498634642125866</v>
      </c>
      <c r="AA49" s="3"/>
      <c r="AB49" s="104">
        <v>5.5573552273450781</v>
      </c>
      <c r="AC49" s="3">
        <v>8.6036991584014526</v>
      </c>
      <c r="AD49" s="3"/>
      <c r="AE49" s="3">
        <v>6.8159874530539506</v>
      </c>
      <c r="AF49" s="105">
        <v>11.098072741952681</v>
      </c>
      <c r="AG49" s="3"/>
      <c r="AH49" s="104">
        <v>5.3513925320154314</v>
      </c>
      <c r="AI49" s="3">
        <v>8.2994640377747206</v>
      </c>
      <c r="AJ49" s="3"/>
      <c r="AK49" s="3">
        <v>6.5667518197842236</v>
      </c>
      <c r="AL49" s="3">
        <v>10.711761144279945</v>
      </c>
      <c r="AM49" s="3"/>
      <c r="AN49" s="3">
        <v>5.1531038430688199</v>
      </c>
      <c r="AO49" s="3">
        <v>8.0061975920716968</v>
      </c>
      <c r="AP49" s="3"/>
      <c r="AQ49" s="3">
        <v>6.3266962113258192</v>
      </c>
      <c r="AR49" s="105">
        <v>10.339184066800097</v>
      </c>
      <c r="AS49" s="3"/>
      <c r="AT49" s="104">
        <v>4.9622019208214052</v>
      </c>
      <c r="AU49" s="3">
        <v>7.7234980320237847</v>
      </c>
      <c r="AV49" s="3"/>
      <c r="AW49" s="3">
        <v>6.0954804017474666</v>
      </c>
      <c r="AX49" s="3">
        <v>9.9798446812744714</v>
      </c>
      <c r="AY49" s="3"/>
      <c r="AZ49" s="104">
        <v>4.778410323780915</v>
      </c>
      <c r="BA49" s="3">
        <v>7.4509784940733779</v>
      </c>
      <c r="BB49" s="3"/>
      <c r="BC49" s="3">
        <v>5.8727768463080352</v>
      </c>
      <c r="BD49" s="105">
        <v>9.6332644069654343</v>
      </c>
      <c r="BE49" s="3"/>
      <c r="BF49" s="104">
        <v>4.6014630008892716</v>
      </c>
      <c r="BG49" s="3">
        <v>7.1882664784722863</v>
      </c>
      <c r="BH49" s="3"/>
      <c r="BI49" s="3">
        <v>5.6582702061432482</v>
      </c>
      <c r="BJ49" s="105">
        <v>9.2989822307871943</v>
      </c>
      <c r="BK49" s="3"/>
      <c r="BL49" s="104">
        <v>4.4311038992390648</v>
      </c>
      <c r="BM49" s="3">
        <v>6.9350033088209111</v>
      </c>
      <c r="BN49" s="3"/>
      <c r="BO49" s="3">
        <v>5.4516568908722576</v>
      </c>
      <c r="BP49" s="105">
        <v>8.9765540531496608</v>
      </c>
      <c r="BQ49" s="3"/>
      <c r="BR49" s="104">
        <v>4.2670865866731997</v>
      </c>
      <c r="BS49" s="3">
        <v>6.6908436122181953</v>
      </c>
      <c r="BT49" s="3"/>
      <c r="BU49" s="3">
        <v>5.2526446184442168</v>
      </c>
      <c r="BV49" s="105">
        <v>8.6655520585098866</v>
      </c>
    </row>
    <row r="50" spans="1:74" x14ac:dyDescent="0.25">
      <c r="A50">
        <f t="shared" si="0"/>
        <v>45</v>
      </c>
      <c r="B50" s="5" t="s">
        <v>153</v>
      </c>
      <c r="D50" s="104">
        <v>1.086610986683211</v>
      </c>
      <c r="E50" s="105">
        <v>1.4080267358584215</v>
      </c>
      <c r="F50" s="3"/>
      <c r="G50" s="104">
        <v>1.0903099235449769</v>
      </c>
      <c r="H50" s="105">
        <v>1.4049850160290422</v>
      </c>
      <c r="J50" s="104">
        <v>11.407224069060439</v>
      </c>
      <c r="K50" s="3">
        <v>14.781441259113082</v>
      </c>
      <c r="L50" s="3"/>
      <c r="M50" s="3">
        <v>16.179406348446953</v>
      </c>
      <c r="N50" s="105">
        <v>20.848955876604389</v>
      </c>
      <c r="O50" s="3"/>
      <c r="P50" s="104">
        <v>13.371704406315455</v>
      </c>
      <c r="Q50" s="3">
        <v>16.671076536896397</v>
      </c>
      <c r="R50" s="3"/>
      <c r="S50" s="3">
        <v>18.97168753086418</v>
      </c>
      <c r="T50" s="105">
        <v>23.569863219003025</v>
      </c>
      <c r="U50" s="3"/>
      <c r="V50" s="104">
        <v>15.71688369686275</v>
      </c>
      <c r="W50" s="3">
        <v>18.951684102201451</v>
      </c>
      <c r="X50" s="3"/>
      <c r="Y50" s="3">
        <v>22.304513094898336</v>
      </c>
      <c r="Z50" s="105">
        <v>26.850328539336399</v>
      </c>
      <c r="AA50" s="3"/>
      <c r="AB50" s="104">
        <v>15.127139542837593</v>
      </c>
      <c r="AC50" s="3">
        <v>18.257451202460036</v>
      </c>
      <c r="AD50" s="3"/>
      <c r="AE50" s="3">
        <v>21.469064207057446</v>
      </c>
      <c r="AF50" s="105">
        <v>25.869178511514612</v>
      </c>
      <c r="AG50" s="3"/>
      <c r="AH50" s="104">
        <v>14.559586329926757</v>
      </c>
      <c r="AI50" s="3">
        <v>17.588916837818196</v>
      </c>
      <c r="AJ50" s="3"/>
      <c r="AK50" s="3">
        <v>20.664999335858639</v>
      </c>
      <c r="AL50" s="3">
        <v>24.924259390324437</v>
      </c>
      <c r="AM50" s="3"/>
      <c r="AN50" s="3">
        <v>14.01338716835313</v>
      </c>
      <c r="AO50" s="3">
        <v>16.945122005464118</v>
      </c>
      <c r="AP50" s="3"/>
      <c r="AQ50" s="3">
        <v>19.891136861818893</v>
      </c>
      <c r="AR50" s="105">
        <v>24.01422269925061</v>
      </c>
      <c r="AS50" s="3"/>
      <c r="AT50" s="104">
        <v>13.487736795681476</v>
      </c>
      <c r="AU50" s="3">
        <v>16.325143735996836</v>
      </c>
      <c r="AV50" s="3"/>
      <c r="AW50" s="3">
        <v>19.146339741327449</v>
      </c>
      <c r="AX50" s="3">
        <v>23.137770475876152</v>
      </c>
      <c r="AY50" s="3"/>
      <c r="AZ50" s="104">
        <v>12.981860378987127</v>
      </c>
      <c r="BA50" s="3">
        <v>15.728093730813974</v>
      </c>
      <c r="BB50" s="3"/>
      <c r="BC50" s="3">
        <v>18.429513821810406</v>
      </c>
      <c r="BD50" s="105">
        <v>22.293653368558505</v>
      </c>
      <c r="BE50" s="3"/>
      <c r="BF50" s="104">
        <v>12.495012362502637</v>
      </c>
      <c r="BG50" s="3">
        <v>15.153117051365536</v>
      </c>
      <c r="BH50" s="3"/>
      <c r="BI50" s="3">
        <v>17.739606220710058</v>
      </c>
      <c r="BJ50" s="105">
        <v>21.480668805235318</v>
      </c>
      <c r="BK50" s="3"/>
      <c r="BL50" s="104">
        <v>12.026475359010568</v>
      </c>
      <c r="BM50" s="3">
        <v>14.599390858285085</v>
      </c>
      <c r="BN50" s="3"/>
      <c r="BO50" s="3">
        <v>17.075603765856208</v>
      </c>
      <c r="BP50" s="105">
        <v>20.697659231609467</v>
      </c>
      <c r="BQ50" s="3"/>
      <c r="BR50" s="104">
        <v>11.575559083316781</v>
      </c>
      <c r="BS50" s="3">
        <v>14.066123198486915</v>
      </c>
      <c r="BT50" s="3"/>
      <c r="BU50" s="3">
        <v>16.436531494898443</v>
      </c>
      <c r="BV50" s="105">
        <v>19.943510416068737</v>
      </c>
    </row>
    <row r="51" spans="1:74" x14ac:dyDescent="0.25">
      <c r="A51">
        <f t="shared" si="0"/>
        <v>46</v>
      </c>
      <c r="B51" s="5" t="s">
        <v>154</v>
      </c>
      <c r="D51" s="104">
        <v>1.0960076155881011</v>
      </c>
      <c r="E51" s="105">
        <v>1.4184340238664817</v>
      </c>
      <c r="F51" s="3"/>
      <c r="G51" s="104">
        <v>1.0979463710366939</v>
      </c>
      <c r="H51" s="105">
        <v>1.4136109273151638</v>
      </c>
      <c r="J51" s="104">
        <v>11.505869723048423</v>
      </c>
      <c r="K51" s="3">
        <v>14.890696795560002</v>
      </c>
      <c r="L51" s="3"/>
      <c r="M51" s="3">
        <v>16.292725675694161</v>
      </c>
      <c r="N51" s="105">
        <v>20.976958126982936</v>
      </c>
      <c r="O51" s="3"/>
      <c r="P51" s="104">
        <v>11.085866063419676</v>
      </c>
      <c r="Q51" s="3">
        <v>14.395612733789278</v>
      </c>
      <c r="R51" s="3"/>
      <c r="S51" s="3">
        <v>15.71164451101361</v>
      </c>
      <c r="T51" s="105">
        <v>20.324278694509694</v>
      </c>
      <c r="U51" s="3"/>
      <c r="V51" s="104">
        <v>10.685123345945959</v>
      </c>
      <c r="W51" s="3">
        <v>13.930095251856688</v>
      </c>
      <c r="X51" s="3"/>
      <c r="Y51" s="3">
        <v>15.159631987824449</v>
      </c>
      <c r="Z51" s="105">
        <v>19.719741286163703</v>
      </c>
      <c r="AA51" s="3"/>
      <c r="AB51" s="104">
        <v>10.2848486748642</v>
      </c>
      <c r="AC51" s="3">
        <v>13.425003280834716</v>
      </c>
      <c r="AD51" s="3"/>
      <c r="AE51" s="3">
        <v>14.593279170683584</v>
      </c>
      <c r="AF51" s="105">
        <v>19.007229186639634</v>
      </c>
      <c r="AG51" s="3"/>
      <c r="AH51" s="104">
        <v>9.8996244969582801</v>
      </c>
      <c r="AI51" s="3">
        <v>12.938480426246054</v>
      </c>
      <c r="AJ51" s="3"/>
      <c r="AK51" s="3">
        <v>14.04817070179589</v>
      </c>
      <c r="AL51" s="3">
        <v>18.32082356591043</v>
      </c>
      <c r="AM51" s="3"/>
      <c r="AN51" s="3">
        <v>9.5288831192444192</v>
      </c>
      <c r="AO51" s="3">
        <v>12.469836498100207</v>
      </c>
      <c r="AP51" s="3"/>
      <c r="AQ51" s="3">
        <v>13.5235071181185</v>
      </c>
      <c r="AR51" s="105">
        <v>17.659557579236026</v>
      </c>
      <c r="AS51" s="3"/>
      <c r="AT51" s="104">
        <v>9.1720783267712314</v>
      </c>
      <c r="AU51" s="3">
        <v>12.018407204362486</v>
      </c>
      <c r="AV51" s="3"/>
      <c r="AW51" s="3">
        <v>13.018519128645487</v>
      </c>
      <c r="AX51" s="3">
        <v>17.022500510811469</v>
      </c>
      <c r="AY51" s="3"/>
      <c r="AZ51" s="104">
        <v>8.8286845673794261</v>
      </c>
      <c r="BA51" s="3">
        <v>11.583553170414634</v>
      </c>
      <c r="BB51" s="3"/>
      <c r="BC51" s="3">
        <v>12.532466472413301</v>
      </c>
      <c r="BD51" s="105">
        <v>16.40875641259689</v>
      </c>
      <c r="BE51" s="3"/>
      <c r="BF51" s="104">
        <v>8.4981961675216802</v>
      </c>
      <c r="BG51" s="3">
        <v>11.164658995983755</v>
      </c>
      <c r="BH51" s="3"/>
      <c r="BI51" s="3">
        <v>12.06463681986717</v>
      </c>
      <c r="BJ51" s="105">
        <v>15.817462794849423</v>
      </c>
      <c r="BK51" s="3"/>
      <c r="BL51" s="104">
        <v>8.1801265779538941</v>
      </c>
      <c r="BM51" s="3">
        <v>10.761132348093176</v>
      </c>
      <c r="BN51" s="3"/>
      <c r="BO51" s="3">
        <v>11.614344715935887</v>
      </c>
      <c r="BP51" s="105">
        <v>15.247789366376098</v>
      </c>
      <c r="BQ51" s="3"/>
      <c r="BR51" s="104">
        <v>7.8740076481548389</v>
      </c>
      <c r="BS51" s="3">
        <v>10.372403088645786</v>
      </c>
      <c r="BT51" s="3"/>
      <c r="BU51" s="3">
        <v>11.180930563225886</v>
      </c>
      <c r="BV51" s="105">
        <v>14.698936822603475</v>
      </c>
    </row>
    <row r="52" spans="1:74" x14ac:dyDescent="0.25">
      <c r="A52">
        <f t="shared" si="0"/>
        <v>47</v>
      </c>
      <c r="B52" s="5" t="s">
        <v>155</v>
      </c>
      <c r="D52" s="104">
        <v>1.8306799695343241</v>
      </c>
      <c r="E52" s="105">
        <v>2.5246558825410146</v>
      </c>
      <c r="F52" s="3"/>
      <c r="G52" s="104">
        <v>1.9373683048202224</v>
      </c>
      <c r="H52" s="105">
        <v>2.8174142055045643</v>
      </c>
      <c r="J52" s="104">
        <v>6.1332678989544789</v>
      </c>
      <c r="K52" s="3">
        <v>8.4582729575799132</v>
      </c>
      <c r="L52" s="3"/>
      <c r="M52" s="3">
        <v>7.08325245511557</v>
      </c>
      <c r="N52" s="105">
        <v>10.300806531502301</v>
      </c>
      <c r="O52" s="3"/>
      <c r="P52" s="104">
        <v>6.0784801388193603</v>
      </c>
      <c r="Q52" s="3">
        <v>8.3519131936040782</v>
      </c>
      <c r="R52" s="3"/>
      <c r="S52" s="3">
        <v>7.0207303176061586</v>
      </c>
      <c r="T52" s="105">
        <v>10.189104234640384</v>
      </c>
      <c r="U52" s="3"/>
      <c r="V52" s="104">
        <v>6.0282364121800587</v>
      </c>
      <c r="W52" s="3">
        <v>8.257176306217751</v>
      </c>
      <c r="X52" s="3"/>
      <c r="Y52" s="3">
        <v>6.965300902050469</v>
      </c>
      <c r="Z52" s="105">
        <v>10.097595982240977</v>
      </c>
      <c r="AA52" s="3"/>
      <c r="AB52" s="104">
        <v>5.8061130801109275</v>
      </c>
      <c r="AC52" s="3">
        <v>7.9630549821177823</v>
      </c>
      <c r="AD52" s="3"/>
      <c r="AE52" s="3">
        <v>6.7100453651348246</v>
      </c>
      <c r="AF52" s="105">
        <v>9.7419450444300537</v>
      </c>
      <c r="AG52" s="3"/>
      <c r="AH52" s="104">
        <v>5.5922535470816452</v>
      </c>
      <c r="AI52" s="3">
        <v>7.679614365424837</v>
      </c>
      <c r="AJ52" s="3"/>
      <c r="AK52" s="3">
        <v>6.4642425048647318</v>
      </c>
      <c r="AL52" s="3">
        <v>9.3990865338229597</v>
      </c>
      <c r="AM52" s="3"/>
      <c r="AN52" s="3">
        <v>5.3863476347496206</v>
      </c>
      <c r="AO52" s="3">
        <v>7.4064601357843038</v>
      </c>
      <c r="AP52" s="3"/>
      <c r="AQ52" s="3">
        <v>6.2275389578849616</v>
      </c>
      <c r="AR52" s="105">
        <v>9.0685521141916148</v>
      </c>
      <c r="AS52" s="3"/>
      <c r="AT52" s="104">
        <v>5.1880969123994767</v>
      </c>
      <c r="AU52" s="3">
        <v>7.1432127564715042</v>
      </c>
      <c r="AV52" s="3"/>
      <c r="AW52" s="3">
        <v>5.9995946942577509</v>
      </c>
      <c r="AX52" s="3">
        <v>8.7498908744612471</v>
      </c>
      <c r="AY52" s="3"/>
      <c r="AZ52" s="104">
        <v>4.9972142476145827</v>
      </c>
      <c r="BA52" s="3">
        <v>6.8895069115209306</v>
      </c>
      <c r="BB52" s="3"/>
      <c r="BC52" s="3">
        <v>5.780082509298726</v>
      </c>
      <c r="BD52" s="105">
        <v>8.442668669996868</v>
      </c>
      <c r="BE52" s="3"/>
      <c r="BF52" s="104">
        <v>4.8134233743293562</v>
      </c>
      <c r="BG52" s="3">
        <v>6.6449909646378575</v>
      </c>
      <c r="BH52" s="3"/>
      <c r="BI52" s="3">
        <v>5.5686875349993068</v>
      </c>
      <c r="BJ52" s="105">
        <v>8.146467489205472</v>
      </c>
      <c r="BK52" s="3"/>
      <c r="BL52" s="104">
        <v>4.6364584775811206</v>
      </c>
      <c r="BM52" s="3">
        <v>6.4093264390343379</v>
      </c>
      <c r="BN52" s="3"/>
      <c r="BO52" s="3">
        <v>5.365106770270776</v>
      </c>
      <c r="BP52" s="105">
        <v>7.8608848444636994</v>
      </c>
      <c r="BQ52" s="3"/>
      <c r="BR52" s="104">
        <v>4.4660637943074288</v>
      </c>
      <c r="BS52" s="3">
        <v>6.1821875173660477</v>
      </c>
      <c r="BT52" s="3"/>
      <c r="BU52" s="3">
        <v>5.1690486292755207</v>
      </c>
      <c r="BV52" s="105">
        <v>7.5855331864200162</v>
      </c>
    </row>
    <row r="53" spans="1:74" x14ac:dyDescent="0.25">
      <c r="A53">
        <f t="shared" si="0"/>
        <v>48</v>
      </c>
      <c r="B53" s="5" t="s">
        <v>156</v>
      </c>
      <c r="D53" s="104">
        <v>1.0524727006635823</v>
      </c>
      <c r="E53" s="105">
        <v>1.4608326006111354</v>
      </c>
      <c r="F53" s="3"/>
      <c r="G53" s="104">
        <v>1.0624602423778029</v>
      </c>
      <c r="H53" s="105">
        <v>1.5078203487905144</v>
      </c>
      <c r="J53" s="104">
        <v>4.3731840934261355</v>
      </c>
      <c r="K53" s="3">
        <v>6.0699815663845902</v>
      </c>
      <c r="L53" s="3"/>
      <c r="M53" s="3">
        <v>5.6018740068017836</v>
      </c>
      <c r="N53" s="105">
        <v>7.950057123937845</v>
      </c>
      <c r="O53" s="3"/>
      <c r="P53" s="104">
        <v>3.930787186416917</v>
      </c>
      <c r="Q53" s="3">
        <v>5.5899472161931758</v>
      </c>
      <c r="R53" s="3"/>
      <c r="S53" s="3">
        <v>5.0443381483340008</v>
      </c>
      <c r="T53" s="105">
        <v>7.3566293994289769</v>
      </c>
      <c r="U53" s="3"/>
      <c r="V53" s="104">
        <v>3.534977446389564</v>
      </c>
      <c r="W53" s="3">
        <v>5.1616661994090682</v>
      </c>
      <c r="X53" s="3"/>
      <c r="Y53" s="3">
        <v>4.546380929122491</v>
      </c>
      <c r="Z53" s="105">
        <v>6.832341708824905</v>
      </c>
      <c r="AA53" s="3"/>
      <c r="AB53" s="104">
        <v>3.4536101920715798</v>
      </c>
      <c r="AC53" s="3">
        <v>5.027754538582033</v>
      </c>
      <c r="AD53" s="3"/>
      <c r="AE53" s="3">
        <v>4.4414325247649407</v>
      </c>
      <c r="AF53" s="105">
        <v>6.6541243617165486</v>
      </c>
      <c r="AG53" s="3"/>
      <c r="AH53" s="104">
        <v>3.3741507134873201</v>
      </c>
      <c r="AI53" s="3">
        <v>4.8975145223433687</v>
      </c>
      <c r="AJ53" s="3"/>
      <c r="AK53" s="3">
        <v>4.338951711951208</v>
      </c>
      <c r="AL53" s="3">
        <v>6.4808119687231462</v>
      </c>
      <c r="AM53" s="3"/>
      <c r="AN53" s="3">
        <v>3.296552859895947</v>
      </c>
      <c r="AO53" s="3">
        <v>4.7708385927940666</v>
      </c>
      <c r="AP53" s="3"/>
      <c r="AQ53" s="3">
        <v>4.2388787068226774</v>
      </c>
      <c r="AR53" s="105">
        <v>6.3122608383492418</v>
      </c>
      <c r="AS53" s="3"/>
      <c r="AT53" s="104">
        <v>3.2207716559879644</v>
      </c>
      <c r="AU53" s="3">
        <v>4.6476225831527218</v>
      </c>
      <c r="AV53" s="3"/>
      <c r="AW53" s="3">
        <v>4.141155244888691</v>
      </c>
      <c r="AX53" s="3">
        <v>6.1483317846316083</v>
      </c>
      <c r="AY53" s="3"/>
      <c r="AZ53" s="104">
        <v>3.1467632694815828</v>
      </c>
      <c r="BA53" s="3">
        <v>4.5277656024882864</v>
      </c>
      <c r="BB53" s="3"/>
      <c r="BC53" s="3">
        <v>4.0457245395266677</v>
      </c>
      <c r="BD53" s="105">
        <v>5.9888899757678136</v>
      </c>
      <c r="BE53" s="3"/>
      <c r="BF53" s="104">
        <v>3.0744849797137959</v>
      </c>
      <c r="BG53" s="3">
        <v>4.4111699246598652</v>
      </c>
      <c r="BH53" s="3"/>
      <c r="BI53" s="3">
        <v>3.9525312417323626</v>
      </c>
      <c r="BJ53" s="105">
        <v>5.8338047881761348</v>
      </c>
      <c r="BK53" s="3"/>
      <c r="BL53" s="104">
        <v>3.0038951471916739</v>
      </c>
      <c r="BM53" s="3">
        <v>4.2977408813000135</v>
      </c>
      <c r="BN53" s="3"/>
      <c r="BO53" s="3">
        <v>3.8615214010780061</v>
      </c>
      <c r="BP53" s="105">
        <v>5.6829496657800807</v>
      </c>
      <c r="BQ53" s="3"/>
      <c r="BR53" s="104">
        <v>2.934953184070654</v>
      </c>
      <c r="BS53" s="3">
        <v>4.187386758684668</v>
      </c>
      <c r="BT53" s="3"/>
      <c r="BU53" s="3">
        <v>3.7726424278377313</v>
      </c>
      <c r="BV53" s="105">
        <v>5.5362019843188843</v>
      </c>
    </row>
    <row r="54" spans="1:74" x14ac:dyDescent="0.25">
      <c r="A54">
        <f t="shared" si="0"/>
        <v>49</v>
      </c>
      <c r="B54" s="5" t="s">
        <v>157</v>
      </c>
      <c r="D54" s="104">
        <v>1.0359795930451947</v>
      </c>
      <c r="E54" s="105">
        <v>1.1036643291543773</v>
      </c>
      <c r="F54" s="3"/>
      <c r="G54" s="104">
        <v>1.040869172282435</v>
      </c>
      <c r="H54" s="105">
        <v>1.1146866094989036</v>
      </c>
      <c r="J54" s="104">
        <v>40.479887080945701</v>
      </c>
      <c r="K54" s="3">
        <v>43.124601796560562</v>
      </c>
      <c r="L54" s="3"/>
      <c r="M54" s="3">
        <v>51.608111479614742</v>
      </c>
      <c r="N54" s="105">
        <v>55.26810894178692</v>
      </c>
      <c r="O54" s="3"/>
      <c r="P54" s="104">
        <v>37.888040543078993</v>
      </c>
      <c r="Q54" s="3">
        <v>40.474091628279233</v>
      </c>
      <c r="R54" s="3"/>
      <c r="S54" s="3">
        <v>48.332078640350424</v>
      </c>
      <c r="T54" s="105">
        <v>51.936133217291726</v>
      </c>
      <c r="U54" s="3"/>
      <c r="V54" s="104">
        <v>35.466569177502791</v>
      </c>
      <c r="W54" s="3">
        <v>38.002008881650191</v>
      </c>
      <c r="X54" s="3"/>
      <c r="Y54" s="3">
        <v>45.274379674402269</v>
      </c>
      <c r="Z54" s="105">
        <v>48.837394241400865</v>
      </c>
      <c r="AA54" s="3"/>
      <c r="AB54" s="104">
        <v>34.659210968025327</v>
      </c>
      <c r="AC54" s="3">
        <v>37.11275229164567</v>
      </c>
      <c r="AD54" s="3"/>
      <c r="AE54" s="3">
        <v>44.242037581282993</v>
      </c>
      <c r="AF54" s="105">
        <v>47.690851453043194</v>
      </c>
      <c r="AG54" s="3"/>
      <c r="AH54" s="104">
        <v>33.870421128246534</v>
      </c>
      <c r="AI54" s="3">
        <v>36.244813326917225</v>
      </c>
      <c r="AJ54" s="3"/>
      <c r="AK54" s="3">
        <v>43.233485572138974</v>
      </c>
      <c r="AL54" s="3">
        <v>46.571897745749062</v>
      </c>
      <c r="AM54" s="3"/>
      <c r="AN54" s="3">
        <v>33.099765197682245</v>
      </c>
      <c r="AO54" s="3">
        <v>35.397661814665334</v>
      </c>
      <c r="AP54" s="3"/>
      <c r="AQ54" s="3">
        <v>42.248165875060373</v>
      </c>
      <c r="AR54" s="105">
        <v>45.479844564904504</v>
      </c>
      <c r="AS54" s="3"/>
      <c r="AT54" s="104">
        <v>32.346819177737785</v>
      </c>
      <c r="AU54" s="3">
        <v>34.570781497461098</v>
      </c>
      <c r="AV54" s="3"/>
      <c r="AW54" s="3">
        <v>41.285534166966407</v>
      </c>
      <c r="AX54" s="3">
        <v>44.414021459111829</v>
      </c>
      <c r="AY54" s="3"/>
      <c r="AZ54" s="104">
        <v>31.611169267706188</v>
      </c>
      <c r="BA54" s="3">
        <v>33.763669640089006</v>
      </c>
      <c r="BB54" s="3"/>
      <c r="BC54" s="3">
        <v>40.345059234577221</v>
      </c>
      <c r="BD54" s="105">
        <v>43.373775569910265</v>
      </c>
      <c r="BE54" s="3"/>
      <c r="BF54" s="104">
        <v>30.89241160792357</v>
      </c>
      <c r="BG54" s="3">
        <v>32.975836648553766</v>
      </c>
      <c r="BH54" s="3"/>
      <c r="BI54" s="3">
        <v>39.426222644523449</v>
      </c>
      <c r="BJ54" s="105">
        <v>42.358471137151071</v>
      </c>
      <c r="BK54" s="3"/>
      <c r="BL54" s="104">
        <v>30.19015202986759</v>
      </c>
      <c r="BM54" s="3">
        <v>32.206805700836156</v>
      </c>
      <c r="BN54" s="3"/>
      <c r="BO54" s="3">
        <v>38.528518422323465</v>
      </c>
      <c r="BP54" s="105">
        <v>41.367489019501122</v>
      </c>
      <c r="BQ54" s="3"/>
      <c r="BR54" s="104">
        <v>29.504005812992212</v>
      </c>
      <c r="BS54" s="3">
        <v>31.456112388997756</v>
      </c>
      <c r="BT54" s="3"/>
      <c r="BU54" s="3">
        <v>37.651452739967553</v>
      </c>
      <c r="BV54" s="105">
        <v>40.400226229567792</v>
      </c>
    </row>
    <row r="55" spans="1:74" x14ac:dyDescent="0.25">
      <c r="A55">
        <f t="shared" si="0"/>
        <v>50</v>
      </c>
      <c r="B55" s="5" t="s">
        <v>158</v>
      </c>
      <c r="D55" s="104">
        <v>1.1445218188101927</v>
      </c>
      <c r="E55" s="105">
        <v>1.51239676468871</v>
      </c>
      <c r="F55" s="3"/>
      <c r="G55" s="104">
        <v>1.1476007185194093</v>
      </c>
      <c r="H55" s="105">
        <v>1.5458592945062544</v>
      </c>
      <c r="J55" s="104">
        <v>7.5544530341575715</v>
      </c>
      <c r="K55" s="3">
        <v>9.9826234328412529</v>
      </c>
      <c r="L55" s="3"/>
      <c r="M55" s="3">
        <v>9.6829299028174365</v>
      </c>
      <c r="N55" s="105">
        <v>13.043253587044278</v>
      </c>
      <c r="O55" s="3"/>
      <c r="P55" s="104">
        <v>7.4985870574864828</v>
      </c>
      <c r="Q55" s="3">
        <v>9.8728970945927674</v>
      </c>
      <c r="R55" s="3"/>
      <c r="S55" s="3">
        <v>9.6132801805758081</v>
      </c>
      <c r="T55" s="105">
        <v>12.922241478858895</v>
      </c>
      <c r="U55" s="3"/>
      <c r="V55" s="104">
        <v>7.4436327628353345</v>
      </c>
      <c r="W55" s="3">
        <v>9.7714753845400928</v>
      </c>
      <c r="X55" s="3"/>
      <c r="Y55" s="3">
        <v>9.5450906631070609</v>
      </c>
      <c r="Z55" s="105">
        <v>12.816372231052426</v>
      </c>
      <c r="AA55" s="3"/>
      <c r="AB55" s="104">
        <v>7.2401920188481732</v>
      </c>
      <c r="AC55" s="3">
        <v>9.4928419469433525</v>
      </c>
      <c r="AD55" s="3"/>
      <c r="AE55" s="3">
        <v>9.2841692176216633</v>
      </c>
      <c r="AF55" s="105">
        <v>12.450600630633591</v>
      </c>
      <c r="AG55" s="3"/>
      <c r="AH55" s="104">
        <v>7.0423303683809557</v>
      </c>
      <c r="AI55" s="3">
        <v>9.2223117545159194</v>
      </c>
      <c r="AJ55" s="3"/>
      <c r="AK55" s="3">
        <v>9.0304033391319045</v>
      </c>
      <c r="AL55" s="3">
        <v>12.095472539490141</v>
      </c>
      <c r="AM55" s="3"/>
      <c r="AN55" s="3">
        <v>6.8498940078422423</v>
      </c>
      <c r="AO55" s="3">
        <v>8.9596431280971753</v>
      </c>
      <c r="AP55" s="3"/>
      <c r="AQ55" s="3">
        <v>8.7835958293716452</v>
      </c>
      <c r="AR55" s="105">
        <v>11.750670684896107</v>
      </c>
      <c r="AS55" s="3"/>
      <c r="AT55" s="104">
        <v>6.6627334089196992</v>
      </c>
      <c r="AU55" s="3">
        <v>8.7046018345221068</v>
      </c>
      <c r="AV55" s="3"/>
      <c r="AW55" s="3">
        <v>8.5435549659496495</v>
      </c>
      <c r="AX55" s="3">
        <v>11.415887543295151</v>
      </c>
      <c r="AY55" s="3"/>
      <c r="AZ55" s="104">
        <v>6.4807031981616596</v>
      </c>
      <c r="BA55" s="3">
        <v>8.456960847622506</v>
      </c>
      <c r="BB55" s="3"/>
      <c r="BC55" s="3">
        <v>8.3100943484738572</v>
      </c>
      <c r="BD55" s="105">
        <v>11.090825029195193</v>
      </c>
      <c r="BE55" s="3"/>
      <c r="BF55" s="104">
        <v>6.3036620400221999</v>
      </c>
      <c r="BG55" s="3">
        <v>8.2165001172884988</v>
      </c>
      <c r="BH55" s="3"/>
      <c r="BI55" s="3">
        <v>8.0830327490812</v>
      </c>
      <c r="BJ55" s="105">
        <v>10.775194194452045</v>
      </c>
      <c r="BK55" s="3"/>
      <c r="BL55" s="104">
        <v>6.1314725232667673</v>
      </c>
      <c r="BM55" s="3">
        <v>7.9830063463030241</v>
      </c>
      <c r="BN55" s="3"/>
      <c r="BO55" s="3">
        <v>7.8621939672431402</v>
      </c>
      <c r="BP55" s="105">
        <v>10.468714937576788</v>
      </c>
      <c r="BQ55" s="3"/>
      <c r="BR55" s="104">
        <v>5.9640010506387231</v>
      </c>
      <c r="BS55" s="3">
        <v>7.7562727746724596</v>
      </c>
      <c r="BT55" s="3"/>
      <c r="BU55" s="3">
        <v>7.6474066887210776</v>
      </c>
      <c r="BV55" s="105">
        <v>10.171115722714962</v>
      </c>
    </row>
    <row r="56" spans="1:74" x14ac:dyDescent="0.25">
      <c r="A56">
        <f t="shared" si="0"/>
        <v>51</v>
      </c>
      <c r="B56" s="5" t="s">
        <v>12</v>
      </c>
      <c r="D56" s="104">
        <v>1.9185925561023565</v>
      </c>
      <c r="E56" s="105">
        <v>2.7334316260121567</v>
      </c>
      <c r="F56" s="3"/>
      <c r="G56" s="104">
        <v>2.2940977617734317</v>
      </c>
      <c r="H56" s="105">
        <v>3.4207842936855006</v>
      </c>
      <c r="J56" s="104">
        <v>5.7700343515364922</v>
      </c>
      <c r="K56" s="3">
        <v>8.220606469831921</v>
      </c>
      <c r="L56" s="3"/>
      <c r="M56" s="3">
        <v>6.9052317506439493</v>
      </c>
      <c r="N56" s="105">
        <v>10.29655697785129</v>
      </c>
      <c r="O56" s="3"/>
      <c r="P56" s="104">
        <v>5.5305448907814094</v>
      </c>
      <c r="Q56" s="3">
        <v>7.926759744679571</v>
      </c>
      <c r="R56" s="3"/>
      <c r="S56" s="3">
        <v>6.6706823403756346</v>
      </c>
      <c r="T56" s="105">
        <v>10.010171324545368</v>
      </c>
      <c r="U56" s="3"/>
      <c r="V56" s="104">
        <v>5.3081201010589796</v>
      </c>
      <c r="W56" s="3">
        <v>7.6574388422897766</v>
      </c>
      <c r="X56" s="3"/>
      <c r="Y56" s="3">
        <v>6.4596794130887352</v>
      </c>
      <c r="Z56" s="105">
        <v>9.761141042736492</v>
      </c>
      <c r="AA56" s="3"/>
      <c r="AB56" s="104">
        <v>5.14471185354647</v>
      </c>
      <c r="AC56" s="3">
        <v>7.4181441913522592</v>
      </c>
      <c r="AD56" s="3"/>
      <c r="AE56" s="3">
        <v>6.2597215834104043</v>
      </c>
      <c r="AF56" s="105">
        <v>9.455365735661136</v>
      </c>
      <c r="AG56" s="3"/>
      <c r="AH56" s="104">
        <v>4.9865523956353792</v>
      </c>
      <c r="AI56" s="3">
        <v>7.1866457688852137</v>
      </c>
      <c r="AJ56" s="3"/>
      <c r="AK56" s="3">
        <v>6.0662062648978825</v>
      </c>
      <c r="AL56" s="3">
        <v>9.1595530609529661</v>
      </c>
      <c r="AM56" s="3"/>
      <c r="AN56" s="3">
        <v>4.8334646770271661</v>
      </c>
      <c r="AO56" s="3">
        <v>6.9626778383019126</v>
      </c>
      <c r="AP56" s="3"/>
      <c r="AQ56" s="3">
        <v>5.8789163873909089</v>
      </c>
      <c r="AR56" s="105">
        <v>8.8733647662136352</v>
      </c>
      <c r="AS56" s="3"/>
      <c r="AT56" s="104">
        <v>4.6852779530209299</v>
      </c>
      <c r="AU56" s="3">
        <v>6.7459841685820789</v>
      </c>
      <c r="AV56" s="3"/>
      <c r="AW56" s="3">
        <v>5.6976425623287072</v>
      </c>
      <c r="AX56" s="3">
        <v>8.5964745933634035</v>
      </c>
      <c r="AY56" s="3"/>
      <c r="AZ56" s="104">
        <v>4.5418275467640559</v>
      </c>
      <c r="BA56" s="3">
        <v>6.5363176768480882</v>
      </c>
      <c r="BB56" s="3"/>
      <c r="BC56" s="3">
        <v>5.5221827964659669</v>
      </c>
      <c r="BD56" s="105">
        <v>8.3285678336768942</v>
      </c>
      <c r="BE56" s="3"/>
      <c r="BF56" s="104">
        <v>4.4029546209830137</v>
      </c>
      <c r="BG56" s="3">
        <v>6.3334400850607295</v>
      </c>
      <c r="BH56" s="3"/>
      <c r="BI56" s="3">
        <v>5.3523422168269787</v>
      </c>
      <c r="BJ56" s="105">
        <v>8.0693409000957335</v>
      </c>
      <c r="BK56" s="3"/>
      <c r="BL56" s="104">
        <v>4.2685059587964442</v>
      </c>
      <c r="BM56" s="3">
        <v>6.1371215902501897</v>
      </c>
      <c r="BN56" s="3"/>
      <c r="BO56" s="3">
        <v>5.1879328064345804</v>
      </c>
      <c r="BP56" s="105">
        <v>7.8185009161169408</v>
      </c>
      <c r="BQ56" s="3"/>
      <c r="BR56" s="104">
        <v>4.1383337532300901</v>
      </c>
      <c r="BS56" s="3">
        <v>5.9471405477233095</v>
      </c>
      <c r="BT56" s="3"/>
      <c r="BU56" s="3">
        <v>5.0287731503704602</v>
      </c>
      <c r="BV56" s="105">
        <v>7.5757653205856865</v>
      </c>
    </row>
    <row r="57" spans="1:74" x14ac:dyDescent="0.25">
      <c r="A57">
        <f t="shared" si="0"/>
        <v>52</v>
      </c>
      <c r="B57" s="5" t="s">
        <v>20</v>
      </c>
      <c r="D57" s="104">
        <v>1.1641036529709967</v>
      </c>
      <c r="E57" s="105">
        <v>1.5153295908685118</v>
      </c>
      <c r="F57" s="3"/>
      <c r="G57" s="104">
        <v>1.1930929419624352</v>
      </c>
      <c r="H57" s="105">
        <v>1.6037169023789071</v>
      </c>
      <c r="J57" s="104">
        <v>11.112472540615421</v>
      </c>
      <c r="K57" s="3">
        <v>14.465256960178854</v>
      </c>
      <c r="L57" s="3"/>
      <c r="M57" s="3">
        <v>13.48147998683551</v>
      </c>
      <c r="N57" s="105">
        <v>18.121368892191299</v>
      </c>
      <c r="O57" s="3"/>
      <c r="P57" s="104">
        <v>10.926594069058829</v>
      </c>
      <c r="Q57" s="3">
        <v>14.20500883926543</v>
      </c>
      <c r="R57" s="3"/>
      <c r="S57" s="3">
        <v>13.274512420360084</v>
      </c>
      <c r="T57" s="105">
        <v>17.843480846890671</v>
      </c>
      <c r="U57" s="3"/>
      <c r="V57" s="104">
        <v>10.747548889049122</v>
      </c>
      <c r="W57" s="3">
        <v>13.96180208869211</v>
      </c>
      <c r="X57" s="3"/>
      <c r="Y57" s="3">
        <v>13.07800843111516</v>
      </c>
      <c r="Z57" s="105">
        <v>17.594949202223312</v>
      </c>
      <c r="AA57" s="3"/>
      <c r="AB57" s="104">
        <v>10.447546858860388</v>
      </c>
      <c r="AC57" s="3">
        <v>13.557975017338281</v>
      </c>
      <c r="AD57" s="3"/>
      <c r="AE57" s="3">
        <v>12.712081607344837</v>
      </c>
      <c r="AF57" s="105">
        <v>17.084246721011393</v>
      </c>
      <c r="AG57" s="3"/>
      <c r="AH57" s="104">
        <v>10.156038004389023</v>
      </c>
      <c r="AI57" s="3">
        <v>13.166126435717336</v>
      </c>
      <c r="AJ57" s="3"/>
      <c r="AK57" s="3">
        <v>12.356541417785088</v>
      </c>
      <c r="AL57" s="3">
        <v>16.58874697692368</v>
      </c>
      <c r="AM57" s="3"/>
      <c r="AN57" s="3">
        <v>9.8727771910340447</v>
      </c>
      <c r="AO57" s="3">
        <v>12.785889871846305</v>
      </c>
      <c r="AP57" s="3"/>
      <c r="AQ57" s="3">
        <v>12.011087391804267</v>
      </c>
      <c r="AR57" s="105">
        <v>16.107983702159444</v>
      </c>
      <c r="AS57" s="3"/>
      <c r="AT57" s="104">
        <v>9.5975265543710684</v>
      </c>
      <c r="AU57" s="3">
        <v>12.416910502000729</v>
      </c>
      <c r="AV57" s="3"/>
      <c r="AW57" s="3">
        <v>11.675427979713675</v>
      </c>
      <c r="AX57" s="3">
        <v>15.641505450367752</v>
      </c>
      <c r="AY57" s="3"/>
      <c r="AZ57" s="104">
        <v>9.3300552761925637</v>
      </c>
      <c r="BA57" s="3">
        <v>12.058844763020728</v>
      </c>
      <c r="BB57" s="3"/>
      <c r="BC57" s="3">
        <v>11.349280278335595</v>
      </c>
      <c r="BD57" s="105">
        <v>15.18887510511491</v>
      </c>
      <c r="BE57" s="3"/>
      <c r="BF57" s="104">
        <v>9.0701393678073678</v>
      </c>
      <c r="BG57" s="3">
        <v>11.711359978223681</v>
      </c>
      <c r="BH57" s="3"/>
      <c r="BI57" s="3">
        <v>11.032369765419711</v>
      </c>
      <c r="BJ57" s="105">
        <v>14.749669405462232</v>
      </c>
      <c r="BK57" s="3"/>
      <c r="BL57" s="104">
        <v>8.817561460348605</v>
      </c>
      <c r="BM57" s="3">
        <v>11.374133996417717</v>
      </c>
      <c r="BN57" s="3"/>
      <c r="BO57" s="3">
        <v>10.724430042605295</v>
      </c>
      <c r="BP57" s="105">
        <v>14.323478488026392</v>
      </c>
      <c r="BQ57" s="3"/>
      <c r="BR57" s="104">
        <v>8.5721106018487614</v>
      </c>
      <c r="BS57" s="3">
        <v>11.046854843530465</v>
      </c>
      <c r="BT57" s="3"/>
      <c r="BU57" s="3">
        <v>10.425202586637925</v>
      </c>
      <c r="BV57" s="105">
        <v>13.909905444918868</v>
      </c>
    </row>
    <row r="58" spans="1:74" x14ac:dyDescent="0.25">
      <c r="A58">
        <f t="shared" si="0"/>
        <v>53</v>
      </c>
      <c r="B58" s="5" t="s">
        <v>21</v>
      </c>
      <c r="D58" s="104">
        <v>1.0387485173253219</v>
      </c>
      <c r="E58" s="105">
        <v>1.1520803199490024</v>
      </c>
      <c r="F58" s="3"/>
      <c r="G58" s="104">
        <v>1.0496038394637133</v>
      </c>
      <c r="H58" s="105">
        <v>1.1887636240497415</v>
      </c>
      <c r="J58" s="104">
        <v>18.81683556898961</v>
      </c>
      <c r="K58" s="3">
        <v>20.869830937106315</v>
      </c>
      <c r="L58" s="3"/>
      <c r="M58" s="3">
        <v>21.428984216257806</v>
      </c>
      <c r="N58" s="105">
        <v>24.270106471446478</v>
      </c>
      <c r="O58" s="3"/>
      <c r="P58" s="104">
        <v>20.047607143451209</v>
      </c>
      <c r="Q58" s="3">
        <v>22.055064079461413</v>
      </c>
      <c r="R58" s="3"/>
      <c r="S58" s="3">
        <v>22.817009255227124</v>
      </c>
      <c r="T58" s="105">
        <v>25.614705093350874</v>
      </c>
      <c r="U58" s="3"/>
      <c r="V58" s="104">
        <v>21.366872610783233</v>
      </c>
      <c r="W58" s="3">
        <v>23.335041781552825</v>
      </c>
      <c r="X58" s="3"/>
      <c r="Y58" s="3">
        <v>24.306196461706641</v>
      </c>
      <c r="Z58" s="105">
        <v>27.072034440144275</v>
      </c>
      <c r="AA58" s="3"/>
      <c r="AB58" s="104">
        <v>20.782334811351408</v>
      </c>
      <c r="AC58" s="3">
        <v>22.686929262743661</v>
      </c>
      <c r="AD58" s="3"/>
      <c r="AE58" s="3">
        <v>23.640363347945815</v>
      </c>
      <c r="AF58" s="105">
        <v>26.317551500761095</v>
      </c>
      <c r="AG58" s="3"/>
      <c r="AH58" s="104">
        <v>20.213853466205276</v>
      </c>
      <c r="AI58" s="3">
        <v>22.057007344838301</v>
      </c>
      <c r="AJ58" s="3"/>
      <c r="AK58" s="3">
        <v>22.992850790233078</v>
      </c>
      <c r="AL58" s="3">
        <v>25.584338140010441</v>
      </c>
      <c r="AM58" s="3"/>
      <c r="AN58" s="3">
        <v>19.660984893240592</v>
      </c>
      <c r="AO58" s="3">
        <v>21.444758047760413</v>
      </c>
      <c r="AP58" s="3"/>
      <c r="AQ58" s="3">
        <v>22.363151488833665</v>
      </c>
      <c r="AR58" s="105">
        <v>24.871785536324488</v>
      </c>
      <c r="AS58" s="3"/>
      <c r="AT58" s="104">
        <v>19.123297781740057</v>
      </c>
      <c r="AU58" s="3">
        <v>20.849678443631806</v>
      </c>
      <c r="AV58" s="3"/>
      <c r="AW58" s="3">
        <v>21.750772323974978</v>
      </c>
      <c r="AX58" s="3">
        <v>24.179302661128311</v>
      </c>
      <c r="AY58" s="3"/>
      <c r="AZ58" s="104">
        <v>18.600372842573051</v>
      </c>
      <c r="BA58" s="3">
        <v>20.271280206713463</v>
      </c>
      <c r="BB58" s="3"/>
      <c r="BC58" s="3">
        <v>21.155233953821252</v>
      </c>
      <c r="BD58" s="105">
        <v>23.506315743878357</v>
      </c>
      <c r="BE58" s="3"/>
      <c r="BF58" s="104">
        <v>18.091802468500777</v>
      </c>
      <c r="BG58" s="3">
        <v>19.709089177338772</v>
      </c>
      <c r="BH58" s="3"/>
      <c r="BI58" s="3">
        <v>20.576070424093377</v>
      </c>
      <c r="BJ58" s="105">
        <v>22.852267753805052</v>
      </c>
      <c r="BK58" s="3"/>
      <c r="BL58" s="104">
        <v>17.597190404285211</v>
      </c>
      <c r="BM58" s="3">
        <v>19.162644939381053</v>
      </c>
      <c r="BN58" s="3"/>
      <c r="BO58" s="3">
        <v>20.012828788985832</v>
      </c>
      <c r="BP58" s="105">
        <v>22.216617897812345</v>
      </c>
      <c r="BQ58" s="3"/>
      <c r="BR58" s="104">
        <v>17.116151426309806</v>
      </c>
      <c r="BS58" s="3">
        <v>18.631500410813729</v>
      </c>
      <c r="BT58" s="3"/>
      <c r="BU58" s="3">
        <v>19.465068743043197</v>
      </c>
      <c r="BV58" s="105">
        <v>21.598841134005731</v>
      </c>
    </row>
    <row r="59" spans="1:74" x14ac:dyDescent="0.25">
      <c r="A59">
        <f t="shared" si="0"/>
        <v>54</v>
      </c>
      <c r="B59" s="5" t="s">
        <v>159</v>
      </c>
      <c r="D59" s="104">
        <v>1.0407009349463821</v>
      </c>
      <c r="E59" s="105">
        <v>1.3926349140539076</v>
      </c>
      <c r="F59" s="3"/>
      <c r="G59" s="104">
        <v>1.033227930791895</v>
      </c>
      <c r="H59" s="105">
        <v>1.3017365737082192</v>
      </c>
      <c r="J59" s="104">
        <v>9.0461186237675388</v>
      </c>
      <c r="K59" s="3">
        <v>12.105245809912738</v>
      </c>
      <c r="L59" s="3"/>
      <c r="M59" s="3">
        <v>16.29061028325048</v>
      </c>
      <c r="N59" s="105">
        <v>20.524109522940812</v>
      </c>
      <c r="O59" s="3"/>
      <c r="P59" s="104">
        <v>8.7163729569987503</v>
      </c>
      <c r="Q59" s="3">
        <v>11.707644239601786</v>
      </c>
      <c r="R59" s="3"/>
      <c r="S59" s="3">
        <v>15.699377233486878</v>
      </c>
      <c r="T59" s="105">
        <v>19.868167640851848</v>
      </c>
      <c r="U59" s="3"/>
      <c r="V59" s="104">
        <v>8.3992600120940093</v>
      </c>
      <c r="W59" s="3">
        <v>11.331989384375689</v>
      </c>
      <c r="X59" s="3"/>
      <c r="Y59" s="3">
        <v>15.131045009610677</v>
      </c>
      <c r="Z59" s="105">
        <v>19.252364659772915</v>
      </c>
      <c r="AA59" s="3"/>
      <c r="AB59" s="104">
        <v>8.2544321208558884</v>
      </c>
      <c r="AC59" s="3">
        <v>11.092430079994053</v>
      </c>
      <c r="AD59" s="3"/>
      <c r="AE59" s="3">
        <v>14.871996262396237</v>
      </c>
      <c r="AF59" s="105">
        <v>18.861220586957664</v>
      </c>
      <c r="AG59" s="3"/>
      <c r="AH59" s="104">
        <v>8.1121833825075029</v>
      </c>
      <c r="AI59" s="3">
        <v>10.858629977536898</v>
      </c>
      <c r="AJ59" s="3"/>
      <c r="AK59" s="3">
        <v>14.61749259819072</v>
      </c>
      <c r="AL59" s="3">
        <v>18.47901587650562</v>
      </c>
      <c r="AM59" s="3"/>
      <c r="AN59" s="3">
        <v>7.9724648610996987</v>
      </c>
      <c r="AO59" s="3">
        <v>10.630429431138321</v>
      </c>
      <c r="AP59" s="3"/>
      <c r="AQ59" s="3">
        <v>14.367450287662191</v>
      </c>
      <c r="AR59" s="105">
        <v>18.105515523439383</v>
      </c>
      <c r="AS59" s="3"/>
      <c r="AT59" s="104">
        <v>7.835228659562878</v>
      </c>
      <c r="AU59" s="3">
        <v>10.407673828434874</v>
      </c>
      <c r="AV59" s="3"/>
      <c r="AW59" s="3">
        <v>14.121787289113509</v>
      </c>
      <c r="AX59" s="3">
        <v>17.740491594120893</v>
      </c>
      <c r="AY59" s="3"/>
      <c r="AZ59" s="104">
        <v>7.7004278936961583</v>
      </c>
      <c r="BA59" s="3">
        <v>10.190213415161384</v>
      </c>
      <c r="BB59" s="3"/>
      <c r="BC59" s="3">
        <v>13.880423209244343</v>
      </c>
      <c r="BD59" s="105">
        <v>17.383722988927911</v>
      </c>
      <c r="BE59" s="3"/>
      <c r="BF59" s="104">
        <v>7.5680166669407907</v>
      </c>
      <c r="BG59" s="3">
        <v>9.977903126322401</v>
      </c>
      <c r="BH59" s="3"/>
      <c r="BI59" s="3">
        <v>13.643279265004944</v>
      </c>
      <c r="BJ59" s="105">
        <v>17.034995213560482</v>
      </c>
      <c r="BK59" s="3"/>
      <c r="BL59" s="104">
        <v>7.4379500459101564</v>
      </c>
      <c r="BM59" s="3">
        <v>9.7706024236790636</v>
      </c>
      <c r="BN59" s="3"/>
      <c r="BO59" s="3">
        <v>13.410278246505563</v>
      </c>
      <c r="BP59" s="105">
        <v>16.694100158644755</v>
      </c>
      <c r="BQ59" s="3"/>
      <c r="BR59" s="104">
        <v>7.3101840366497575</v>
      </c>
      <c r="BS59" s="3">
        <v>9.5681751393018484</v>
      </c>
      <c r="BT59" s="3"/>
      <c r="BU59" s="3">
        <v>13.181344480946892</v>
      </c>
      <c r="BV59" s="105">
        <v>16.36083588731449</v>
      </c>
    </row>
    <row r="60" spans="1:74" x14ac:dyDescent="0.25">
      <c r="A60">
        <f t="shared" si="0"/>
        <v>55</v>
      </c>
      <c r="B60" s="5" t="s">
        <v>59</v>
      </c>
      <c r="D60" s="104">
        <v>1.8114373319279657</v>
      </c>
      <c r="E60" s="105">
        <v>2.5046132017970084</v>
      </c>
      <c r="F60" s="3"/>
      <c r="G60" s="104">
        <v>2.0928154019327989</v>
      </c>
      <c r="H60" s="105">
        <v>3.017428929023485</v>
      </c>
      <c r="J60" s="104">
        <v>5.5234841518966382</v>
      </c>
      <c r="K60" s="3">
        <v>7.6371349330825256</v>
      </c>
      <c r="L60" s="3"/>
      <c r="M60" s="3">
        <v>6.6207298426029659</v>
      </c>
      <c r="N60" s="105">
        <v>9.5457925911044015</v>
      </c>
      <c r="O60" s="3"/>
      <c r="P60" s="104">
        <v>5.3010124572591879</v>
      </c>
      <c r="Q60" s="3">
        <v>7.3677793807945902</v>
      </c>
      <c r="R60" s="3"/>
      <c r="S60" s="3">
        <v>6.3904877687901154</v>
      </c>
      <c r="T60" s="105">
        <v>9.270841073822325</v>
      </c>
      <c r="U60" s="3"/>
      <c r="V60" s="104">
        <v>5.0988380624494578</v>
      </c>
      <c r="W60" s="3">
        <v>7.1251564701326089</v>
      </c>
      <c r="X60" s="3"/>
      <c r="Y60" s="3">
        <v>6.1887405810467007</v>
      </c>
      <c r="Z60" s="105">
        <v>9.0362947911280873</v>
      </c>
      <c r="AA60" s="3"/>
      <c r="AB60" s="104">
        <v>4.8766096353516808</v>
      </c>
      <c r="AC60" s="3">
        <v>6.837475018949899</v>
      </c>
      <c r="AD60" s="3"/>
      <c r="AE60" s="3">
        <v>5.9287247161710841</v>
      </c>
      <c r="AF60" s="105">
        <v>8.6850099560011831</v>
      </c>
      <c r="AG60" s="3"/>
      <c r="AH60" s="104">
        <v>4.664479816284862</v>
      </c>
      <c r="AI60" s="3">
        <v>6.5620893754297738</v>
      </c>
      <c r="AJ60" s="3"/>
      <c r="AK60" s="3">
        <v>5.6801752048692791</v>
      </c>
      <c r="AL60" s="3">
        <v>8.3482276254234584</v>
      </c>
      <c r="AM60" s="3"/>
      <c r="AN60" s="3">
        <v>4.4619751914245009</v>
      </c>
      <c r="AO60" s="3">
        <v>6.2984496326541874</v>
      </c>
      <c r="AP60" s="3"/>
      <c r="AQ60" s="3">
        <v>5.4425669922668822</v>
      </c>
      <c r="AR60" s="105">
        <v>8.0253182232414488</v>
      </c>
      <c r="AS60" s="3"/>
      <c r="AT60" s="104">
        <v>4.26864505519152</v>
      </c>
      <c r="AU60" s="3">
        <v>6.0460313519658087</v>
      </c>
      <c r="AV60" s="3"/>
      <c r="AW60" s="3">
        <v>5.2153997650309689</v>
      </c>
      <c r="AX60" s="3">
        <v>7.7156806346203375</v>
      </c>
      <c r="AY60" s="3"/>
      <c r="AZ60" s="104">
        <v>4.0840603026088189</v>
      </c>
      <c r="BA60" s="3">
        <v>5.804334352103834</v>
      </c>
      <c r="BB60" s="3"/>
      <c r="BC60" s="3">
        <v>4.9981967603125472</v>
      </c>
      <c r="BD60" s="105">
        <v>7.4187408781225761</v>
      </c>
      <c r="BE60" s="3"/>
      <c r="BF60" s="104">
        <v>3.9078123763452393</v>
      </c>
      <c r="BG60" s="3">
        <v>5.5728815570286834</v>
      </c>
      <c r="BH60" s="3"/>
      <c r="BI60" s="3">
        <v>4.7905036329339961</v>
      </c>
      <c r="BJ60" s="105">
        <v>7.1339508412400328</v>
      </c>
      <c r="BK60" s="3"/>
      <c r="BL60" s="104">
        <v>3.7395122657230946</v>
      </c>
      <c r="BM60" s="3">
        <v>5.3512178995510142</v>
      </c>
      <c r="BN60" s="3"/>
      <c r="BO60" s="3">
        <v>4.5918873779404867</v>
      </c>
      <c r="BP60" s="105">
        <v>6.8607870762934997</v>
      </c>
      <c r="BQ60" s="3"/>
      <c r="BR60" s="104">
        <v>3.5787895551020417</v>
      </c>
      <c r="BS60" s="3">
        <v>5.138909278023835</v>
      </c>
      <c r="BT60" s="3"/>
      <c r="BU60" s="3">
        <v>4.4019353057781236</v>
      </c>
      <c r="BV60" s="105">
        <v>6.5987496537657195</v>
      </c>
    </row>
    <row r="61" spans="1:74" x14ac:dyDescent="0.25">
      <c r="A61">
        <f t="shared" si="0"/>
        <v>56</v>
      </c>
      <c r="B61" s="5" t="s">
        <v>160</v>
      </c>
      <c r="D61" s="104">
        <v>1.2488868763668157</v>
      </c>
      <c r="E61" s="105">
        <v>1.5504265515058815</v>
      </c>
      <c r="F61" s="3"/>
      <c r="G61" s="104">
        <v>1.3361087846574979</v>
      </c>
      <c r="H61" s="105">
        <v>1.7283647008298011</v>
      </c>
      <c r="J61" s="104">
        <v>10.576312126254606</v>
      </c>
      <c r="K61" s="3">
        <v>13.129928296838393</v>
      </c>
      <c r="L61" s="3"/>
      <c r="M61" s="3">
        <v>12.037322308266216</v>
      </c>
      <c r="N61" s="105">
        <v>15.571249294234386</v>
      </c>
      <c r="O61" s="3"/>
      <c r="P61" s="104">
        <v>10.125832861558157</v>
      </c>
      <c r="Q61" s="3">
        <v>12.622806100347669</v>
      </c>
      <c r="R61" s="3"/>
      <c r="S61" s="3">
        <v>11.564138927009809</v>
      </c>
      <c r="T61" s="105">
        <v>15.044050008914228</v>
      </c>
      <c r="U61" s="3"/>
      <c r="V61" s="104">
        <v>9.7025332648738605</v>
      </c>
      <c r="W61" s="3">
        <v>12.150638457401501</v>
      </c>
      <c r="X61" s="3"/>
      <c r="Y61" s="3">
        <v>11.125827462713112</v>
      </c>
      <c r="Z61" s="105">
        <v>14.56611217871429</v>
      </c>
      <c r="AA61" s="3"/>
      <c r="AB61" s="104">
        <v>9.3907946025975804</v>
      </c>
      <c r="AC61" s="3">
        <v>11.759822446016912</v>
      </c>
      <c r="AD61" s="3"/>
      <c r="AE61" s="3">
        <v>10.771355635394409</v>
      </c>
      <c r="AF61" s="105">
        <v>14.101373357254086</v>
      </c>
      <c r="AG61" s="3"/>
      <c r="AH61" s="104">
        <v>9.0892588177019267</v>
      </c>
      <c r="AI61" s="3">
        <v>11.381863868082128</v>
      </c>
      <c r="AJ61" s="3"/>
      <c r="AK61" s="3">
        <v>10.428433947423798</v>
      </c>
      <c r="AL61" s="3">
        <v>13.651852813841145</v>
      </c>
      <c r="AM61" s="3"/>
      <c r="AN61" s="3">
        <v>8.7975863876590683</v>
      </c>
      <c r="AO61" s="3">
        <v>11.016330785613382</v>
      </c>
      <c r="AP61" s="3"/>
      <c r="AQ61" s="3">
        <v>10.096678849949175</v>
      </c>
      <c r="AR61" s="105">
        <v>13.217040721796062</v>
      </c>
      <c r="AS61" s="3"/>
      <c r="AT61" s="104">
        <v>8.5154492915675739</v>
      </c>
      <c r="AU61" s="3">
        <v>10.662806096777532</v>
      </c>
      <c r="AV61" s="3"/>
      <c r="AW61" s="3">
        <v>9.7757197766644062</v>
      </c>
      <c r="AX61" s="3">
        <v>12.796444731049945</v>
      </c>
      <c r="AY61" s="3"/>
      <c r="AZ61" s="104">
        <v>8.242530612124332</v>
      </c>
      <c r="BA61" s="3">
        <v>10.320887013157346</v>
      </c>
      <c r="BB61" s="3"/>
      <c r="BC61" s="3">
        <v>9.4651986946325604</v>
      </c>
      <c r="BD61" s="105">
        <v>12.389589353615097</v>
      </c>
      <c r="BE61" s="3"/>
      <c r="BF61" s="104">
        <v>7.9785241517396104</v>
      </c>
      <c r="BG61" s="3">
        <v>9.9901845559944391</v>
      </c>
      <c r="BH61" s="3"/>
      <c r="BI61" s="3">
        <v>9.1647696710668036</v>
      </c>
      <c r="BJ61" s="105">
        <v>11.99601537130598</v>
      </c>
      <c r="BK61" s="3"/>
      <c r="BL61" s="104">
        <v>7.7231340622763227</v>
      </c>
      <c r="BM61" s="3">
        <v>9.67032307069654</v>
      </c>
      <c r="BN61" s="3"/>
      <c r="BO61" s="3">
        <v>8.8740984554837539</v>
      </c>
      <c r="BP61" s="105">
        <v>11.615279264877534</v>
      </c>
      <c r="BQ61" s="3"/>
      <c r="BR61" s="104">
        <v>7.4760744879141123</v>
      </c>
      <c r="BS61" s="3">
        <v>9.3609397589238039</v>
      </c>
      <c r="BT61" s="3"/>
      <c r="BU61" s="3">
        <v>8.5928620766662025</v>
      </c>
      <c r="BV61" s="105">
        <v>11.246952663780192</v>
      </c>
    </row>
    <row r="62" spans="1:74" x14ac:dyDescent="0.25">
      <c r="A62">
        <f t="shared" si="0"/>
        <v>57</v>
      </c>
      <c r="B62" s="5" t="s">
        <v>161</v>
      </c>
      <c r="D62" s="104">
        <v>1.0961496510989543</v>
      </c>
      <c r="E62" s="105">
        <v>1.5744422423030624</v>
      </c>
      <c r="F62" s="3"/>
      <c r="G62" s="104">
        <v>1.0291744411898707</v>
      </c>
      <c r="H62" s="105">
        <v>1.1694702432210076</v>
      </c>
      <c r="J62" s="104">
        <v>4.9470207852568979</v>
      </c>
      <c r="K62" s="3">
        <v>7.1055977530540648</v>
      </c>
      <c r="L62" s="3"/>
      <c r="M62" s="3">
        <v>21.913603909286216</v>
      </c>
      <c r="N62" s="105">
        <v>24.900839612780313</v>
      </c>
      <c r="O62" s="3"/>
      <c r="P62" s="104">
        <v>5.6283073005896789</v>
      </c>
      <c r="Q62" s="3">
        <v>7.739003882380489</v>
      </c>
      <c r="R62" s="3"/>
      <c r="S62" s="3">
        <v>25.172524774360781</v>
      </c>
      <c r="T62" s="105">
        <v>28.114100723757964</v>
      </c>
      <c r="U62" s="3"/>
      <c r="V62" s="104">
        <v>6.4175671259118525</v>
      </c>
      <c r="W62" s="3">
        <v>8.4869554483263112</v>
      </c>
      <c r="X62" s="3"/>
      <c r="Y62" s="3">
        <v>28.936251118404812</v>
      </c>
      <c r="Z62" s="105">
        <v>31.844330819719936</v>
      </c>
      <c r="AA62" s="3"/>
      <c r="AB62" s="104">
        <v>6.1856480051708864</v>
      </c>
      <c r="AC62" s="3">
        <v>8.1881920827744139</v>
      </c>
      <c r="AD62" s="3"/>
      <c r="AE62" s="3">
        <v>27.891184901667106</v>
      </c>
      <c r="AF62" s="105">
        <v>30.706055687482738</v>
      </c>
      <c r="AG62" s="3"/>
      <c r="AH62" s="104">
        <v>5.9621374490563896</v>
      </c>
      <c r="AI62" s="3">
        <v>7.9000811835193545</v>
      </c>
      <c r="AJ62" s="3"/>
      <c r="AK62" s="3">
        <v>26.883898766089693</v>
      </c>
      <c r="AL62" s="3">
        <v>29.608661321544794</v>
      </c>
      <c r="AM62" s="3"/>
      <c r="AN62" s="3">
        <v>5.7467295400164833</v>
      </c>
      <c r="AO62" s="3">
        <v>7.6222387140354888</v>
      </c>
      <c r="AP62" s="3"/>
      <c r="AQ62" s="3">
        <v>25.913025620417443</v>
      </c>
      <c r="AR62" s="105">
        <v>28.550673887745468</v>
      </c>
      <c r="AS62" s="3"/>
      <c r="AT62" s="104">
        <v>5.5391295353115009</v>
      </c>
      <c r="AU62" s="3">
        <v>7.354294631289509</v>
      </c>
      <c r="AV62" s="3"/>
      <c r="AW62" s="3">
        <v>24.977247895535584</v>
      </c>
      <c r="AX62" s="3">
        <v>27.530672872906443</v>
      </c>
      <c r="AY62" s="3"/>
      <c r="AZ62" s="104">
        <v>5.3390534567507908</v>
      </c>
      <c r="BA62" s="3">
        <v>7.095892370062522</v>
      </c>
      <c r="BB62" s="3"/>
      <c r="BC62" s="3">
        <v>24.075295748192158</v>
      </c>
      <c r="BD62" s="105">
        <v>26.547289148781317</v>
      </c>
      <c r="BE62" s="3"/>
      <c r="BF62" s="104">
        <v>5.1462276955894355</v>
      </c>
      <c r="BG62" s="3">
        <v>6.8466883465185493</v>
      </c>
      <c r="BH62" s="3"/>
      <c r="BI62" s="3">
        <v>23.205945329986179</v>
      </c>
      <c r="BJ62" s="105">
        <v>25.599203106590053</v>
      </c>
      <c r="BK62" s="3"/>
      <c r="BL62" s="104">
        <v>4.9603886320199546</v>
      </c>
      <c r="BM62" s="3">
        <v>6.6063514802904502</v>
      </c>
      <c r="BN62" s="3"/>
      <c r="BO62" s="3">
        <v>22.368017119244747</v>
      </c>
      <c r="BP62" s="105">
        <v>24.685142859552187</v>
      </c>
      <c r="BQ62" s="3"/>
      <c r="BR62" s="104">
        <v>4.7812822687153904</v>
      </c>
      <c r="BS62" s="3">
        <v>6.3745627343823008</v>
      </c>
      <c r="BT62" s="3"/>
      <c r="BU62" s="3">
        <v>21.560374313499278</v>
      </c>
      <c r="BV62" s="105">
        <v>23.803882510928105</v>
      </c>
    </row>
    <row r="63" spans="1:74" x14ac:dyDescent="0.25">
      <c r="A63">
        <f t="shared" si="0"/>
        <v>58</v>
      </c>
      <c r="B63" s="5" t="s">
        <v>162</v>
      </c>
      <c r="D63" s="104">
        <v>1.208859733316457</v>
      </c>
      <c r="E63" s="105">
        <v>1.7057073129655176</v>
      </c>
      <c r="F63" s="3"/>
      <c r="G63" s="104">
        <v>1.0966587885097825</v>
      </c>
      <c r="H63" s="105">
        <v>1.3028240599045202</v>
      </c>
      <c r="J63" s="104">
        <v>7.5987907910494936</v>
      </c>
      <c r="K63" s="3">
        <v>10.72193296275104</v>
      </c>
      <c r="L63" s="3"/>
      <c r="M63" s="3">
        <v>22.990569031795641</v>
      </c>
      <c r="N63" s="105">
        <v>27.312658047651205</v>
      </c>
      <c r="O63" s="3"/>
      <c r="P63" s="104">
        <v>7.490799538763639</v>
      </c>
      <c r="Q63" s="3">
        <v>10.544665861160444</v>
      </c>
      <c r="R63" s="3"/>
      <c r="S63" s="3">
        <v>22.720116531828968</v>
      </c>
      <c r="T63" s="105">
        <v>26.976142624890031</v>
      </c>
      <c r="U63" s="3"/>
      <c r="V63" s="104">
        <v>7.3884797773584774</v>
      </c>
      <c r="W63" s="3">
        <v>10.382579147349817</v>
      </c>
      <c r="X63" s="3"/>
      <c r="Y63" s="3">
        <v>22.461680801024858</v>
      </c>
      <c r="Z63" s="105">
        <v>26.669242768627548</v>
      </c>
      <c r="AA63" s="3"/>
      <c r="AB63" s="104">
        <v>7.1227419984105165</v>
      </c>
      <c r="AC63" s="3">
        <v>10.020127615304782</v>
      </c>
      <c r="AD63" s="3"/>
      <c r="AE63" s="3">
        <v>21.65408609105236</v>
      </c>
      <c r="AF63" s="105">
        <v>25.726788519654178</v>
      </c>
      <c r="AG63" s="3"/>
      <c r="AH63" s="104">
        <v>6.86663416675691</v>
      </c>
      <c r="AI63" s="3">
        <v>9.6705526249727587</v>
      </c>
      <c r="AJ63" s="3"/>
      <c r="AK63" s="3">
        <v>20.875631522743792</v>
      </c>
      <c r="AL63" s="3">
        <v>24.817960645943597</v>
      </c>
      <c r="AM63" s="3"/>
      <c r="AN63" s="3">
        <v>6.6198047741918726</v>
      </c>
      <c r="AO63" s="3">
        <v>9.3333896415267024</v>
      </c>
      <c r="AP63" s="3"/>
      <c r="AQ63" s="3">
        <v>20.125262277398541</v>
      </c>
      <c r="AR63" s="105">
        <v>23.941549887570865</v>
      </c>
      <c r="AS63" s="3"/>
      <c r="AT63" s="104">
        <v>6.3819152444348584</v>
      </c>
      <c r="AU63" s="3">
        <v>9.008191140278802</v>
      </c>
      <c r="AV63" s="3"/>
      <c r="AW63" s="3">
        <v>19.401961845112499</v>
      </c>
      <c r="AX63" s="3">
        <v>23.096390789770989</v>
      </c>
      <c r="AY63" s="3"/>
      <c r="AZ63" s="104">
        <v>6.1526394529365129</v>
      </c>
      <c r="BA63" s="3">
        <v>8.6945259739668614</v>
      </c>
      <c r="BB63" s="3"/>
      <c r="BC63" s="3">
        <v>18.704750628184936</v>
      </c>
      <c r="BD63" s="105">
        <v>22.281360104115091</v>
      </c>
      <c r="BE63" s="3"/>
      <c r="BF63" s="104">
        <v>5.9316632647191385</v>
      </c>
      <c r="BG63" s="3">
        <v>8.3919787639878258</v>
      </c>
      <c r="BH63" s="3"/>
      <c r="BI63" s="3">
        <v>18.032684595678607</v>
      </c>
      <c r="BJ63" s="105">
        <v>21.495375248535876</v>
      </c>
      <c r="BK63" s="3"/>
      <c r="BL63" s="104">
        <v>5.7186840895647562</v>
      </c>
      <c r="BM63" s="3">
        <v>8.1001493146540202</v>
      </c>
      <c r="BN63" s="3"/>
      <c r="BO63" s="3">
        <v>17.384853987248349</v>
      </c>
      <c r="BP63" s="105">
        <v>20.737392824014698</v>
      </c>
      <c r="BQ63" s="3"/>
      <c r="BR63" s="104">
        <v>5.5134104538904705</v>
      </c>
      <c r="BS63" s="3">
        <v>7.818652049584264</v>
      </c>
      <c r="BT63" s="3"/>
      <c r="BU63" s="3">
        <v>16.760382064423272</v>
      </c>
      <c r="BV63" s="105">
        <v>20.006407185824678</v>
      </c>
    </row>
    <row r="64" spans="1:74" x14ac:dyDescent="0.25">
      <c r="A64">
        <f t="shared" si="0"/>
        <v>59</v>
      </c>
      <c r="B64" s="5" t="s">
        <v>22</v>
      </c>
      <c r="D64" s="104">
        <v>1.0464129373409301</v>
      </c>
      <c r="E64" s="105">
        <v>1.1195943344529269</v>
      </c>
      <c r="F64" s="3"/>
      <c r="G64" s="104">
        <v>1.0677031450036256</v>
      </c>
      <c r="H64" s="105">
        <v>1.1620359197452612</v>
      </c>
      <c r="J64" s="104">
        <v>14.86966717997667</v>
      </c>
      <c r="K64" s="3">
        <v>15.909584577774055</v>
      </c>
      <c r="L64" s="3"/>
      <c r="M64" s="3">
        <v>16.28878569061996</v>
      </c>
      <c r="N64" s="105">
        <v>17.727918242170897</v>
      </c>
      <c r="O64" s="3"/>
      <c r="P64" s="104">
        <v>13.818354860193949</v>
      </c>
      <c r="Q64" s="3">
        <v>14.835205373111117</v>
      </c>
      <c r="R64" s="3"/>
      <c r="S64" s="3">
        <v>15.158779792880038</v>
      </c>
      <c r="T64" s="105">
        <v>16.575915272576275</v>
      </c>
      <c r="U64" s="3"/>
      <c r="V64" s="104">
        <v>12.845213169240106</v>
      </c>
      <c r="W64" s="3">
        <v>13.842162989136339</v>
      </c>
      <c r="X64" s="3"/>
      <c r="Y64" s="3">
        <v>14.115129974396364</v>
      </c>
      <c r="Z64" s="105">
        <v>15.516128280546727</v>
      </c>
      <c r="AA64" s="3"/>
      <c r="AB64" s="104">
        <v>12.382419946938873</v>
      </c>
      <c r="AC64" s="3">
        <v>13.347166841408521</v>
      </c>
      <c r="AD64" s="3"/>
      <c r="AE64" s="3">
        <v>13.608018578509451</v>
      </c>
      <c r="AF64" s="105">
        <v>14.964112498898364</v>
      </c>
      <c r="AG64" s="3"/>
      <c r="AH64" s="104">
        <v>11.936334560851666</v>
      </c>
      <c r="AI64" s="3">
        <v>12.86995955337491</v>
      </c>
      <c r="AJ64" s="3"/>
      <c r="AK64" s="3">
        <v>13.119175436521337</v>
      </c>
      <c r="AL64" s="3">
        <v>14.431858759171741</v>
      </c>
      <c r="AM64" s="3"/>
      <c r="AN64" s="3">
        <v>11.506352777053641</v>
      </c>
      <c r="AO64" s="3">
        <v>12.409899256464719</v>
      </c>
      <c r="AP64" s="3"/>
      <c r="AQ64" s="3">
        <v>12.647940991455691</v>
      </c>
      <c r="AR64" s="105">
        <v>13.918656079861231</v>
      </c>
      <c r="AS64" s="3"/>
      <c r="AT64" s="104">
        <v>11.091892250265333</v>
      </c>
      <c r="AU64" s="3">
        <v>11.966367328681653</v>
      </c>
      <c r="AV64" s="3"/>
      <c r="AW64" s="3">
        <v>12.193679547611319</v>
      </c>
      <c r="AX64" s="3">
        <v>13.423819170868828</v>
      </c>
      <c r="AY64" s="3"/>
      <c r="AZ64" s="104">
        <v>10.69239172946744</v>
      </c>
      <c r="BA64" s="3">
        <v>11.538767549434027</v>
      </c>
      <c r="BB64" s="3"/>
      <c r="BC64" s="3">
        <v>11.755778405489043</v>
      </c>
      <c r="BD64" s="105">
        <v>12.946687501093987</v>
      </c>
      <c r="BE64" s="3"/>
      <c r="BF64" s="104">
        <v>10.307310292409094</v>
      </c>
      <c r="BG64" s="3">
        <v>11.126525285227091</v>
      </c>
      <c r="BH64" s="3"/>
      <c r="BI64" s="3">
        <v>11.3336470281569</v>
      </c>
      <c r="BJ64" s="105">
        <v>12.486624400024287</v>
      </c>
      <c r="BK64" s="3"/>
      <c r="BL64" s="104">
        <v>9.9361266079557744</v>
      </c>
      <c r="BM64" s="3">
        <v>10.729086705084667</v>
      </c>
      <c r="BN64" s="3"/>
      <c r="BO64" s="3">
        <v>10.92671623790771</v>
      </c>
      <c r="BP64" s="105">
        <v>12.043016192080239</v>
      </c>
      <c r="BQ64" s="3"/>
      <c r="BR64" s="104">
        <v>9.5783382252615787</v>
      </c>
      <c r="BS64" s="3">
        <v>10.345918024609011</v>
      </c>
      <c r="BT64" s="3"/>
      <c r="BU64" s="3">
        <v>10.534437442105087</v>
      </c>
      <c r="BV64" s="105">
        <v>11.615271362513392</v>
      </c>
    </row>
    <row r="65" spans="1:74" x14ac:dyDescent="0.25">
      <c r="A65">
        <f t="shared" si="0"/>
        <v>60</v>
      </c>
      <c r="B65" s="5" t="s">
        <v>163</v>
      </c>
      <c r="D65" s="104">
        <v>1</v>
      </c>
      <c r="E65" s="105">
        <v>1.3926361797248046</v>
      </c>
      <c r="F65" s="3"/>
      <c r="G65" s="104">
        <v>1</v>
      </c>
      <c r="H65" s="105">
        <v>1.5433657599684321</v>
      </c>
      <c r="J65" s="104">
        <v>7.8175201077669083</v>
      </c>
      <c r="K65" s="3">
        <v>10.886961337802349</v>
      </c>
      <c r="L65" s="3"/>
      <c r="M65" s="3">
        <v>7.8175201077669083</v>
      </c>
      <c r="N65" s="105">
        <v>12.065292862192173</v>
      </c>
      <c r="O65" s="3"/>
      <c r="P65" s="104">
        <v>7.6727635784746884</v>
      </c>
      <c r="Q65" s="3">
        <v>10.674120124428695</v>
      </c>
      <c r="R65" s="3"/>
      <c r="S65" s="3">
        <v>7.6727635784746884</v>
      </c>
      <c r="T65" s="105">
        <v>11.855609330588161</v>
      </c>
      <c r="U65" s="3"/>
      <c r="V65" s="104">
        <v>7.5306874967520132</v>
      </c>
      <c r="W65" s="3">
        <v>10.473304754572062</v>
      </c>
      <c r="X65" s="3"/>
      <c r="Y65" s="3">
        <v>7.5306874967520132</v>
      </c>
      <c r="Z65" s="105">
        <v>11.665902440954342</v>
      </c>
      <c r="AA65" s="3"/>
      <c r="AB65" s="104">
        <v>7.2619937287868987</v>
      </c>
      <c r="AC65" s="3">
        <v>10.109560180416498</v>
      </c>
      <c r="AD65" s="3"/>
      <c r="AE65" s="3">
        <v>7.2619937287868987</v>
      </c>
      <c r="AF65" s="105">
        <v>11.264667979509579</v>
      </c>
      <c r="AG65" s="3"/>
      <c r="AH65" s="104">
        <v>7.002886913005689</v>
      </c>
      <c r="AI65" s="3">
        <v>9.7585933292192557</v>
      </c>
      <c r="AJ65" s="3"/>
      <c r="AK65" s="3">
        <v>7.002886913005689</v>
      </c>
      <c r="AL65" s="3">
        <v>10.877429565198248</v>
      </c>
      <c r="AM65" s="3"/>
      <c r="AN65" s="3">
        <v>6.7530249884336451</v>
      </c>
      <c r="AO65" s="3">
        <v>9.4199510568232476</v>
      </c>
      <c r="AP65" s="3"/>
      <c r="AQ65" s="3">
        <v>6.7530249884336451</v>
      </c>
      <c r="AR65" s="105">
        <v>10.503693351364559</v>
      </c>
      <c r="AS65" s="3"/>
      <c r="AT65" s="104">
        <v>6.5120780987788285</v>
      </c>
      <c r="AU65" s="3">
        <v>9.0931964318452252</v>
      </c>
      <c r="AV65" s="3"/>
      <c r="AW65" s="3">
        <v>6.5120780987788285</v>
      </c>
      <c r="AX65" s="3">
        <v>10.142983097891607</v>
      </c>
      <c r="AY65" s="3"/>
      <c r="AZ65" s="104">
        <v>6.2797281569709051</v>
      </c>
      <c r="BA65" s="3">
        <v>8.7779081503175203</v>
      </c>
      <c r="BB65" s="3"/>
      <c r="BC65" s="3">
        <v>6.2797281569709051</v>
      </c>
      <c r="BD65" s="105">
        <v>9.7948395369867356</v>
      </c>
      <c r="BE65" s="3"/>
      <c r="BF65" s="104">
        <v>6.0556684252371316</v>
      </c>
      <c r="BG65" s="3">
        <v>8.4736799716779316</v>
      </c>
      <c r="BH65" s="3"/>
      <c r="BI65" s="3">
        <v>6.0556684252371316</v>
      </c>
      <c r="BJ65" s="105">
        <v>9.458819762067824</v>
      </c>
      <c r="BK65" s="3"/>
      <c r="BL65" s="104">
        <v>5.8396031101611685</v>
      </c>
      <c r="BM65" s="3">
        <v>8.1801201753199795</v>
      </c>
      <c r="BN65" s="3"/>
      <c r="BO65" s="3">
        <v>5.8396031101611685</v>
      </c>
      <c r="BP65" s="105">
        <v>9.1344966388983693</v>
      </c>
      <c r="BQ65" s="3"/>
      <c r="BR65" s="104">
        <v>5.6312469721901337</v>
      </c>
      <c r="BS65" s="3">
        <v>7.8968510369452725</v>
      </c>
      <c r="BT65" s="3"/>
      <c r="BU65" s="3">
        <v>5.6312469721901337</v>
      </c>
      <c r="BV65" s="105">
        <v>8.8214582381511608</v>
      </c>
    </row>
    <row r="66" spans="1:74" x14ac:dyDescent="0.25">
      <c r="A66">
        <f t="shared" si="0"/>
        <v>61</v>
      </c>
      <c r="B66" s="5" t="s">
        <v>164</v>
      </c>
      <c r="D66" s="104">
        <v>1.0558375516724197</v>
      </c>
      <c r="E66" s="105">
        <v>1.4704288140872461</v>
      </c>
      <c r="F66" s="3"/>
      <c r="G66" s="104">
        <v>1.0731318099584506</v>
      </c>
      <c r="H66" s="105">
        <v>1.6468810159949323</v>
      </c>
      <c r="J66" s="104">
        <v>7.4286281616610683</v>
      </c>
      <c r="K66" s="3">
        <v>10.345596139050203</v>
      </c>
      <c r="L66" s="3"/>
      <c r="M66" s="3">
        <v>7.5503065523710342</v>
      </c>
      <c r="N66" s="105">
        <v>11.587072911875978</v>
      </c>
      <c r="O66" s="3"/>
      <c r="P66" s="104">
        <v>7.1448328488519621</v>
      </c>
      <c r="Q66" s="3">
        <v>9.9970982213262936</v>
      </c>
      <c r="R66" s="3"/>
      <c r="S66" s="3">
        <v>7.2647292262776775</v>
      </c>
      <c r="T66" s="105">
        <v>11.239793806071667</v>
      </c>
      <c r="U66" s="3"/>
      <c r="V66" s="104">
        <v>6.87296825161767</v>
      </c>
      <c r="W66" s="3">
        <v>9.6694121863577411</v>
      </c>
      <c r="X66" s="3"/>
      <c r="Y66" s="3">
        <v>6.9919447476526555</v>
      </c>
      <c r="Z66" s="105">
        <v>10.92174456066941</v>
      </c>
      <c r="AA66" s="3"/>
      <c r="AB66" s="104">
        <v>6.6285910530794601</v>
      </c>
      <c r="AC66" s="3">
        <v>9.3347057920136347</v>
      </c>
      <c r="AD66" s="3"/>
      <c r="AE66" s="3">
        <v>6.7436652969677624</v>
      </c>
      <c r="AF66" s="105">
        <v>10.547508321889696</v>
      </c>
      <c r="AG66" s="3"/>
      <c r="AH66" s="104">
        <v>6.3929239965270392</v>
      </c>
      <c r="AI66" s="3">
        <v>9.0117418101810038</v>
      </c>
      <c r="AJ66" s="3"/>
      <c r="AK66" s="3">
        <v>6.5042278110268112</v>
      </c>
      <c r="AL66" s="3">
        <v>10.186304122793684</v>
      </c>
      <c r="AM66" s="3"/>
      <c r="AN66" s="3">
        <v>6.165656003107288</v>
      </c>
      <c r="AO66" s="3">
        <v>8.7001035968365734</v>
      </c>
      <c r="AP66" s="3"/>
      <c r="AQ66" s="3">
        <v>6.2733166379795664</v>
      </c>
      <c r="AR66" s="105">
        <v>9.837672065742451</v>
      </c>
      <c r="AS66" s="3"/>
      <c r="AT66" s="104">
        <v>5.9464871258209637</v>
      </c>
      <c r="AU66" s="3">
        <v>8.3993894488016743</v>
      </c>
      <c r="AV66" s="3"/>
      <c r="AW66" s="3">
        <v>6.0506274205224626</v>
      </c>
      <c r="AX66" s="3">
        <v>9.5011686811648133</v>
      </c>
      <c r="AY66" s="3"/>
      <c r="AZ66" s="104">
        <v>5.7351281503149982</v>
      </c>
      <c r="BA66" s="3">
        <v>8.1092120620835715</v>
      </c>
      <c r="BB66" s="3"/>
      <c r="BC66" s="3">
        <v>5.835866690756836</v>
      </c>
      <c r="BD66" s="105">
        <v>9.1763663335351158</v>
      </c>
      <c r="BE66" s="3"/>
      <c r="BF66" s="104">
        <v>5.5313002100281006</v>
      </c>
      <c r="BG66" s="3">
        <v>7.8291980100923668</v>
      </c>
      <c r="BH66" s="3"/>
      <c r="BI66" s="3">
        <v>5.6287514796224158</v>
      </c>
      <c r="BJ66" s="105">
        <v>8.8628526491142807</v>
      </c>
      <c r="BK66" s="3"/>
      <c r="BL66" s="104">
        <v>5.3347344151719307</v>
      </c>
      <c r="BM66" s="3">
        <v>7.558987240993984</v>
      </c>
      <c r="BN66" s="3"/>
      <c r="BO66" s="3">
        <v>5.4290089403797941</v>
      </c>
      <c r="BP66" s="105">
        <v>8.5602299646448952</v>
      </c>
      <c r="BQ66" s="3"/>
      <c r="BR66" s="104">
        <v>5.1451714950488423</v>
      </c>
      <c r="BS66" s="3">
        <v>7.2982325934876258</v>
      </c>
      <c r="BT66" s="3"/>
      <c r="BU66" s="3">
        <v>5.2363759856347025</v>
      </c>
      <c r="BV66" s="105">
        <v>8.2681147962217114</v>
      </c>
    </row>
    <row r="67" spans="1:74" x14ac:dyDescent="0.25">
      <c r="A67">
        <f t="shared" si="0"/>
        <v>62</v>
      </c>
      <c r="B67" s="5" t="s">
        <v>13</v>
      </c>
      <c r="D67" s="171">
        <v>1.0096431736533609</v>
      </c>
      <c r="E67" s="116">
        <v>1.3321277336837469</v>
      </c>
      <c r="F67" s="3"/>
      <c r="G67" s="171">
        <v>1.0130006363076711</v>
      </c>
      <c r="H67" s="116">
        <v>1.4592841860350838</v>
      </c>
      <c r="J67" s="171">
        <v>9.6410083584672925</v>
      </c>
      <c r="K67" s="185">
        <v>12.720389688288508</v>
      </c>
      <c r="L67" s="185"/>
      <c r="M67" s="185">
        <v>9.6730685222539883</v>
      </c>
      <c r="N67" s="116">
        <v>13.934597293452963</v>
      </c>
      <c r="O67" s="3"/>
      <c r="P67" s="171">
        <v>9.6253711684732277</v>
      </c>
      <c r="Q67" s="185">
        <v>12.636447328299475</v>
      </c>
      <c r="R67" s="185"/>
      <c r="S67" s="185">
        <v>9.6570137856574494</v>
      </c>
      <c r="T67" s="116">
        <v>13.85340529448966</v>
      </c>
      <c r="U67" s="3"/>
      <c r="V67" s="171">
        <v>9.6099901358595439</v>
      </c>
      <c r="W67" s="185">
        <v>12.562136785833404</v>
      </c>
      <c r="X67" s="185"/>
      <c r="Y67" s="185">
        <v>9.641406866808488</v>
      </c>
      <c r="Z67" s="116">
        <v>13.790013319790585</v>
      </c>
      <c r="AA67" s="3"/>
      <c r="AB67" s="171">
        <v>9.2672873959001496</v>
      </c>
      <c r="AC67" s="185">
        <v>12.124075426493</v>
      </c>
      <c r="AD67" s="185"/>
      <c r="AE67" s="3">
        <v>9.2977125694732976</v>
      </c>
      <c r="AF67" s="116">
        <v>13.313349108273956</v>
      </c>
      <c r="AG67" s="3"/>
      <c r="AH67" s="171">
        <v>8.9368111563060211</v>
      </c>
      <c r="AI67" s="3">
        <v>11.701441671306505</v>
      </c>
      <c r="AJ67" s="185"/>
      <c r="AK67" s="185">
        <v>8.9662770642460163</v>
      </c>
      <c r="AL67" s="3">
        <v>12.853367062258453</v>
      </c>
      <c r="AM67" s="3"/>
      <c r="AN67" s="3">
        <v>8.6181250354355114</v>
      </c>
      <c r="AO67" s="185">
        <v>11.293687695717372</v>
      </c>
      <c r="AP67" s="185"/>
      <c r="AQ67" s="185">
        <v>8.6466628864816446</v>
      </c>
      <c r="AR67" s="116">
        <v>12.409477439874221</v>
      </c>
      <c r="AS67" s="3"/>
      <c r="AT67" s="171">
        <v>8.310808233721616</v>
      </c>
      <c r="AU67" s="3">
        <v>10.900285278314566</v>
      </c>
      <c r="AV67" s="185"/>
      <c r="AW67" s="185">
        <v>8.3384481909870427</v>
      </c>
      <c r="AX67" s="3">
        <v>11.981111538052758</v>
      </c>
      <c r="AY67" s="3"/>
      <c r="AZ67" s="171">
        <v>8.0144549769762747</v>
      </c>
      <c r="BA67" s="185">
        <v>10.520725093754381</v>
      </c>
      <c r="BB67" s="185"/>
      <c r="BC67" s="185">
        <v>8.0412261939975362</v>
      </c>
      <c r="BD67" s="116">
        <v>11.567720935106445</v>
      </c>
      <c r="BE67" s="3"/>
      <c r="BF67" s="171">
        <v>7.7286739795973505</v>
      </c>
      <c r="BG67" s="185">
        <v>10.154516031414694</v>
      </c>
      <c r="BH67" s="185"/>
      <c r="BI67" s="185">
        <v>7.754604635104787</v>
      </c>
      <c r="BJ67" s="116">
        <v>11.168776760847541</v>
      </c>
      <c r="BK67" s="3"/>
      <c r="BL67" s="171">
        <v>7.4530879269660586</v>
      </c>
      <c r="BM67" s="185">
        <v>9.8011845388353045</v>
      </c>
      <c r="BN67" s="185"/>
      <c r="BO67" s="185">
        <v>7.478205258421859</v>
      </c>
      <c r="BP67" s="116">
        <v>10.783768993233924</v>
      </c>
      <c r="BQ67" s="3"/>
      <c r="BR67" s="171">
        <v>7.1873329763481824</v>
      </c>
      <c r="BS67" s="185">
        <v>9.4602739890332419</v>
      </c>
      <c r="BT67" s="185"/>
      <c r="BU67" s="185">
        <v>7.2116633122970395</v>
      </c>
      <c r="BV67" s="116">
        <v>10.412205780566508</v>
      </c>
    </row>
    <row r="68" spans="1:74" x14ac:dyDescent="0.25">
      <c r="B68" s="69"/>
      <c r="C68" s="66"/>
      <c r="D68" s="11"/>
      <c r="H68" s="1"/>
      <c r="I68" s="66"/>
      <c r="J68" s="78"/>
      <c r="K68" s="143"/>
      <c r="L68" s="143"/>
      <c r="M68" s="143"/>
      <c r="N68" s="79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  <c r="BP68" s="143"/>
      <c r="BQ68" s="143"/>
      <c r="BR68" s="143"/>
      <c r="BS68" s="143"/>
      <c r="BT68" s="143"/>
      <c r="BU68" s="143"/>
      <c r="BV68" s="143"/>
    </row>
    <row r="69" spans="1:74" x14ac:dyDescent="0.25">
      <c r="B69" s="5" t="s">
        <v>41</v>
      </c>
      <c r="D69" s="11"/>
      <c r="H69" s="1"/>
      <c r="J69" s="186">
        <v>4.7654648001045876</v>
      </c>
      <c r="K69" s="95">
        <v>6.3350307903313068</v>
      </c>
      <c r="L69" s="95"/>
      <c r="M69" s="95">
        <v>6.5948848741512407</v>
      </c>
      <c r="N69" s="105">
        <v>8.7669934600128343</v>
      </c>
      <c r="O69" s="3">
        <v>0</v>
      </c>
      <c r="P69" s="3">
        <v>4.6597598391359849</v>
      </c>
      <c r="Q69" s="3">
        <v>6.1945105660685726</v>
      </c>
      <c r="R69" s="3"/>
      <c r="S69" s="3">
        <v>6.4940823759422814</v>
      </c>
      <c r="T69" s="3">
        <v>8.632990386507382</v>
      </c>
      <c r="U69" s="3"/>
      <c r="V69" s="3">
        <v>4.5685640842713946</v>
      </c>
      <c r="W69" s="3">
        <v>6.0732783381016358</v>
      </c>
      <c r="X69" s="3">
        <v>0</v>
      </c>
      <c r="Y69" s="3">
        <v>6.4201331058666717</v>
      </c>
      <c r="Z69" s="3">
        <v>8.5346849908109892</v>
      </c>
      <c r="AA69" s="3"/>
      <c r="AB69" s="3">
        <v>4.4209928368763363</v>
      </c>
      <c r="AC69" s="3">
        <v>5.8771026374659332</v>
      </c>
      <c r="AD69" s="3">
        <v>0</v>
      </c>
      <c r="AE69" s="3">
        <v>5.687512380103434</v>
      </c>
      <c r="AF69" s="3">
        <v>8.2611337770105084</v>
      </c>
      <c r="AG69" s="3"/>
      <c r="AH69" s="3">
        <v>4.2783754246164492</v>
      </c>
      <c r="AI69" s="3">
        <v>5.8771026374659332</v>
      </c>
      <c r="AJ69" s="3"/>
      <c r="AK69" s="3">
        <v>6.0154260146281811</v>
      </c>
      <c r="AL69" s="3">
        <v>7.9966825101285206</v>
      </c>
      <c r="AM69" s="3"/>
      <c r="AN69" s="3">
        <v>4.1405393851587862</v>
      </c>
      <c r="AO69" s="3">
        <v>5.5042783010347049</v>
      </c>
      <c r="AP69" s="3">
        <v>0</v>
      </c>
      <c r="AQ69" s="3">
        <v>5.8231048327342609</v>
      </c>
      <c r="AR69" s="3">
        <v>7.741017919152176</v>
      </c>
      <c r="AS69" s="3"/>
      <c r="AT69" s="3">
        <v>4.0073184789371314</v>
      </c>
      <c r="AU69" s="3">
        <v>5.3271794075938148</v>
      </c>
      <c r="AV69" s="3">
        <v>0</v>
      </c>
      <c r="AW69" s="3">
        <v>5.6371660732516897</v>
      </c>
      <c r="AX69" s="3">
        <v>7.4938378819788376</v>
      </c>
      <c r="AY69" s="3"/>
      <c r="AZ69" s="3">
        <v>3.87855245642913</v>
      </c>
      <c r="BA69" s="3">
        <v>5.156002670055269</v>
      </c>
      <c r="BB69" s="3">
        <v>0</v>
      </c>
      <c r="BC69" s="3">
        <v>5.457390545874401</v>
      </c>
      <c r="BD69" s="3">
        <v>7.2548510152081134</v>
      </c>
      <c r="BE69" s="3"/>
      <c r="BF69" s="3">
        <v>3.7540868344552227</v>
      </c>
      <c r="BG69" s="3">
        <v>4.9905427242541514</v>
      </c>
      <c r="BH69" s="3"/>
      <c r="BI69" s="3">
        <v>5.2835668415479917</v>
      </c>
      <c r="BJ69" s="3">
        <v>7.023776279544748</v>
      </c>
      <c r="BK69" s="3"/>
      <c r="BL69" s="3">
        <v>3.6337726811370246</v>
      </c>
      <c r="BM69" s="3">
        <v>4.8306015857178437</v>
      </c>
      <c r="BN69" s="3">
        <v>0</v>
      </c>
      <c r="BO69" s="3">
        <v>5.1154910469187351</v>
      </c>
      <c r="BP69" s="3">
        <v>6.8003426001977996</v>
      </c>
      <c r="BQ69" s="3"/>
      <c r="BR69" s="3">
        <v>3.5174664091678411</v>
      </c>
      <c r="BS69" s="3">
        <v>4.6759883748475728</v>
      </c>
      <c r="BT69" s="3"/>
      <c r="BU69" s="3">
        <v>4.9529664696198914</v>
      </c>
      <c r="BV69" s="3">
        <v>6.5842885016865358</v>
      </c>
    </row>
    <row r="70" spans="1:74" x14ac:dyDescent="0.25">
      <c r="B70" s="5" t="s">
        <v>34</v>
      </c>
      <c r="D70" s="11"/>
      <c r="H70" s="1"/>
      <c r="J70" s="186">
        <v>5.8389467817590468</v>
      </c>
      <c r="K70" s="95">
        <v>7.7968910621854439</v>
      </c>
      <c r="L70" s="95"/>
      <c r="M70" s="95">
        <v>7.7277691453530046</v>
      </c>
      <c r="N70" s="105">
        <v>10.43735103527308</v>
      </c>
      <c r="O70" s="3">
        <v>0</v>
      </c>
      <c r="P70" s="3">
        <v>5.6481291861615519</v>
      </c>
      <c r="Q70" s="3">
        <v>7.5626434062637973</v>
      </c>
      <c r="R70" s="3"/>
      <c r="S70" s="3">
        <v>7.5380438612915439</v>
      </c>
      <c r="T70" s="3">
        <v>10.206209922305154</v>
      </c>
      <c r="U70" s="3"/>
      <c r="V70" s="3">
        <v>5.4839816217875637</v>
      </c>
      <c r="W70" s="3">
        <v>7.3610270504652275</v>
      </c>
      <c r="X70" s="3">
        <v>0</v>
      </c>
      <c r="Y70" s="3">
        <v>7.3906683352670051</v>
      </c>
      <c r="Z70" s="3">
        <v>10.028451515185139</v>
      </c>
      <c r="AA70" s="3"/>
      <c r="AB70" s="3">
        <v>5.2934561860195126</v>
      </c>
      <c r="AC70" s="3">
        <v>7.1098703243797656</v>
      </c>
      <c r="AD70" s="3">
        <v>0</v>
      </c>
      <c r="AE70" s="3">
        <v>6.867872110600306</v>
      </c>
      <c r="AF70" s="3">
        <v>9.6954624724580256</v>
      </c>
      <c r="AG70" s="3"/>
      <c r="AH70" s="3">
        <v>5.1100539242272154</v>
      </c>
      <c r="AI70" s="3">
        <v>7.1098703243797656</v>
      </c>
      <c r="AJ70" s="3"/>
      <c r="AK70" s="3">
        <v>6.9027634814287708</v>
      </c>
      <c r="AL70" s="3">
        <v>9.3742682461709048</v>
      </c>
      <c r="AM70" s="3"/>
      <c r="AN70" s="3">
        <v>4.9334909463553824</v>
      </c>
      <c r="AO70" s="3">
        <v>6.6346776610015494</v>
      </c>
      <c r="AP70" s="3">
        <v>0</v>
      </c>
      <c r="AQ70" s="3">
        <v>6.671938283859788</v>
      </c>
      <c r="AR70" s="3">
        <v>9.0644257493689508</v>
      </c>
      <c r="AS70" s="3"/>
      <c r="AT70" s="3">
        <v>4.7634953156784938</v>
      </c>
      <c r="AU70" s="3">
        <v>6.4099467374809951</v>
      </c>
      <c r="AV70" s="3">
        <v>0</v>
      </c>
      <c r="AW70" s="3">
        <v>6.4494170132954096</v>
      </c>
      <c r="AX70" s="3">
        <v>8.7655094688927448</v>
      </c>
      <c r="AY70" s="3"/>
      <c r="AZ70" s="3">
        <v>4.5998065218415114</v>
      </c>
      <c r="BA70" s="3">
        <v>6.1933529893828316</v>
      </c>
      <c r="BB70" s="3">
        <v>0</v>
      </c>
      <c r="BC70" s="3">
        <v>6.2348810547657108</v>
      </c>
      <c r="BD70" s="3">
        <v>8.4771107329942375</v>
      </c>
      <c r="BE70" s="3"/>
      <c r="BF70" s="3">
        <v>4.4421749780079285</v>
      </c>
      <c r="BG70" s="3">
        <v>5.9845833587359376</v>
      </c>
      <c r="BH70" s="3"/>
      <c r="BI70" s="3">
        <v>6.0280247371970965</v>
      </c>
      <c r="BJ70" s="3">
        <v>8.1988370108356357</v>
      </c>
      <c r="BK70" s="3"/>
      <c r="BL70" s="3">
        <v>4.2903615409801326</v>
      </c>
      <c r="BM70" s="3">
        <v>5.7833375120219879</v>
      </c>
      <c r="BN70" s="3">
        <v>0</v>
      </c>
      <c r="BO70" s="3">
        <v>5.8285547806758808</v>
      </c>
      <c r="BP70" s="3">
        <v>7.9303112424311255</v>
      </c>
      <c r="BQ70" s="3"/>
      <c r="BR70" s="3">
        <v>4.1441370532115869</v>
      </c>
      <c r="BS70" s="3">
        <v>5.5893272972505335</v>
      </c>
      <c r="BT70" s="3"/>
      <c r="BU70" s="3">
        <v>5.6361897683290545</v>
      </c>
      <c r="BV70" s="3">
        <v>7.6711711976584995</v>
      </c>
    </row>
    <row r="71" spans="1:74" x14ac:dyDescent="0.25">
      <c r="B71" s="5" t="s">
        <v>42</v>
      </c>
      <c r="D71" s="11"/>
      <c r="H71" s="1"/>
      <c r="J71" s="186">
        <v>2.7464017799099327</v>
      </c>
      <c r="K71" s="95">
        <v>3.6943855275002191</v>
      </c>
      <c r="L71" s="95"/>
      <c r="M71" s="95">
        <v>3.4718574938002016</v>
      </c>
      <c r="N71" s="105">
        <v>4.7837638744300985</v>
      </c>
      <c r="O71" s="3">
        <v>0</v>
      </c>
      <c r="P71" s="3">
        <v>2.7384702974752981</v>
      </c>
      <c r="Q71" s="3">
        <v>3.6654263826567255</v>
      </c>
      <c r="R71" s="3"/>
      <c r="S71" s="3">
        <v>3.5177153789812605</v>
      </c>
      <c r="T71" s="3">
        <v>4.8095693336617531</v>
      </c>
      <c r="U71" s="3"/>
      <c r="V71" s="3">
        <v>2.7359969348972411</v>
      </c>
      <c r="W71" s="3">
        <v>3.6448116430908546</v>
      </c>
      <c r="X71" s="3">
        <v>0</v>
      </c>
      <c r="Y71" s="3">
        <v>3.5814118840743641</v>
      </c>
      <c r="Z71" s="3">
        <v>4.8585552681980655</v>
      </c>
      <c r="AA71" s="3"/>
      <c r="AB71" s="3">
        <v>2.6401933051662279</v>
      </c>
      <c r="AC71" s="3">
        <v>3.5196519798961017</v>
      </c>
      <c r="AD71" s="3">
        <v>0</v>
      </c>
      <c r="AE71" s="186">
        <v>3.4573397748345962</v>
      </c>
      <c r="AF71" s="3">
        <v>4.693548534739544</v>
      </c>
      <c r="AG71" s="3"/>
      <c r="AH71" s="3">
        <v>2.5477897919589361</v>
      </c>
      <c r="AI71" s="3">
        <v>3.5196519798961017</v>
      </c>
      <c r="AJ71" s="3"/>
      <c r="AK71" s="3">
        <v>3.3376351240645485</v>
      </c>
      <c r="AL71" s="3">
        <v>4.5342709897988147</v>
      </c>
      <c r="AM71" s="3"/>
      <c r="AN71" s="3">
        <v>2.4586643584883601</v>
      </c>
      <c r="AO71" s="3">
        <v>3.2823330262963486</v>
      </c>
      <c r="AP71" s="3">
        <v>0</v>
      </c>
      <c r="AQ71" s="3">
        <v>3.2221421904193837</v>
      </c>
      <c r="AR71" s="3">
        <v>4.3805200136750244</v>
      </c>
      <c r="AS71" s="3"/>
      <c r="AT71" s="3">
        <v>2.3726993947395432</v>
      </c>
      <c r="AU71" s="3">
        <v>3.1698667118430612</v>
      </c>
      <c r="AV71" s="3">
        <v>0</v>
      </c>
      <c r="AW71" s="3">
        <v>3.1107108509556021</v>
      </c>
      <c r="AX71" s="3">
        <v>4.2321002734087214</v>
      </c>
      <c r="AY71" s="3"/>
      <c r="AZ71" s="3">
        <v>2.2897815551022749</v>
      </c>
      <c r="BA71" s="3">
        <v>3.0613337220158785</v>
      </c>
      <c r="BB71" s="3">
        <v>0</v>
      </c>
      <c r="BC71" s="3">
        <v>3.0031963961026888</v>
      </c>
      <c r="BD71" s="3">
        <v>4.0888234563693535</v>
      </c>
      <c r="BE71" s="3"/>
      <c r="BF71" s="3">
        <v>2.2098016020339593</v>
      </c>
      <c r="BG71" s="3">
        <v>2.9565940882628179</v>
      </c>
      <c r="BH71" s="3"/>
      <c r="BI71" s="3">
        <v>2.8994593322098483</v>
      </c>
      <c r="BJ71" s="3">
        <v>3.9505080137538844</v>
      </c>
      <c r="BK71" s="3"/>
      <c r="BL71" s="3">
        <v>2.1326542555253964</v>
      </c>
      <c r="BM71" s="3">
        <v>2.8555129038737954</v>
      </c>
      <c r="BN71" s="3">
        <v>0</v>
      </c>
      <c r="BO71" s="3">
        <v>2.7993651913840041</v>
      </c>
      <c r="BP71" s="3">
        <v>3.8169789136207419</v>
      </c>
      <c r="BQ71" s="3"/>
      <c r="BR71" s="3">
        <v>2.058238048150967</v>
      </c>
      <c r="BS71" s="3">
        <v>2.7579601379065553</v>
      </c>
      <c r="BT71" s="3"/>
      <c r="BU71" s="3">
        <v>2.7027843483460456</v>
      </c>
      <c r="BV71" s="3">
        <v>3.6880674030978611</v>
      </c>
    </row>
    <row r="72" spans="1:74" x14ac:dyDescent="0.25">
      <c r="B72" s="5" t="s">
        <v>194</v>
      </c>
      <c r="D72" s="11"/>
      <c r="H72" s="1"/>
      <c r="J72" s="186">
        <v>7.4363059367209674</v>
      </c>
      <c r="K72" s="95">
        <v>10.379075373385653</v>
      </c>
      <c r="L72" s="95"/>
      <c r="M72" s="95">
        <v>7.6231163076152884</v>
      </c>
      <c r="N72" s="105">
        <v>11.695589079956106</v>
      </c>
      <c r="O72" s="3">
        <v>0</v>
      </c>
      <c r="P72" s="3">
        <v>7.2919284679528698</v>
      </c>
      <c r="Q72" s="3">
        <v>10.169422985697702</v>
      </c>
      <c r="R72" s="3"/>
      <c r="S72" s="3">
        <v>7.4731748794323787</v>
      </c>
      <c r="T72" s="3">
        <v>11.483400101258864</v>
      </c>
      <c r="U72" s="3"/>
      <c r="V72" s="3">
        <v>7.1510138205100464</v>
      </c>
      <c r="W72" s="3">
        <v>9.9721931431110207</v>
      </c>
      <c r="X72" s="3">
        <v>0</v>
      </c>
      <c r="Y72" s="3">
        <v>7.3274832667342684</v>
      </c>
      <c r="Z72" s="3">
        <v>11.292043341304312</v>
      </c>
      <c r="AA72" s="3"/>
      <c r="AB72" s="3">
        <v>6.8962867542095161</v>
      </c>
      <c r="AC72" s="3">
        <v>9.6263378920938312</v>
      </c>
      <c r="AD72" s="3">
        <v>0</v>
      </c>
      <c r="AE72" s="3">
        <v>9.2926250324285693</v>
      </c>
      <c r="AF72" s="3">
        <v>10.904303035282336</v>
      </c>
      <c r="AG72" s="3"/>
      <c r="AH72" s="3">
        <v>6.6506429873902215</v>
      </c>
      <c r="AI72" s="3">
        <v>9.6263378920938312</v>
      </c>
      <c r="AJ72" s="3"/>
      <c r="AK72" s="3">
        <v>6.8154306827870519</v>
      </c>
      <c r="AL72" s="3">
        <v>10.530076067215649</v>
      </c>
      <c r="AM72" s="3"/>
      <c r="AN72" s="3">
        <v>6.4137583351748386</v>
      </c>
      <c r="AO72" s="3">
        <v>8.9706238803120613</v>
      </c>
      <c r="AP72" s="3">
        <v>0</v>
      </c>
      <c r="AQ72" s="3">
        <v>6.5730025034721447</v>
      </c>
      <c r="AR72" s="3">
        <v>10.168885727263604</v>
      </c>
      <c r="AS72" s="3"/>
      <c r="AT72" s="3">
        <v>6.1853201927370529</v>
      </c>
      <c r="AU72" s="3">
        <v>8.6599191746745543</v>
      </c>
      <c r="AV72" s="3">
        <v>0</v>
      </c>
      <c r="AW72" s="3">
        <v>6.3392099723934416</v>
      </c>
      <c r="AX72" s="3">
        <v>9.820272308517314</v>
      </c>
      <c r="AY72" s="3"/>
      <c r="AZ72" s="3">
        <v>5.9650271212662442</v>
      </c>
      <c r="BA72" s="3">
        <v>8.3601105194333822</v>
      </c>
      <c r="BB72" s="3">
        <v>0</v>
      </c>
      <c r="BC72" s="3">
        <v>6.1137451267967116</v>
      </c>
      <c r="BD72" s="3">
        <v>9.4837924938425271</v>
      </c>
      <c r="BE72" s="3"/>
      <c r="BF72" s="3">
        <v>5.7525884487526913</v>
      </c>
      <c r="BG72" s="3">
        <v>8.0708118461383247</v>
      </c>
      <c r="BH72" s="3"/>
      <c r="BI72" s="3">
        <v>5.8963109978431447</v>
      </c>
      <c r="BJ72" s="3">
        <v>9.1590187650983257</v>
      </c>
      <c r="BK72" s="3"/>
      <c r="BL72" s="3">
        <v>5.5477238850620205</v>
      </c>
      <c r="BM72" s="3">
        <v>7.7916508962535485</v>
      </c>
      <c r="BN72" s="3">
        <v>0</v>
      </c>
      <c r="BO72" s="3">
        <v>5.6866212177096767</v>
      </c>
      <c r="BP72" s="3">
        <v>8.8455388339039889</v>
      </c>
      <c r="BQ72" s="3"/>
      <c r="BR72" s="3">
        <v>5.350163150786666</v>
      </c>
      <c r="BS72" s="3">
        <v>7.5222687223495139</v>
      </c>
      <c r="BT72" s="3"/>
      <c r="BU72" s="3">
        <v>5.4843996407487001</v>
      </c>
      <c r="BV72" s="3">
        <v>8.5429550931575626</v>
      </c>
    </row>
    <row r="73" spans="1:74" x14ac:dyDescent="0.25">
      <c r="B73" s="82" t="s">
        <v>196</v>
      </c>
      <c r="C73" s="2"/>
      <c r="D73" s="9"/>
      <c r="E73" s="2"/>
      <c r="F73" s="2"/>
      <c r="G73" s="2"/>
      <c r="H73" s="10"/>
      <c r="I73" s="2"/>
      <c r="J73" s="187">
        <v>6.5405318200548743</v>
      </c>
      <c r="K73" s="98">
        <v>9.1470894944478491</v>
      </c>
      <c r="L73" s="98"/>
      <c r="M73" s="98">
        <v>7.1146216875127974</v>
      </c>
      <c r="N73" s="116">
        <v>10.721813955532447</v>
      </c>
      <c r="O73" s="185">
        <v>0</v>
      </c>
      <c r="P73" s="185">
        <v>6.2998860644920747</v>
      </c>
      <c r="Q73" s="185">
        <v>8.8486264873069729</v>
      </c>
      <c r="R73" s="185"/>
      <c r="S73" s="185">
        <v>6.8612205083755189</v>
      </c>
      <c r="T73" s="185">
        <v>10.413277016017966</v>
      </c>
      <c r="U73" s="185"/>
      <c r="V73" s="185">
        <v>6.0710222229333075</v>
      </c>
      <c r="W73" s="185">
        <v>8.5698814684264999</v>
      </c>
      <c r="X73" s="185">
        <v>0</v>
      </c>
      <c r="Y73" s="185">
        <v>6.6226130864055897</v>
      </c>
      <c r="Z73" s="185">
        <v>10.134221695360988</v>
      </c>
      <c r="AA73" s="185"/>
      <c r="AB73" s="185">
        <v>5.8569089111996773</v>
      </c>
      <c r="AC73" s="185">
        <v>8.2750513780464541</v>
      </c>
      <c r="AD73" s="185">
        <v>0</v>
      </c>
      <c r="AE73" s="185">
        <v>7.990547014395653</v>
      </c>
      <c r="AF73" s="185">
        <v>9.7894179959759775</v>
      </c>
      <c r="AG73" s="185"/>
      <c r="AH73" s="185">
        <v>5.6504117359389614</v>
      </c>
      <c r="AI73" s="185">
        <v>8.2750513780464541</v>
      </c>
      <c r="AJ73" s="185"/>
      <c r="AK73" s="185">
        <v>6.1663356003122614</v>
      </c>
      <c r="AL73" s="185">
        <v>9.4565823025496005</v>
      </c>
      <c r="AM73" s="185"/>
      <c r="AN73" s="185">
        <v>5.4512575496725351</v>
      </c>
      <c r="AO73" s="185">
        <v>7.7160008985847224</v>
      </c>
      <c r="AP73" s="185">
        <v>0</v>
      </c>
      <c r="AQ73" s="185">
        <v>5.9502387347140546</v>
      </c>
      <c r="AR73" s="185">
        <v>9.1352918674588803</v>
      </c>
      <c r="AS73" s="185"/>
      <c r="AT73" s="185">
        <v>5.2591830878055683</v>
      </c>
      <c r="AU73" s="185">
        <v>7.4510588382635543</v>
      </c>
      <c r="AV73" s="185">
        <v>0</v>
      </c>
      <c r="AW73" s="185">
        <v>5.7417885847637153</v>
      </c>
      <c r="AX73" s="185">
        <v>8.8251391300745148</v>
      </c>
      <c r="AY73" s="185"/>
      <c r="AZ73" s="185">
        <v>5.0739346073808411</v>
      </c>
      <c r="BA73" s="185">
        <v>7.1953794390831334</v>
      </c>
      <c r="BB73" s="185">
        <v>0</v>
      </c>
      <c r="BC73" s="185">
        <v>5.5407121116895155</v>
      </c>
      <c r="BD73" s="185">
        <v>8.5257311614989693</v>
      </c>
      <c r="BE73" s="185"/>
      <c r="BF73" s="185">
        <v>4.8952675392017477</v>
      </c>
      <c r="BG73" s="185">
        <v>6.9486336344611512</v>
      </c>
      <c r="BH73" s="185"/>
      <c r="BI73" s="185">
        <v>5.3467461177890163</v>
      </c>
      <c r="BJ73" s="185">
        <v>8.2366891300011567</v>
      </c>
      <c r="BK73" s="185"/>
      <c r="BL73" s="185">
        <v>4.7229461528220753</v>
      </c>
      <c r="BM73" s="185">
        <v>6.7105042329508748</v>
      </c>
      <c r="BN73" s="185">
        <v>0</v>
      </c>
      <c r="BO73" s="185">
        <v>5.1596368879592971</v>
      </c>
      <c r="BP73" s="185">
        <v>7.9576477863593738</v>
      </c>
      <c r="BQ73" s="185"/>
      <c r="BR73" s="185">
        <v>4.5567432339194092</v>
      </c>
      <c r="BS73" s="185">
        <v>6.4806854825400926</v>
      </c>
      <c r="BT73" s="185"/>
      <c r="BU73" s="185">
        <v>4.9791398444502315</v>
      </c>
      <c r="BV73" s="185">
        <v>7.6882549683549284</v>
      </c>
    </row>
    <row r="75" spans="1:74" x14ac:dyDescent="0.25">
      <c r="B75" t="s">
        <v>54</v>
      </c>
    </row>
    <row r="76" spans="1:74" x14ac:dyDescent="0.25">
      <c r="B76" t="s">
        <v>61</v>
      </c>
    </row>
    <row r="78" spans="1:74" x14ac:dyDescent="0.25">
      <c r="B78" t="s">
        <v>200</v>
      </c>
    </row>
    <row r="79" spans="1:74" x14ac:dyDescent="0.25">
      <c r="B79" t="s">
        <v>60</v>
      </c>
    </row>
    <row r="81" spans="2:14" x14ac:dyDescent="0.25">
      <c r="B81" s="1"/>
    </row>
    <row r="82" spans="2:14" x14ac:dyDescent="0.25">
      <c r="B82" s="1"/>
      <c r="M82" s="3"/>
      <c r="N82" s="3"/>
    </row>
    <row r="83" spans="2:14" x14ac:dyDescent="0.25">
      <c r="B83" s="1"/>
      <c r="M83" s="3"/>
      <c r="N83" s="3"/>
    </row>
    <row r="84" spans="2:14" x14ac:dyDescent="0.25">
      <c r="B84" s="1"/>
    </row>
    <row r="85" spans="2:14" x14ac:dyDescent="0.25">
      <c r="B85" s="1"/>
    </row>
    <row r="86" spans="2:14" x14ac:dyDescent="0.25">
      <c r="B86" s="1"/>
    </row>
    <row r="87" spans="2:14" x14ac:dyDescent="0.25">
      <c r="B87" s="1"/>
    </row>
    <row r="88" spans="2:14" x14ac:dyDescent="0.25">
      <c r="B88" s="1"/>
    </row>
    <row r="89" spans="2:14" x14ac:dyDescent="0.25">
      <c r="B89" s="1"/>
    </row>
    <row r="90" spans="2:14" x14ac:dyDescent="0.25">
      <c r="B90" s="1"/>
    </row>
    <row r="91" spans="2:14" x14ac:dyDescent="0.25">
      <c r="B91" s="1"/>
    </row>
    <row r="92" spans="2:14" x14ac:dyDescent="0.25">
      <c r="B92" s="1"/>
    </row>
    <row r="93" spans="2:14" x14ac:dyDescent="0.25">
      <c r="B93" s="1"/>
    </row>
    <row r="94" spans="2:14" x14ac:dyDescent="0.25">
      <c r="B94" s="1"/>
    </row>
    <row r="95" spans="2:14" x14ac:dyDescent="0.25">
      <c r="B95" s="1"/>
    </row>
  </sheetData>
  <mergeCells count="26">
    <mergeCell ref="D2:H2"/>
    <mergeCell ref="J2:N2"/>
    <mergeCell ref="BL3:BM3"/>
    <mergeCell ref="BO3:BP3"/>
    <mergeCell ref="AN3:AO3"/>
    <mergeCell ref="AQ3:AR3"/>
    <mergeCell ref="AT3:AU3"/>
    <mergeCell ref="AW3:AX3"/>
    <mergeCell ref="AB3:AC3"/>
    <mergeCell ref="AE3:AF3"/>
    <mergeCell ref="AK3:AL3"/>
    <mergeCell ref="P3:Q3"/>
    <mergeCell ref="S3:T3"/>
    <mergeCell ref="V3:W3"/>
    <mergeCell ref="Y3:Z3"/>
    <mergeCell ref="D3:E3"/>
    <mergeCell ref="BU3:BV3"/>
    <mergeCell ref="AZ3:BA3"/>
    <mergeCell ref="BC3:BD3"/>
    <mergeCell ref="BF3:BG3"/>
    <mergeCell ref="BI3:BJ3"/>
    <mergeCell ref="G3:H3"/>
    <mergeCell ref="J3:K3"/>
    <mergeCell ref="M3:N3"/>
    <mergeCell ref="AH3:AI3"/>
    <mergeCell ref="BR3:BS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Q68"/>
  <sheetViews>
    <sheetView zoomScale="7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ColWidth="9.1796875" defaultRowHeight="12.5" x14ac:dyDescent="0.25"/>
  <cols>
    <col min="1" max="1" width="5" style="48" customWidth="1"/>
    <col min="2" max="2" width="41.54296875" style="48" customWidth="1"/>
    <col min="3" max="65" width="15.54296875" style="48" customWidth="1"/>
    <col min="66" max="66" width="3" style="48" customWidth="1"/>
    <col min="67" max="16384" width="9.1796875" style="48"/>
  </cols>
  <sheetData>
    <row r="2" spans="1:69" ht="19.5" customHeight="1" x14ac:dyDescent="0.3">
      <c r="B2" s="87" t="s">
        <v>184</v>
      </c>
    </row>
    <row r="3" spans="1:69" s="52" customFormat="1" x14ac:dyDescent="0.25">
      <c r="A3" s="49"/>
      <c r="B3" s="50" t="s">
        <v>16</v>
      </c>
      <c r="C3" s="51" t="s">
        <v>62</v>
      </c>
      <c r="D3" s="51" t="s">
        <v>63</v>
      </c>
      <c r="E3" s="51" t="s">
        <v>64</v>
      </c>
      <c r="F3" s="51" t="s">
        <v>65</v>
      </c>
      <c r="G3" s="51" t="s">
        <v>66</v>
      </c>
      <c r="H3" s="51" t="s">
        <v>67</v>
      </c>
      <c r="I3" s="51" t="s">
        <v>68</v>
      </c>
      <c r="J3" s="51" t="s">
        <v>69</v>
      </c>
      <c r="K3" s="51" t="s">
        <v>70</v>
      </c>
      <c r="L3" s="51" t="s">
        <v>71</v>
      </c>
      <c r="M3" s="51" t="s">
        <v>72</v>
      </c>
      <c r="N3" s="51" t="s">
        <v>73</v>
      </c>
      <c r="O3" s="51" t="s">
        <v>74</v>
      </c>
      <c r="P3" s="51" t="s">
        <v>75</v>
      </c>
      <c r="Q3" s="51" t="s">
        <v>76</v>
      </c>
      <c r="R3" s="51" t="s">
        <v>77</v>
      </c>
      <c r="S3" s="51" t="s">
        <v>78</v>
      </c>
      <c r="T3" s="51" t="s">
        <v>79</v>
      </c>
      <c r="U3" s="51" t="s">
        <v>80</v>
      </c>
      <c r="V3" s="51" t="s">
        <v>81</v>
      </c>
      <c r="W3" s="51" t="s">
        <v>82</v>
      </c>
      <c r="X3" s="51" t="s">
        <v>83</v>
      </c>
      <c r="Y3" s="51" t="s">
        <v>84</v>
      </c>
      <c r="Z3" s="51" t="s">
        <v>85</v>
      </c>
      <c r="AA3" s="51" t="s">
        <v>86</v>
      </c>
      <c r="AB3" s="51" t="s">
        <v>87</v>
      </c>
      <c r="AC3" s="51" t="s">
        <v>88</v>
      </c>
      <c r="AD3" s="51" t="s">
        <v>89</v>
      </c>
      <c r="AE3" s="51" t="s">
        <v>90</v>
      </c>
      <c r="AF3" s="51" t="s">
        <v>91</v>
      </c>
      <c r="AG3" s="51" t="s">
        <v>92</v>
      </c>
      <c r="AH3" s="51" t="s">
        <v>93</v>
      </c>
      <c r="AI3" s="51" t="s">
        <v>94</v>
      </c>
      <c r="AJ3" s="51" t="s">
        <v>95</v>
      </c>
      <c r="AK3" s="51" t="s">
        <v>96</v>
      </c>
      <c r="AL3" s="51" t="s">
        <v>97</v>
      </c>
      <c r="AM3" s="51" t="s">
        <v>98</v>
      </c>
      <c r="AN3" s="51" t="s">
        <v>99</v>
      </c>
      <c r="AO3" s="51" t="s">
        <v>100</v>
      </c>
      <c r="AP3" s="51" t="s">
        <v>101</v>
      </c>
      <c r="AQ3" s="51" t="s">
        <v>102</v>
      </c>
      <c r="AR3" s="51" t="s">
        <v>103</v>
      </c>
      <c r="AS3" s="51" t="s">
        <v>104</v>
      </c>
      <c r="AT3" s="51" t="s">
        <v>105</v>
      </c>
      <c r="AU3" s="51" t="s">
        <v>106</v>
      </c>
      <c r="AV3" s="51" t="s">
        <v>107</v>
      </c>
      <c r="AW3" s="51" t="s">
        <v>108</v>
      </c>
      <c r="AX3" s="51" t="s">
        <v>109</v>
      </c>
      <c r="AY3" s="51" t="s">
        <v>110</v>
      </c>
      <c r="AZ3" s="51" t="s">
        <v>111</v>
      </c>
      <c r="BA3" s="51" t="s">
        <v>112</v>
      </c>
      <c r="BB3" s="51" t="s">
        <v>113</v>
      </c>
      <c r="BC3" s="51" t="s">
        <v>114</v>
      </c>
      <c r="BD3" s="51" t="s">
        <v>115</v>
      </c>
      <c r="BE3" s="51" t="s">
        <v>116</v>
      </c>
      <c r="BF3" s="51" t="s">
        <v>117</v>
      </c>
      <c r="BG3" s="51" t="s">
        <v>118</v>
      </c>
      <c r="BH3" s="51" t="s">
        <v>119</v>
      </c>
      <c r="BI3" s="51" t="s">
        <v>120</v>
      </c>
      <c r="BJ3" s="51" t="s">
        <v>121</v>
      </c>
      <c r="BK3" s="51" t="s">
        <v>122</v>
      </c>
      <c r="BL3" s="51" t="s">
        <v>123</v>
      </c>
      <c r="BM3" s="57" t="s">
        <v>14</v>
      </c>
    </row>
    <row r="4" spans="1:69" x14ac:dyDescent="0.25">
      <c r="A4" s="53" t="s">
        <v>62</v>
      </c>
      <c r="B4" s="54" t="s">
        <v>182</v>
      </c>
      <c r="C4" s="55">
        <v>1.7468711624147693E-2</v>
      </c>
      <c r="D4" s="55">
        <v>5.2717550227505301E-2</v>
      </c>
      <c r="E4" s="55">
        <v>0</v>
      </c>
      <c r="F4" s="55">
        <v>0</v>
      </c>
      <c r="G4" s="55">
        <v>9.4882319502399212E-3</v>
      </c>
      <c r="H4" s="55">
        <v>0</v>
      </c>
      <c r="I4" s="55">
        <v>1.2456559439167998E-3</v>
      </c>
      <c r="J4" s="55">
        <v>5.4760345362354771E-4</v>
      </c>
      <c r="K4" s="55">
        <v>4.0648372556379353E-4</v>
      </c>
      <c r="L4" s="55">
        <v>1.1376535237012638E-3</v>
      </c>
      <c r="M4" s="55">
        <v>5.4534158374088398E-2</v>
      </c>
      <c r="N4" s="55">
        <v>0</v>
      </c>
      <c r="O4" s="55">
        <v>4.9141838785029483E-3</v>
      </c>
      <c r="P4" s="55">
        <v>1.056364578152346E-7</v>
      </c>
      <c r="Q4" s="55">
        <v>1.4038428694254472E-3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0</v>
      </c>
      <c r="AF4" s="55">
        <v>0</v>
      </c>
      <c r="AG4" s="55">
        <v>3.0448958662420471E-5</v>
      </c>
      <c r="AH4" s="55">
        <v>1.3117902348672707E-5</v>
      </c>
      <c r="AI4" s="55">
        <v>0</v>
      </c>
      <c r="AJ4" s="55">
        <v>0</v>
      </c>
      <c r="AK4" s="55">
        <v>0</v>
      </c>
      <c r="AL4" s="55">
        <v>2.0610168802643523E-4</v>
      </c>
      <c r="AM4" s="55">
        <v>6.3271663897083478E-5</v>
      </c>
      <c r="AN4" s="55">
        <v>0</v>
      </c>
      <c r="AO4" s="55">
        <v>0</v>
      </c>
      <c r="AP4" s="55">
        <v>2.7060385574208671E-5</v>
      </c>
      <c r="AQ4" s="55">
        <v>0</v>
      </c>
      <c r="AR4" s="55">
        <v>0</v>
      </c>
      <c r="AS4" s="55">
        <v>1.1626456675404276E-5</v>
      </c>
      <c r="AT4" s="55">
        <v>0</v>
      </c>
      <c r="AU4" s="55">
        <v>0</v>
      </c>
      <c r="AV4" s="55">
        <v>1.3147772697529598E-4</v>
      </c>
      <c r="AW4" s="55">
        <v>0</v>
      </c>
      <c r="AX4" s="55">
        <v>0</v>
      </c>
      <c r="AY4" s="55">
        <v>6.3888237827479481E-7</v>
      </c>
      <c r="AZ4" s="55">
        <v>0</v>
      </c>
      <c r="BA4" s="55">
        <v>7.1643611779470689E-5</v>
      </c>
      <c r="BB4" s="55">
        <v>1.3190066177752114E-4</v>
      </c>
      <c r="BC4" s="55">
        <v>5.154232073547586E-5</v>
      </c>
      <c r="BD4" s="55">
        <v>2.1018587744968882E-5</v>
      </c>
      <c r="BE4" s="55">
        <v>0</v>
      </c>
      <c r="BF4" s="55">
        <v>1.1435813016999502E-3</v>
      </c>
      <c r="BG4" s="55">
        <v>2.7407969899226966E-7</v>
      </c>
      <c r="BH4" s="55">
        <v>0</v>
      </c>
      <c r="BI4" s="55">
        <v>1.6046250600215545E-5</v>
      </c>
      <c r="BJ4" s="55">
        <v>0</v>
      </c>
      <c r="BK4" s="55">
        <v>0</v>
      </c>
      <c r="BL4" s="55">
        <v>0</v>
      </c>
      <c r="BM4" s="90">
        <v>0</v>
      </c>
      <c r="BO4" s="92"/>
      <c r="BP4" s="92"/>
      <c r="BQ4" s="92"/>
    </row>
    <row r="5" spans="1:69" x14ac:dyDescent="0.25">
      <c r="A5" s="53" t="s">
        <v>63</v>
      </c>
      <c r="B5" s="54" t="s">
        <v>125</v>
      </c>
      <c r="C5" s="55">
        <v>0</v>
      </c>
      <c r="D5" s="55">
        <v>3.0804807434384972E-2</v>
      </c>
      <c r="E5" s="55">
        <v>0</v>
      </c>
      <c r="F5" s="55">
        <v>9.8067830193426016E-4</v>
      </c>
      <c r="G5" s="55">
        <v>3.6339544666648731E-2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1.9808955259161369E-2</v>
      </c>
      <c r="N5" s="55">
        <v>0</v>
      </c>
      <c r="O5" s="55">
        <v>0</v>
      </c>
      <c r="P5" s="55">
        <v>0</v>
      </c>
      <c r="Q5" s="55">
        <v>6.0782713088306443E-7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v>8.2370573021356343E-6</v>
      </c>
      <c r="AH5" s="55">
        <v>2.8134884914255363E-6</v>
      </c>
      <c r="AI5" s="55">
        <v>0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1.4095797067299198E-3</v>
      </c>
      <c r="AS5" s="55">
        <v>0</v>
      </c>
      <c r="AT5" s="55">
        <v>0</v>
      </c>
      <c r="AU5" s="55">
        <v>0</v>
      </c>
      <c r="AV5" s="55">
        <v>9.16688201385949E-7</v>
      </c>
      <c r="AW5" s="55">
        <v>0</v>
      </c>
      <c r="AX5" s="55">
        <v>7.2349772845975415E-6</v>
      </c>
      <c r="AY5" s="55">
        <v>0</v>
      </c>
      <c r="AZ5" s="55">
        <v>0</v>
      </c>
      <c r="BA5" s="55">
        <v>6.0353802696980641E-4</v>
      </c>
      <c r="BB5" s="55">
        <v>4.7270597807801504E-5</v>
      </c>
      <c r="BC5" s="55">
        <v>8.9582837613538507E-7</v>
      </c>
      <c r="BD5" s="55">
        <v>1.1225812996597109E-4</v>
      </c>
      <c r="BE5" s="55">
        <v>0</v>
      </c>
      <c r="BF5" s="55">
        <v>1.4414069116845461E-3</v>
      </c>
      <c r="BG5" s="55">
        <v>0</v>
      </c>
      <c r="BH5" s="55">
        <v>1.1846413900534992E-3</v>
      </c>
      <c r="BI5" s="55">
        <v>1.4509898774633299E-7</v>
      </c>
      <c r="BJ5" s="55">
        <v>0</v>
      </c>
      <c r="BK5" s="55">
        <v>0</v>
      </c>
      <c r="BL5" s="55">
        <v>0</v>
      </c>
      <c r="BM5" s="91">
        <v>0</v>
      </c>
    </row>
    <row r="6" spans="1:69" x14ac:dyDescent="0.25">
      <c r="A6" s="53" t="s">
        <v>64</v>
      </c>
      <c r="B6" s="54" t="s">
        <v>2</v>
      </c>
      <c r="C6" s="55">
        <v>0</v>
      </c>
      <c r="D6" s="55">
        <v>0</v>
      </c>
      <c r="E6" s="55">
        <v>6.0564587293343115E-3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4.0429051657901233E-4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0</v>
      </c>
      <c r="AJ6" s="55">
        <v>0</v>
      </c>
      <c r="AK6" s="55">
        <v>0</v>
      </c>
      <c r="AL6" s="55">
        <v>0</v>
      </c>
      <c r="AM6" s="55">
        <v>0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  <c r="AS6" s="55">
        <v>0</v>
      </c>
      <c r="AT6" s="55">
        <v>0</v>
      </c>
      <c r="AU6" s="55">
        <v>0</v>
      </c>
      <c r="AV6" s="55">
        <v>0</v>
      </c>
      <c r="AW6" s="55">
        <v>0</v>
      </c>
      <c r="AX6" s="55">
        <v>0</v>
      </c>
      <c r="AY6" s="55">
        <v>0</v>
      </c>
      <c r="AZ6" s="55">
        <v>0</v>
      </c>
      <c r="BA6" s="55">
        <v>3.832462235134365E-4</v>
      </c>
      <c r="BB6" s="55">
        <v>9.9402590565433776E-5</v>
      </c>
      <c r="BC6" s="55">
        <v>0</v>
      </c>
      <c r="BD6" s="55">
        <v>1.5963960371165147E-6</v>
      </c>
      <c r="BE6" s="55">
        <v>0</v>
      </c>
      <c r="BF6" s="55">
        <v>6.7134980747604106E-3</v>
      </c>
      <c r="BG6" s="55">
        <v>0</v>
      </c>
      <c r="BH6" s="55">
        <v>0</v>
      </c>
      <c r="BI6" s="55">
        <v>1.2976952743673059E-5</v>
      </c>
      <c r="BJ6" s="55">
        <v>0</v>
      </c>
      <c r="BK6" s="55">
        <v>0</v>
      </c>
      <c r="BL6" s="55">
        <v>0</v>
      </c>
      <c r="BM6" s="91">
        <v>0</v>
      </c>
    </row>
    <row r="7" spans="1:69" x14ac:dyDescent="0.25">
      <c r="A7" s="53" t="s">
        <v>65</v>
      </c>
      <c r="B7" s="54" t="s">
        <v>126</v>
      </c>
      <c r="C7" s="55">
        <v>2.0703155420396715E-3</v>
      </c>
      <c r="D7" s="55">
        <v>0</v>
      </c>
      <c r="E7" s="55">
        <v>0</v>
      </c>
      <c r="F7" s="55">
        <v>0.31805578821017544</v>
      </c>
      <c r="G7" s="55">
        <v>1.5018675576797588E-2</v>
      </c>
      <c r="H7" s="55">
        <v>1.9428171194222868E-2</v>
      </c>
      <c r="I7" s="55">
        <v>0</v>
      </c>
      <c r="J7" s="55">
        <v>0</v>
      </c>
      <c r="K7" s="55">
        <v>0</v>
      </c>
      <c r="L7" s="55">
        <v>0</v>
      </c>
      <c r="M7" s="55">
        <v>1.6494998587574739E-4</v>
      </c>
      <c r="N7" s="55">
        <v>1.434968408950966E-3</v>
      </c>
      <c r="O7" s="55">
        <v>5.2377454046852916E-3</v>
      </c>
      <c r="P7" s="55">
        <v>6.6907190953917773E-5</v>
      </c>
      <c r="Q7" s="55">
        <v>3.3469822729205304E-4</v>
      </c>
      <c r="R7" s="55">
        <v>0</v>
      </c>
      <c r="S7" s="55">
        <v>5.0687457418100573E-5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55">
        <v>0</v>
      </c>
      <c r="Z7" s="55">
        <v>0</v>
      </c>
      <c r="AA7" s="55">
        <v>0</v>
      </c>
      <c r="AB7" s="55">
        <v>0</v>
      </c>
      <c r="AC7" s="55">
        <v>0</v>
      </c>
      <c r="AD7" s="55">
        <v>0</v>
      </c>
      <c r="AE7" s="55">
        <v>0</v>
      </c>
      <c r="AF7" s="55">
        <v>0</v>
      </c>
      <c r="AG7" s="55">
        <v>0</v>
      </c>
      <c r="AH7" s="55">
        <v>0</v>
      </c>
      <c r="AI7" s="55">
        <v>0</v>
      </c>
      <c r="AJ7" s="55">
        <v>0</v>
      </c>
      <c r="AK7" s="55">
        <v>0</v>
      </c>
      <c r="AL7" s="55">
        <v>0</v>
      </c>
      <c r="AM7" s="55">
        <v>0</v>
      </c>
      <c r="AN7" s="55">
        <v>0</v>
      </c>
      <c r="AO7" s="55">
        <v>0</v>
      </c>
      <c r="AP7" s="55">
        <v>0</v>
      </c>
      <c r="AQ7" s="55">
        <v>0</v>
      </c>
      <c r="AR7" s="55">
        <v>7.062457865564673E-4</v>
      </c>
      <c r="AS7" s="55">
        <v>0</v>
      </c>
      <c r="AT7" s="55">
        <v>0</v>
      </c>
      <c r="AU7" s="55">
        <v>0</v>
      </c>
      <c r="AV7" s="55">
        <v>1.6903465435652397E-4</v>
      </c>
      <c r="AW7" s="55">
        <v>0</v>
      </c>
      <c r="AX7" s="55">
        <v>2.7992309027319199E-5</v>
      </c>
      <c r="AY7" s="55">
        <v>0</v>
      </c>
      <c r="AZ7" s="55">
        <v>0</v>
      </c>
      <c r="BA7" s="55">
        <v>0</v>
      </c>
      <c r="BB7" s="55">
        <v>0</v>
      </c>
      <c r="BC7" s="55">
        <v>0</v>
      </c>
      <c r="BD7" s="55">
        <v>8.6425010308925792E-6</v>
      </c>
      <c r="BE7" s="55">
        <v>0</v>
      </c>
      <c r="BF7" s="55">
        <v>0</v>
      </c>
      <c r="BG7" s="55">
        <v>3.0049621458412022E-6</v>
      </c>
      <c r="BH7" s="55">
        <v>0</v>
      </c>
      <c r="BI7" s="55">
        <v>0</v>
      </c>
      <c r="BJ7" s="55">
        <v>0</v>
      </c>
      <c r="BK7" s="55">
        <v>0</v>
      </c>
      <c r="BL7" s="55">
        <v>0</v>
      </c>
      <c r="BM7" s="91">
        <v>0</v>
      </c>
    </row>
    <row r="8" spans="1:69" x14ac:dyDescent="0.25">
      <c r="A8" s="53" t="s">
        <v>66</v>
      </c>
      <c r="B8" s="54" t="s">
        <v>19</v>
      </c>
      <c r="C8" s="55">
        <v>5.9726891833456114E-2</v>
      </c>
      <c r="D8" s="55">
        <v>3.6509719236547458E-3</v>
      </c>
      <c r="E8" s="55">
        <v>0</v>
      </c>
      <c r="F8" s="55">
        <v>7.8657016192792365E-3</v>
      </c>
      <c r="G8" s="55">
        <v>1.3116925089653068E-2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6.1148356160002355E-4</v>
      </c>
      <c r="R8" s="55">
        <v>6.4933828639164851E-6</v>
      </c>
      <c r="S8" s="55">
        <v>2.0729128510045776E-6</v>
      </c>
      <c r="T8" s="55">
        <v>0</v>
      </c>
      <c r="U8" s="55">
        <v>0</v>
      </c>
      <c r="V8" s="55">
        <v>2.2630483876143589E-5</v>
      </c>
      <c r="W8" s="55">
        <v>0</v>
      </c>
      <c r="X8" s="55">
        <v>0</v>
      </c>
      <c r="Y8" s="55">
        <v>1.0915976227212402E-6</v>
      </c>
      <c r="Z8" s="55">
        <v>0</v>
      </c>
      <c r="AA8" s="55">
        <v>4.6107060927003497E-7</v>
      </c>
      <c r="AB8" s="55">
        <v>1.7777457563665299E-6</v>
      </c>
      <c r="AC8" s="55">
        <v>2.8502389680445074E-7</v>
      </c>
      <c r="AD8" s="55">
        <v>2.7055417614958158E-7</v>
      </c>
      <c r="AE8" s="55">
        <v>8.2409864326445695E-6</v>
      </c>
      <c r="AF8" s="55">
        <v>5.5724755063687722E-6</v>
      </c>
      <c r="AG8" s="55">
        <v>0</v>
      </c>
      <c r="AH8" s="55">
        <v>0</v>
      </c>
      <c r="AI8" s="55">
        <v>2.35612911560158E-7</v>
      </c>
      <c r="AJ8" s="55">
        <v>0</v>
      </c>
      <c r="AK8" s="55">
        <v>0</v>
      </c>
      <c r="AL8" s="55">
        <v>2.3183267722329073E-3</v>
      </c>
      <c r="AM8" s="55">
        <v>4.223523979410244E-4</v>
      </c>
      <c r="AN8" s="55">
        <v>0</v>
      </c>
      <c r="AO8" s="55">
        <v>5.4766296259901531E-7</v>
      </c>
      <c r="AP8" s="55">
        <v>0</v>
      </c>
      <c r="AQ8" s="55">
        <v>2.2893869831080638E-7</v>
      </c>
      <c r="AR8" s="55">
        <v>0</v>
      </c>
      <c r="AS8" s="55">
        <v>0</v>
      </c>
      <c r="AT8" s="55">
        <v>1.0628069919546158E-7</v>
      </c>
      <c r="AU8" s="55">
        <v>0</v>
      </c>
      <c r="AV8" s="55">
        <v>0</v>
      </c>
      <c r="AW8" s="55">
        <v>0</v>
      </c>
      <c r="AX8" s="55">
        <v>0</v>
      </c>
      <c r="AY8" s="55">
        <v>0</v>
      </c>
      <c r="AZ8" s="55">
        <v>1.2652110965942804E-7</v>
      </c>
      <c r="BA8" s="55">
        <v>0</v>
      </c>
      <c r="BB8" s="55">
        <v>0</v>
      </c>
      <c r="BC8" s="55">
        <v>0</v>
      </c>
      <c r="BD8" s="55">
        <v>0</v>
      </c>
      <c r="BE8" s="55">
        <v>1.5119425179874836E-5</v>
      </c>
      <c r="BF8" s="55">
        <v>0</v>
      </c>
      <c r="BG8" s="55">
        <v>0</v>
      </c>
      <c r="BH8" s="55">
        <v>0</v>
      </c>
      <c r="BI8" s="55">
        <v>0</v>
      </c>
      <c r="BJ8" s="55">
        <v>0</v>
      </c>
      <c r="BK8" s="55">
        <v>2.3335724213691904E-5</v>
      </c>
      <c r="BL8" s="55">
        <v>2.0545641307698014E-5</v>
      </c>
      <c r="BM8" s="91">
        <v>0</v>
      </c>
    </row>
    <row r="9" spans="1:69" x14ac:dyDescent="0.25">
      <c r="A9" s="53" t="s">
        <v>67</v>
      </c>
      <c r="B9" s="54" t="s">
        <v>3</v>
      </c>
      <c r="C9" s="55">
        <v>2.7883099349827213E-4</v>
      </c>
      <c r="D9" s="55">
        <v>0</v>
      </c>
      <c r="E9" s="55">
        <v>0</v>
      </c>
      <c r="F9" s="55">
        <v>1.9496928452629871E-6</v>
      </c>
      <c r="G9" s="55">
        <v>3.3719177791549745E-6</v>
      </c>
      <c r="H9" s="55">
        <v>5.9468821098991103E-3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6.7238297637493133E-4</v>
      </c>
      <c r="AF9" s="55">
        <v>5.2935255837296569E-3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  <c r="AS9" s="55">
        <v>0</v>
      </c>
      <c r="AT9" s="55">
        <v>0</v>
      </c>
      <c r="AU9" s="55">
        <v>0</v>
      </c>
      <c r="AV9" s="55">
        <v>0</v>
      </c>
      <c r="AW9" s="55">
        <v>0</v>
      </c>
      <c r="AX9" s="55">
        <v>0</v>
      </c>
      <c r="AY9" s="55">
        <v>0</v>
      </c>
      <c r="AZ9" s="55">
        <v>0</v>
      </c>
      <c r="BA9" s="55">
        <v>0</v>
      </c>
      <c r="BB9" s="55">
        <v>0</v>
      </c>
      <c r="BC9" s="55">
        <v>0</v>
      </c>
      <c r="BD9" s="55">
        <v>0</v>
      </c>
      <c r="BE9" s="55">
        <v>0</v>
      </c>
      <c r="BF9" s="55">
        <v>0</v>
      </c>
      <c r="BG9" s="55">
        <v>0</v>
      </c>
      <c r="BH9" s="55">
        <v>0</v>
      </c>
      <c r="BI9" s="55">
        <v>0</v>
      </c>
      <c r="BJ9" s="55">
        <v>0</v>
      </c>
      <c r="BK9" s="55">
        <v>0</v>
      </c>
      <c r="BL9" s="55">
        <v>0</v>
      </c>
      <c r="BM9" s="91">
        <v>0</v>
      </c>
    </row>
    <row r="10" spans="1:69" x14ac:dyDescent="0.25">
      <c r="A10" s="53" t="s">
        <v>68</v>
      </c>
      <c r="B10" s="54" t="s">
        <v>127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  <c r="AS10" s="55">
        <v>0</v>
      </c>
      <c r="AT10" s="55">
        <v>0</v>
      </c>
      <c r="AU10" s="55">
        <v>0</v>
      </c>
      <c r="AV10" s="55">
        <v>0</v>
      </c>
      <c r="AW10" s="55">
        <v>0</v>
      </c>
      <c r="AX10" s="55">
        <v>0</v>
      </c>
      <c r="AY10" s="55">
        <v>0</v>
      </c>
      <c r="AZ10" s="55">
        <v>0</v>
      </c>
      <c r="BA10" s="55">
        <v>0</v>
      </c>
      <c r="BB10" s="55">
        <v>0</v>
      </c>
      <c r="BC10" s="55">
        <v>0</v>
      </c>
      <c r="BD10" s="55">
        <v>0</v>
      </c>
      <c r="BE10" s="55">
        <v>0</v>
      </c>
      <c r="BF10" s="55">
        <v>0</v>
      </c>
      <c r="BG10" s="55">
        <v>0</v>
      </c>
      <c r="BH10" s="55">
        <v>0</v>
      </c>
      <c r="BI10" s="55">
        <v>0</v>
      </c>
      <c r="BJ10" s="55">
        <v>0</v>
      </c>
      <c r="BK10" s="55">
        <v>0</v>
      </c>
      <c r="BL10" s="55">
        <v>0</v>
      </c>
      <c r="BM10" s="91">
        <v>0</v>
      </c>
    </row>
    <row r="11" spans="1:69" x14ac:dyDescent="0.25">
      <c r="A11" s="53" t="s">
        <v>69</v>
      </c>
      <c r="B11" s="54" t="s">
        <v>128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  <c r="AS11" s="55">
        <v>0</v>
      </c>
      <c r="AT11" s="55">
        <v>0</v>
      </c>
      <c r="AU11" s="55">
        <v>0</v>
      </c>
      <c r="AV11" s="55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5">
        <v>0</v>
      </c>
      <c r="BC11" s="55">
        <v>0</v>
      </c>
      <c r="BD11" s="55">
        <v>0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91">
        <v>0</v>
      </c>
    </row>
    <row r="12" spans="1:69" x14ac:dyDescent="0.25">
      <c r="A12" s="53" t="s">
        <v>70</v>
      </c>
      <c r="B12" s="54" t="s">
        <v>129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  <c r="AS12" s="55">
        <v>0</v>
      </c>
      <c r="AT12" s="55">
        <v>0</v>
      </c>
      <c r="AU12" s="55">
        <v>0</v>
      </c>
      <c r="AV12" s="55">
        <v>0</v>
      </c>
      <c r="AW12" s="55">
        <v>0</v>
      </c>
      <c r="AX12" s="55">
        <v>0</v>
      </c>
      <c r="AY12" s="55">
        <v>0</v>
      </c>
      <c r="AZ12" s="55">
        <v>0</v>
      </c>
      <c r="BA12" s="55">
        <v>0</v>
      </c>
      <c r="BB12" s="55">
        <v>0</v>
      </c>
      <c r="BC12" s="55">
        <v>0</v>
      </c>
      <c r="BD12" s="55">
        <v>0</v>
      </c>
      <c r="BE12" s="55">
        <v>0</v>
      </c>
      <c r="BF12" s="55">
        <v>0</v>
      </c>
      <c r="BG12" s="55">
        <v>0</v>
      </c>
      <c r="BH12" s="55">
        <v>0</v>
      </c>
      <c r="BI12" s="55">
        <v>0</v>
      </c>
      <c r="BJ12" s="55">
        <v>0</v>
      </c>
      <c r="BK12" s="55">
        <v>0</v>
      </c>
      <c r="BL12" s="55">
        <v>0</v>
      </c>
      <c r="BM12" s="91">
        <v>0</v>
      </c>
    </row>
    <row r="13" spans="1:69" x14ac:dyDescent="0.25">
      <c r="A13" s="53" t="s">
        <v>71</v>
      </c>
      <c r="B13" s="54" t="s">
        <v>130</v>
      </c>
      <c r="C13" s="55">
        <v>3.3674112933257797E-3</v>
      </c>
      <c r="D13" s="55">
        <v>1.6321550699633738E-3</v>
      </c>
      <c r="E13" s="55">
        <v>0.12108635902974101</v>
      </c>
      <c r="F13" s="55">
        <v>1.2070703058873351E-4</v>
      </c>
      <c r="G13" s="55">
        <v>1.7851966368174416E-3</v>
      </c>
      <c r="H13" s="55">
        <v>3.6387550646324283E-5</v>
      </c>
      <c r="I13" s="55">
        <v>1.1692538384345083E-3</v>
      </c>
      <c r="J13" s="55">
        <v>1.9419742792797681E-3</v>
      </c>
      <c r="K13" s="55">
        <v>2.5854322923022275E-3</v>
      </c>
      <c r="L13" s="55">
        <v>1.4662377170274752E-3</v>
      </c>
      <c r="M13" s="55">
        <v>7.6226937432563834E-3</v>
      </c>
      <c r="N13" s="55">
        <v>1.4943469496688266E-3</v>
      </c>
      <c r="O13" s="55">
        <v>2.4906381993947025E-3</v>
      </c>
      <c r="P13" s="55">
        <v>4.907506421726655E-4</v>
      </c>
      <c r="Q13" s="55">
        <v>1.3806705664132484E-3</v>
      </c>
      <c r="R13" s="55">
        <v>2.6721489721341921E-2</v>
      </c>
      <c r="S13" s="55">
        <v>6.1052173033302866E-5</v>
      </c>
      <c r="T13" s="55">
        <v>4.0294671420677722E-4</v>
      </c>
      <c r="U13" s="55">
        <v>0</v>
      </c>
      <c r="V13" s="55">
        <v>2.8050440800292784E-3</v>
      </c>
      <c r="W13" s="55">
        <v>5.173496222699801E-3</v>
      </c>
      <c r="X13" s="55">
        <v>1.3504990723475788E-2</v>
      </c>
      <c r="Y13" s="55">
        <v>3.8316518785968777E-3</v>
      </c>
      <c r="Z13" s="55">
        <v>3.8745984890880682E-3</v>
      </c>
      <c r="AA13" s="55">
        <v>1.3467784872776439E-3</v>
      </c>
      <c r="AB13" s="55">
        <v>5.1927615692401218E-3</v>
      </c>
      <c r="AC13" s="55">
        <v>1.4727531982667388E-3</v>
      </c>
      <c r="AD13" s="55">
        <v>1.3979863888468756E-3</v>
      </c>
      <c r="AE13" s="55">
        <v>4.552619012450379E-2</v>
      </c>
      <c r="AF13" s="55">
        <v>3.2854216990374219E-2</v>
      </c>
      <c r="AG13" s="55">
        <v>2.7822076024655558E-3</v>
      </c>
      <c r="AH13" s="55">
        <v>4.0313823007891905E-3</v>
      </c>
      <c r="AI13" s="55">
        <v>8.6939027803205858E-3</v>
      </c>
      <c r="AJ13" s="55">
        <v>1.9221470854696669E-4</v>
      </c>
      <c r="AK13" s="55">
        <v>4.1927629341111132E-3</v>
      </c>
      <c r="AL13" s="55">
        <v>8.051445090055992E-2</v>
      </c>
      <c r="AM13" s="55">
        <v>1.5559417010375637E-2</v>
      </c>
      <c r="AN13" s="55">
        <v>1.9085880114341456E-3</v>
      </c>
      <c r="AO13" s="55">
        <v>2.9156526671406881E-3</v>
      </c>
      <c r="AP13" s="55">
        <v>4.8664234500308528E-3</v>
      </c>
      <c r="AQ13" s="55">
        <v>3.2545174075402169E-4</v>
      </c>
      <c r="AR13" s="55">
        <v>1.2951675708628268E-2</v>
      </c>
      <c r="AS13" s="55">
        <v>2.7938057791874853E-3</v>
      </c>
      <c r="AT13" s="55">
        <v>9.415693594540378E-3</v>
      </c>
      <c r="AU13" s="55">
        <v>1.568648941943315E-3</v>
      </c>
      <c r="AV13" s="55">
        <v>7.1346111619409772E-4</v>
      </c>
      <c r="AW13" s="55">
        <v>1.6976354291314776E-3</v>
      </c>
      <c r="AX13" s="55">
        <v>4.6179150195204495E-4</v>
      </c>
      <c r="AY13" s="55">
        <v>3.4299956673314848E-2</v>
      </c>
      <c r="AZ13" s="55">
        <v>4.1802139517015466E-4</v>
      </c>
      <c r="BA13" s="55">
        <v>5.4297586344881606E-3</v>
      </c>
      <c r="BB13" s="55">
        <v>5.5558088354143486E-3</v>
      </c>
      <c r="BC13" s="55">
        <v>3.982270638467904E-3</v>
      </c>
      <c r="BD13" s="55">
        <v>1.3831980477405738E-3</v>
      </c>
      <c r="BE13" s="55">
        <v>4.0254518791576918E-2</v>
      </c>
      <c r="BF13" s="55">
        <v>2.3885292523588019E-2</v>
      </c>
      <c r="BG13" s="55">
        <v>9.6997979713508379E-4</v>
      </c>
      <c r="BH13" s="55">
        <v>1.1711009632845821E-2</v>
      </c>
      <c r="BI13" s="55">
        <v>2.7434351746036477E-3</v>
      </c>
      <c r="BJ13" s="55">
        <v>0</v>
      </c>
      <c r="BK13" s="55">
        <v>1.0875978753627991E-2</v>
      </c>
      <c r="BL13" s="55">
        <v>1.4829133146556986E-3</v>
      </c>
      <c r="BM13" s="91">
        <v>0</v>
      </c>
    </row>
    <row r="14" spans="1:69" x14ac:dyDescent="0.25">
      <c r="A14" s="53" t="s">
        <v>72</v>
      </c>
      <c r="B14" s="54" t="s">
        <v>131</v>
      </c>
      <c r="C14" s="55">
        <v>4.1044148606034957E-4</v>
      </c>
      <c r="D14" s="55">
        <v>2.5179043478804019E-2</v>
      </c>
      <c r="E14" s="55">
        <v>5.5846831953254362E-5</v>
      </c>
      <c r="F14" s="55">
        <v>6.7726357973723651E-4</v>
      </c>
      <c r="G14" s="55">
        <v>8.0020162975980231E-4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2.6641915662200161E-2</v>
      </c>
      <c r="N14" s="55">
        <v>5.2196935344296827E-2</v>
      </c>
      <c r="O14" s="55">
        <v>1.9596849481325037E-3</v>
      </c>
      <c r="P14" s="55">
        <v>6.3580217966476314E-5</v>
      </c>
      <c r="Q14" s="55">
        <v>1.4744354026400869E-4</v>
      </c>
      <c r="R14" s="55">
        <v>0</v>
      </c>
      <c r="S14" s="55">
        <v>7.5138652110527833E-5</v>
      </c>
      <c r="T14" s="55">
        <v>0</v>
      </c>
      <c r="U14" s="55">
        <v>0</v>
      </c>
      <c r="V14" s="55">
        <v>1.2094422520540452E-3</v>
      </c>
      <c r="W14" s="55">
        <v>1.2478541525096304E-3</v>
      </c>
      <c r="X14" s="55">
        <v>0</v>
      </c>
      <c r="Y14" s="55">
        <v>6.5070424612181582E-5</v>
      </c>
      <c r="Z14" s="55">
        <v>1.3961695662870627E-3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1.6682176853335967E-4</v>
      </c>
      <c r="AH14" s="55">
        <v>4.684059706639473E-5</v>
      </c>
      <c r="AI14" s="55">
        <v>0</v>
      </c>
      <c r="AJ14" s="55">
        <v>0</v>
      </c>
      <c r="AK14" s="55">
        <v>0</v>
      </c>
      <c r="AL14" s="55">
        <v>0</v>
      </c>
      <c r="AM14" s="55">
        <v>0</v>
      </c>
      <c r="AN14" s="55">
        <v>0</v>
      </c>
      <c r="AO14" s="55">
        <v>0</v>
      </c>
      <c r="AP14" s="55">
        <v>0</v>
      </c>
      <c r="AQ14" s="55">
        <v>0</v>
      </c>
      <c r="AR14" s="55">
        <v>2.6143899272921146E-4</v>
      </c>
      <c r="AS14" s="55">
        <v>4.7190281019165596E-4</v>
      </c>
      <c r="AT14" s="55">
        <v>0</v>
      </c>
      <c r="AU14" s="55">
        <v>0</v>
      </c>
      <c r="AV14" s="55">
        <v>1.2020172122251565E-6</v>
      </c>
      <c r="AW14" s="55">
        <v>0</v>
      </c>
      <c r="AX14" s="55">
        <v>1.0056432087241581E-5</v>
      </c>
      <c r="AY14" s="55">
        <v>5.5128010212911025E-6</v>
      </c>
      <c r="AZ14" s="55">
        <v>8.1894987587244783E-7</v>
      </c>
      <c r="BA14" s="55">
        <v>2.41128167738688E-3</v>
      </c>
      <c r="BB14" s="55">
        <v>8.1351236274740703E-3</v>
      </c>
      <c r="BC14" s="55">
        <v>3.1746032658155642E-3</v>
      </c>
      <c r="BD14" s="55">
        <v>5.1520666154065688E-5</v>
      </c>
      <c r="BE14" s="55">
        <v>4.3573940441532283E-4</v>
      </c>
      <c r="BF14" s="55">
        <v>3.4465512990234939E-2</v>
      </c>
      <c r="BG14" s="55">
        <v>0</v>
      </c>
      <c r="BH14" s="55">
        <v>3.5706730555875666E-4</v>
      </c>
      <c r="BI14" s="55">
        <v>2.5921314299391798E-4</v>
      </c>
      <c r="BJ14" s="55">
        <v>0</v>
      </c>
      <c r="BK14" s="55">
        <v>4.593419504222049E-4</v>
      </c>
      <c r="BL14" s="55">
        <v>8.2169279413260692E-6</v>
      </c>
      <c r="BM14" s="91">
        <v>0</v>
      </c>
    </row>
    <row r="15" spans="1:69" x14ac:dyDescent="0.25">
      <c r="A15" s="53" t="s">
        <v>73</v>
      </c>
      <c r="B15" s="56" t="s">
        <v>132</v>
      </c>
      <c r="C15" s="55">
        <v>0</v>
      </c>
      <c r="D15" s="55">
        <v>7.2885816299623834E-5</v>
      </c>
      <c r="E15" s="55">
        <v>5.6824966402082089E-3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5.5540767693704222E-3</v>
      </c>
      <c r="N15" s="55">
        <v>2.5915140395440496E-2</v>
      </c>
      <c r="O15" s="55">
        <v>2.8324522720238766E-4</v>
      </c>
      <c r="P15" s="55">
        <v>9.1896369876461757E-6</v>
      </c>
      <c r="Q15" s="55">
        <v>1.7048731879642882E-5</v>
      </c>
      <c r="R15" s="55">
        <v>0</v>
      </c>
      <c r="S15" s="55">
        <v>8.6881984204692358E-6</v>
      </c>
      <c r="T15" s="55">
        <v>0</v>
      </c>
      <c r="U15" s="55">
        <v>0</v>
      </c>
      <c r="V15" s="55">
        <v>1.3984645676752046E-4</v>
      </c>
      <c r="W15" s="55">
        <v>1.452611702910059E-4</v>
      </c>
      <c r="X15" s="55">
        <v>0</v>
      </c>
      <c r="Y15" s="55">
        <v>7.5240205201339458E-6</v>
      </c>
      <c r="Z15" s="55">
        <v>1.6143752755478112E-4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1.9289414770701459E-5</v>
      </c>
      <c r="AH15" s="55">
        <v>5.4161259220814044E-6</v>
      </c>
      <c r="AI15" s="55">
        <v>0</v>
      </c>
      <c r="AJ15" s="55">
        <v>0</v>
      </c>
      <c r="AK15" s="55">
        <v>0</v>
      </c>
      <c r="AL15" s="55">
        <v>0</v>
      </c>
      <c r="AM15" s="55">
        <v>0</v>
      </c>
      <c r="AN15" s="55">
        <v>0</v>
      </c>
      <c r="AO15" s="55">
        <v>0</v>
      </c>
      <c r="AP15" s="55">
        <v>0</v>
      </c>
      <c r="AQ15" s="55">
        <v>0</v>
      </c>
      <c r="AR15" s="55">
        <v>0</v>
      </c>
      <c r="AS15" s="55">
        <v>2.6232365652567336E-5</v>
      </c>
      <c r="AT15" s="55">
        <v>0</v>
      </c>
      <c r="AU15" s="55">
        <v>0</v>
      </c>
      <c r="AV15" s="55">
        <v>0</v>
      </c>
      <c r="AW15" s="55">
        <v>0</v>
      </c>
      <c r="AX15" s="55">
        <v>3.6146904086129323E-6</v>
      </c>
      <c r="AY15" s="55">
        <v>1.3507076574708625E-5</v>
      </c>
      <c r="AZ15" s="55">
        <v>9.4694259454269858E-8</v>
      </c>
      <c r="BA15" s="55">
        <v>1.3810142290876935E-4</v>
      </c>
      <c r="BB15" s="55">
        <v>9.8654410670721599E-5</v>
      </c>
      <c r="BC15" s="55">
        <v>3.6707582988184409E-4</v>
      </c>
      <c r="BD15" s="55">
        <v>5.9572770834753656E-6</v>
      </c>
      <c r="BE15" s="55">
        <v>5.0384060651082386E-5</v>
      </c>
      <c r="BF15" s="55">
        <v>1.1088869524729905E-2</v>
      </c>
      <c r="BG15" s="55">
        <v>0</v>
      </c>
      <c r="BH15" s="55">
        <v>0</v>
      </c>
      <c r="BI15" s="55">
        <v>2.6970213058994367E-4</v>
      </c>
      <c r="BJ15" s="55">
        <v>0</v>
      </c>
      <c r="BK15" s="55">
        <v>2.0320592701331147E-4</v>
      </c>
      <c r="BL15" s="55">
        <v>2.3717815897833771E-5</v>
      </c>
      <c r="BM15" s="91">
        <v>0</v>
      </c>
    </row>
    <row r="16" spans="1:69" x14ac:dyDescent="0.25">
      <c r="A16" s="53" t="s">
        <v>74</v>
      </c>
      <c r="B16" s="56" t="s">
        <v>133</v>
      </c>
      <c r="C16" s="55">
        <v>1.0975475415481259E-3</v>
      </c>
      <c r="D16" s="55">
        <v>2.5043794997837217E-4</v>
      </c>
      <c r="E16" s="55">
        <v>5.366091912552445E-3</v>
      </c>
      <c r="F16" s="55">
        <v>0</v>
      </c>
      <c r="G16" s="55">
        <v>0</v>
      </c>
      <c r="H16" s="55">
        <v>4.3177530954518941E-4</v>
      </c>
      <c r="I16" s="55">
        <v>0</v>
      </c>
      <c r="J16" s="55">
        <v>1.9615196586306096E-4</v>
      </c>
      <c r="K16" s="55">
        <v>4.5668585513570131E-4</v>
      </c>
      <c r="L16" s="55">
        <v>0</v>
      </c>
      <c r="M16" s="55">
        <v>1.3323295909947044E-4</v>
      </c>
      <c r="N16" s="55">
        <v>4.3437319646456439E-4</v>
      </c>
      <c r="O16" s="55">
        <v>1.5675965450769137E-2</v>
      </c>
      <c r="P16" s="55">
        <v>1.3336124172966958E-6</v>
      </c>
      <c r="Q16" s="55">
        <v>3.3758058625301052E-4</v>
      </c>
      <c r="R16" s="55">
        <v>5.5941727714691802E-6</v>
      </c>
      <c r="S16" s="55">
        <v>7.9137016497966403E-5</v>
      </c>
      <c r="T16" s="55">
        <v>4.257734126801002E-6</v>
      </c>
      <c r="U16" s="55">
        <v>7.6151211371386997E-5</v>
      </c>
      <c r="V16" s="55">
        <v>8.3384184995938571E-5</v>
      </c>
      <c r="W16" s="55">
        <v>3.1805510723868273E-6</v>
      </c>
      <c r="X16" s="55">
        <v>2.8455931908007512E-4</v>
      </c>
      <c r="Y16" s="55">
        <v>1.8434606552807374E-5</v>
      </c>
      <c r="Z16" s="55">
        <v>2.5239237380278809E-4</v>
      </c>
      <c r="AA16" s="55">
        <v>6.3146471049456067E-6</v>
      </c>
      <c r="AB16" s="55">
        <v>2.4347327433301307E-5</v>
      </c>
      <c r="AC16" s="55">
        <v>3.5940103940231058E-6</v>
      </c>
      <c r="AD16" s="55">
        <v>3.4115543718605514E-6</v>
      </c>
      <c r="AE16" s="55">
        <v>7.6007553032066188E-6</v>
      </c>
      <c r="AF16" s="55">
        <v>4.8227396467980148E-6</v>
      </c>
      <c r="AG16" s="55">
        <v>2.5512393007016965E-4</v>
      </c>
      <c r="AH16" s="55">
        <v>8.7398180728621853E-5</v>
      </c>
      <c r="AI16" s="55">
        <v>8.5627377829911697E-5</v>
      </c>
      <c r="AJ16" s="55">
        <v>2.8237676036790611E-6</v>
      </c>
      <c r="AK16" s="55">
        <v>2.5382595464947755E-5</v>
      </c>
      <c r="AL16" s="55">
        <v>1.0833042668236574E-4</v>
      </c>
      <c r="AM16" s="55">
        <v>2.292294060368917E-5</v>
      </c>
      <c r="AN16" s="55">
        <v>1.5865479037049162E-4</v>
      </c>
      <c r="AO16" s="55">
        <v>1.3934835404148479E-5</v>
      </c>
      <c r="AP16" s="55">
        <v>4.320789061588362E-6</v>
      </c>
      <c r="AQ16" s="55">
        <v>7.9043436702467389E-7</v>
      </c>
      <c r="AR16" s="55">
        <v>7.0576945203621382E-5</v>
      </c>
      <c r="AS16" s="55">
        <v>1.0878127796839792E-4</v>
      </c>
      <c r="AT16" s="55">
        <v>5.9349369840444769E-6</v>
      </c>
      <c r="AU16" s="55">
        <v>8.4285799050801542E-6</v>
      </c>
      <c r="AV16" s="55">
        <v>7.8034128185859393E-5</v>
      </c>
      <c r="AW16" s="55">
        <v>5.7417194238036745E-6</v>
      </c>
      <c r="AX16" s="55">
        <v>8.1488883699574129E-6</v>
      </c>
      <c r="AY16" s="55">
        <v>7.4581888862830146E-6</v>
      </c>
      <c r="AZ16" s="55">
        <v>3.280951553324264E-6</v>
      </c>
      <c r="BA16" s="55">
        <v>2.7632600850731315E-4</v>
      </c>
      <c r="BB16" s="55">
        <v>3.6371294923248789E-4</v>
      </c>
      <c r="BC16" s="55">
        <v>2.1790081064345748E-4</v>
      </c>
      <c r="BD16" s="55">
        <v>5.0867835747543334E-5</v>
      </c>
      <c r="BE16" s="55">
        <v>1.6832364042748232E-4</v>
      </c>
      <c r="BF16" s="55">
        <v>1.4231798285365744E-4</v>
      </c>
      <c r="BG16" s="55">
        <v>4.4747968792635175E-5</v>
      </c>
      <c r="BH16" s="55">
        <v>5.544521556508894E-4</v>
      </c>
      <c r="BI16" s="55">
        <v>2.9710591222298642E-5</v>
      </c>
      <c r="BJ16" s="55">
        <v>0</v>
      </c>
      <c r="BK16" s="55">
        <v>1.3157607197892204E-5</v>
      </c>
      <c r="BL16" s="55">
        <v>1.0135184540719445E-5</v>
      </c>
      <c r="BM16" s="91">
        <v>0</v>
      </c>
    </row>
    <row r="17" spans="1:65" x14ac:dyDescent="0.25">
      <c r="A17" s="53" t="s">
        <v>75</v>
      </c>
      <c r="B17" s="54" t="s">
        <v>134</v>
      </c>
      <c r="C17" s="55">
        <v>3.2938093218488518E-3</v>
      </c>
      <c r="D17" s="55">
        <v>1.2862878051286639E-3</v>
      </c>
      <c r="E17" s="55">
        <v>1.7721026543201651E-2</v>
      </c>
      <c r="F17" s="55">
        <v>1.3520233000861408E-3</v>
      </c>
      <c r="G17" s="55">
        <v>3.6498225391866119E-4</v>
      </c>
      <c r="H17" s="55">
        <v>1.4796524704679015E-3</v>
      </c>
      <c r="I17" s="55">
        <v>4.7616976923789937E-4</v>
      </c>
      <c r="J17" s="55">
        <v>8.0542822511806044E-4</v>
      </c>
      <c r="K17" s="55">
        <v>1.9748409296334924E-3</v>
      </c>
      <c r="L17" s="55">
        <v>9.1810458105374157E-4</v>
      </c>
      <c r="M17" s="55">
        <v>2.9407006718772796E-3</v>
      </c>
      <c r="N17" s="55">
        <v>1.2957393408680995E-4</v>
      </c>
      <c r="O17" s="55">
        <v>8.7141885302157232E-3</v>
      </c>
      <c r="P17" s="55">
        <v>1.8500234710796604E-3</v>
      </c>
      <c r="Q17" s="55">
        <v>5.4797977896665852E-4</v>
      </c>
      <c r="R17" s="55">
        <v>1.5035074944533315E-2</v>
      </c>
      <c r="S17" s="55">
        <v>7.8092076947117075E-4</v>
      </c>
      <c r="T17" s="55">
        <v>1.4365874779004189E-3</v>
      </c>
      <c r="U17" s="55">
        <v>6.4255715465828646E-3</v>
      </c>
      <c r="V17" s="55">
        <v>8.0568811618214661E-3</v>
      </c>
      <c r="W17" s="55">
        <v>3.4105622378606303E-3</v>
      </c>
      <c r="X17" s="55">
        <v>5.3266418473090727E-3</v>
      </c>
      <c r="Y17" s="55">
        <v>2.3715151962471631E-4</v>
      </c>
      <c r="Z17" s="55">
        <v>5.1058032627163732E-5</v>
      </c>
      <c r="AA17" s="55">
        <v>4.6727969152708947E-5</v>
      </c>
      <c r="AB17" s="55">
        <v>1.8016860583757743E-4</v>
      </c>
      <c r="AC17" s="55">
        <v>3.0458585695944979E-5</v>
      </c>
      <c r="AD17" s="55">
        <v>2.891230402797026E-5</v>
      </c>
      <c r="AE17" s="55">
        <v>0.13149196185973058</v>
      </c>
      <c r="AF17" s="55">
        <v>5.8957515425554871E-2</v>
      </c>
      <c r="AG17" s="55">
        <v>5.1738802979528107E-4</v>
      </c>
      <c r="AH17" s="55">
        <v>5.8878644743108328E-4</v>
      </c>
      <c r="AI17" s="55">
        <v>1.4390260087685124E-4</v>
      </c>
      <c r="AJ17" s="55">
        <v>4.2231801075121335E-6</v>
      </c>
      <c r="AK17" s="55">
        <v>6.9718738821747568E-5</v>
      </c>
      <c r="AL17" s="55">
        <v>1.2082866221576423E-3</v>
      </c>
      <c r="AM17" s="55">
        <v>1.2258540654998195E-4</v>
      </c>
      <c r="AN17" s="55">
        <v>4.211781296977138E-4</v>
      </c>
      <c r="AO17" s="55">
        <v>1.2362088859642735E-4</v>
      </c>
      <c r="AP17" s="55">
        <v>8.9238135467144353E-5</v>
      </c>
      <c r="AQ17" s="55">
        <v>9.3474100691441892E-6</v>
      </c>
      <c r="AR17" s="55">
        <v>1.9011789473606086E-4</v>
      </c>
      <c r="AS17" s="55">
        <v>8.8784545262444268E-5</v>
      </c>
      <c r="AT17" s="55">
        <v>9.474638589059116E-5</v>
      </c>
      <c r="AU17" s="55">
        <v>3.1442079373014318E-4</v>
      </c>
      <c r="AV17" s="55">
        <v>5.8859665832390075E-4</v>
      </c>
      <c r="AW17" s="55">
        <v>4.1556235961867092E-3</v>
      </c>
      <c r="AX17" s="55">
        <v>2.2906458396485721E-5</v>
      </c>
      <c r="AY17" s="55">
        <v>7.8547001441170634E-5</v>
      </c>
      <c r="AZ17" s="55">
        <v>3.040315364084471E-5</v>
      </c>
      <c r="BA17" s="55">
        <v>9.3012764780559887E-4</v>
      </c>
      <c r="BB17" s="55">
        <v>1.3450098888723088E-4</v>
      </c>
      <c r="BC17" s="55">
        <v>6.5335824123615588E-4</v>
      </c>
      <c r="BD17" s="55">
        <v>3.0260817449065078E-5</v>
      </c>
      <c r="BE17" s="55">
        <v>6.236805455067029E-4</v>
      </c>
      <c r="BF17" s="55">
        <v>3.7133502183430762E-4</v>
      </c>
      <c r="BG17" s="55">
        <v>1.3095539283988257E-4</v>
      </c>
      <c r="BH17" s="55">
        <v>6.0883592562707483E-4</v>
      </c>
      <c r="BI17" s="55">
        <v>1.0299572766153511E-4</v>
      </c>
      <c r="BJ17" s="55">
        <v>0</v>
      </c>
      <c r="BK17" s="55">
        <v>1.4139344025475905E-4</v>
      </c>
      <c r="BL17" s="55">
        <v>1.0670974647921337E-4</v>
      </c>
      <c r="BM17" s="91">
        <v>0</v>
      </c>
    </row>
    <row r="18" spans="1:65" x14ac:dyDescent="0.25">
      <c r="A18" s="53" t="s">
        <v>76</v>
      </c>
      <c r="B18" s="54" t="s">
        <v>135</v>
      </c>
      <c r="C18" s="55">
        <v>1.9065939958125012E-4</v>
      </c>
      <c r="D18" s="55">
        <v>1.004670623028182E-5</v>
      </c>
      <c r="E18" s="55">
        <v>5.7640928842616235E-6</v>
      </c>
      <c r="F18" s="55">
        <v>3.0128469686048504E-6</v>
      </c>
      <c r="G18" s="55">
        <v>2.8137963662235661E-4</v>
      </c>
      <c r="H18" s="55">
        <v>1.0251286281548296E-4</v>
      </c>
      <c r="I18" s="55">
        <v>3.6255396193683677E-4</v>
      </c>
      <c r="J18" s="55">
        <v>4.0487094748545863E-4</v>
      </c>
      <c r="K18" s="55">
        <v>5.2267584141895643E-4</v>
      </c>
      <c r="L18" s="55">
        <v>4.033438245884217E-4</v>
      </c>
      <c r="M18" s="55">
        <v>9.4626819478273026E-5</v>
      </c>
      <c r="N18" s="55">
        <v>5.6406877767502803E-4</v>
      </c>
      <c r="O18" s="55">
        <v>1.0328799029390205E-4</v>
      </c>
      <c r="P18" s="55">
        <v>1.1869825973457061E-5</v>
      </c>
      <c r="Q18" s="55">
        <v>1.2249049865461088E-4</v>
      </c>
      <c r="R18" s="55">
        <v>2.178327505001573E-5</v>
      </c>
      <c r="S18" s="55">
        <v>2.5198575319954975E-6</v>
      </c>
      <c r="T18" s="55">
        <v>1.2911332944579762E-5</v>
      </c>
      <c r="U18" s="55">
        <v>2.4629007015738804E-5</v>
      </c>
      <c r="V18" s="55">
        <v>1.4655186356390957E-5</v>
      </c>
      <c r="W18" s="55">
        <v>1.3014757364237967E-5</v>
      </c>
      <c r="X18" s="55">
        <v>1.1113394405644137E-5</v>
      </c>
      <c r="Y18" s="55">
        <v>4.8524762801056706E-5</v>
      </c>
      <c r="Z18" s="55">
        <v>1.0867172465382022E-5</v>
      </c>
      <c r="AA18" s="55">
        <v>5.5913153137625949E-6</v>
      </c>
      <c r="AB18" s="55">
        <v>2.1558383622164755E-5</v>
      </c>
      <c r="AC18" s="55">
        <v>9.0815519335195434E-6</v>
      </c>
      <c r="AD18" s="55">
        <v>8.6205115749250986E-6</v>
      </c>
      <c r="AE18" s="55">
        <v>2.8040352119178046E-5</v>
      </c>
      <c r="AF18" s="55">
        <v>1.9074442758097618E-5</v>
      </c>
      <c r="AG18" s="55">
        <v>6.7680003499326984E-5</v>
      </c>
      <c r="AH18" s="55">
        <v>4.293274946901429E-5</v>
      </c>
      <c r="AI18" s="55">
        <v>4.1232632685924363E-5</v>
      </c>
      <c r="AJ18" s="55">
        <v>5.2836949481704559E-6</v>
      </c>
      <c r="AK18" s="55">
        <v>1.7663615167299479E-5</v>
      </c>
      <c r="AL18" s="55">
        <v>2.5841329285998793E-5</v>
      </c>
      <c r="AM18" s="55">
        <v>3.205736580696198E-5</v>
      </c>
      <c r="AN18" s="55">
        <v>4.752662542277892E-5</v>
      </c>
      <c r="AO18" s="55">
        <v>3.4701148042875578E-5</v>
      </c>
      <c r="AP18" s="55">
        <v>4.5884125243923952E-5</v>
      </c>
      <c r="AQ18" s="55">
        <v>1.9328208563263575E-5</v>
      </c>
      <c r="AR18" s="55">
        <v>1.0885541944318483E-4</v>
      </c>
      <c r="AS18" s="55">
        <v>8.5597331090621744E-5</v>
      </c>
      <c r="AT18" s="55">
        <v>3.4985849275168052E-5</v>
      </c>
      <c r="AU18" s="55">
        <v>2.9295509414796854E-5</v>
      </c>
      <c r="AV18" s="55">
        <v>4.3529593087292666E-5</v>
      </c>
      <c r="AW18" s="55">
        <v>9.2785297640750195E-5</v>
      </c>
      <c r="AX18" s="55">
        <v>1.7712027658019252E-5</v>
      </c>
      <c r="AY18" s="55">
        <v>5.2930997374329206E-5</v>
      </c>
      <c r="AZ18" s="55">
        <v>6.8628967902552309E-6</v>
      </c>
      <c r="BA18" s="55">
        <v>1.7761619089750603E-5</v>
      </c>
      <c r="BB18" s="55">
        <v>5.7484520261290775E-5</v>
      </c>
      <c r="BC18" s="55">
        <v>3.388346810323145E-5</v>
      </c>
      <c r="BD18" s="55">
        <v>4.2472210779569387E-6</v>
      </c>
      <c r="BE18" s="55">
        <v>7.1265148119908845E-6</v>
      </c>
      <c r="BF18" s="55">
        <v>2.8748669112722135E-5</v>
      </c>
      <c r="BG18" s="55">
        <v>2.0615734699106805E-5</v>
      </c>
      <c r="BH18" s="55">
        <v>1.6468372872080013E-5</v>
      </c>
      <c r="BI18" s="55">
        <v>5.1860309209485885E-5</v>
      </c>
      <c r="BJ18" s="55">
        <v>0</v>
      </c>
      <c r="BK18" s="55">
        <v>4.7846648698821362E-6</v>
      </c>
      <c r="BL18" s="55">
        <v>8.8728708513427062E-7</v>
      </c>
      <c r="BM18" s="91">
        <v>0</v>
      </c>
    </row>
    <row r="19" spans="1:65" x14ac:dyDescent="0.25">
      <c r="A19" s="53" t="s">
        <v>77</v>
      </c>
      <c r="B19" s="56" t="s">
        <v>4</v>
      </c>
      <c r="C19" s="55">
        <v>1.079573893044446E-2</v>
      </c>
      <c r="D19" s="55">
        <v>3.3658576372858511E-2</v>
      </c>
      <c r="E19" s="55">
        <v>8.4367142051640191E-3</v>
      </c>
      <c r="F19" s="55">
        <v>4.0152284489739307E-4</v>
      </c>
      <c r="G19" s="55">
        <v>0.13755103028671331</v>
      </c>
      <c r="H19" s="55">
        <v>8.4139519172449877E-3</v>
      </c>
      <c r="I19" s="55">
        <v>1.5017803737263712E-2</v>
      </c>
      <c r="J19" s="55">
        <v>1.50727927162728E-2</v>
      </c>
      <c r="K19" s="55">
        <v>2.1498397757747558E-2</v>
      </c>
      <c r="L19" s="55">
        <v>1.6644038333626144E-2</v>
      </c>
      <c r="M19" s="55">
        <v>7.226302269393815E-3</v>
      </c>
      <c r="N19" s="55">
        <v>3.9887363752263157E-2</v>
      </c>
      <c r="O19" s="55">
        <v>1.6119397265170452E-2</v>
      </c>
      <c r="P19" s="55">
        <v>4.6338164642055028E-3</v>
      </c>
      <c r="Q19" s="55">
        <v>8.4657162987433598E-3</v>
      </c>
      <c r="R19" s="55">
        <v>2.8368950865197413E-3</v>
      </c>
      <c r="S19" s="55">
        <v>6.2753988550647195E-4</v>
      </c>
      <c r="T19" s="55">
        <v>3.17697567770004E-3</v>
      </c>
      <c r="U19" s="55">
        <v>6.2163637560604182E-3</v>
      </c>
      <c r="V19" s="55">
        <v>8.7136097505858337E-3</v>
      </c>
      <c r="W19" s="55">
        <v>0.12177470604063331</v>
      </c>
      <c r="X19" s="55">
        <v>4.1719170329585897E-3</v>
      </c>
      <c r="Y19" s="55">
        <v>2.2383827532834619E-2</v>
      </c>
      <c r="Z19" s="55">
        <v>1.2960677946447769E-2</v>
      </c>
      <c r="AA19" s="55">
        <v>1.8626280127807915E-3</v>
      </c>
      <c r="AB19" s="55">
        <v>7.1817178949074318E-3</v>
      </c>
      <c r="AC19" s="55">
        <v>1.547075891746569E-2</v>
      </c>
      <c r="AD19" s="55">
        <v>1.4685359649669784E-2</v>
      </c>
      <c r="AE19" s="55">
        <v>3.8544653971855762E-3</v>
      </c>
      <c r="AF19" s="55">
        <v>2.4456889278326711E-3</v>
      </c>
      <c r="AG19" s="55">
        <v>1.0532274560114893E-2</v>
      </c>
      <c r="AH19" s="55">
        <v>6.0435467589792166E-3</v>
      </c>
      <c r="AI19" s="55">
        <v>1.9696690418239148E-2</v>
      </c>
      <c r="AJ19" s="55">
        <v>4.5560867863534762E-3</v>
      </c>
      <c r="AK19" s="55">
        <v>2.5507088235969925E-2</v>
      </c>
      <c r="AL19" s="55">
        <v>5.4573413585246955E-4</v>
      </c>
      <c r="AM19" s="55">
        <v>3.9630713596551133E-3</v>
      </c>
      <c r="AN19" s="55">
        <v>1.0186840417866543E-2</v>
      </c>
      <c r="AO19" s="55">
        <v>3.4307287274535074E-2</v>
      </c>
      <c r="AP19" s="55">
        <v>5.6263575601284727E-2</v>
      </c>
      <c r="AQ19" s="55">
        <v>5.6612034990875066E-3</v>
      </c>
      <c r="AR19" s="55">
        <v>3.7217981417061514E-2</v>
      </c>
      <c r="AS19" s="55">
        <v>3.8973230835084791E-2</v>
      </c>
      <c r="AT19" s="55">
        <v>4.3050673453268586E-4</v>
      </c>
      <c r="AU19" s="55">
        <v>1.3005902318752148E-2</v>
      </c>
      <c r="AV19" s="55">
        <v>1.7570641884240873E-2</v>
      </c>
      <c r="AW19" s="55">
        <v>1.9490524089153551E-2</v>
      </c>
      <c r="AX19" s="55">
        <v>3.180581318018811E-3</v>
      </c>
      <c r="AY19" s="55">
        <v>8.8510872250346217E-3</v>
      </c>
      <c r="AZ19" s="55">
        <v>1.7974742819659366E-3</v>
      </c>
      <c r="BA19" s="55">
        <v>4.4023331872917789E-3</v>
      </c>
      <c r="BB19" s="55">
        <v>1.3670986906229041E-2</v>
      </c>
      <c r="BC19" s="55">
        <v>5.6756893836508509E-3</v>
      </c>
      <c r="BD19" s="55">
        <v>9.3427882978130289E-4</v>
      </c>
      <c r="BE19" s="55">
        <v>8.8907724683251286E-3</v>
      </c>
      <c r="BF19" s="55">
        <v>4.7724617003923383E-3</v>
      </c>
      <c r="BG19" s="55">
        <v>1.0070734997782587E-2</v>
      </c>
      <c r="BH19" s="55">
        <v>1.2163418271970549E-2</v>
      </c>
      <c r="BI19" s="55">
        <v>4.4171867278548979E-3</v>
      </c>
      <c r="BJ19" s="55">
        <v>0</v>
      </c>
      <c r="BK19" s="55">
        <v>2.1449917217438844E-2</v>
      </c>
      <c r="BL19" s="55">
        <v>4.3916640869950621E-4</v>
      </c>
      <c r="BM19" s="91">
        <v>0</v>
      </c>
    </row>
    <row r="20" spans="1:65" x14ac:dyDescent="0.25">
      <c r="A20" s="53" t="s">
        <v>78</v>
      </c>
      <c r="B20" s="56" t="s">
        <v>18</v>
      </c>
      <c r="C20" s="55">
        <v>2.2838868143705833E-4</v>
      </c>
      <c r="D20" s="55">
        <v>2.7927132268609929E-4</v>
      </c>
      <c r="E20" s="55">
        <v>5.5805867380970861E-4</v>
      </c>
      <c r="F20" s="55">
        <v>8.7477753965058358E-7</v>
      </c>
      <c r="G20" s="55">
        <v>9.6309319498540609E-5</v>
      </c>
      <c r="H20" s="55">
        <v>8.5247995726004571E-4</v>
      </c>
      <c r="I20" s="55">
        <v>5.2828515443471261E-4</v>
      </c>
      <c r="J20" s="55">
        <v>9.1188488373980514E-4</v>
      </c>
      <c r="K20" s="55">
        <v>4.9019007432257072E-4</v>
      </c>
      <c r="L20" s="55">
        <v>5.6948875815506493E-4</v>
      </c>
      <c r="M20" s="55">
        <v>8.014230407663353E-4</v>
      </c>
      <c r="N20" s="55">
        <v>5.421890433902353E-4</v>
      </c>
      <c r="O20" s="55">
        <v>6.4346795151000501E-5</v>
      </c>
      <c r="P20" s="55">
        <v>2.2321252111779803E-4</v>
      </c>
      <c r="Q20" s="55">
        <v>2.3001062847682703E-4</v>
      </c>
      <c r="R20" s="55">
        <v>2.5369220809663001E-4</v>
      </c>
      <c r="S20" s="55">
        <v>1.8158579124181613E-4</v>
      </c>
      <c r="T20" s="55">
        <v>9.1388893881252735E-6</v>
      </c>
      <c r="U20" s="55">
        <v>1.7485873031140019E-5</v>
      </c>
      <c r="V20" s="55">
        <v>2.3560935271919496E-5</v>
      </c>
      <c r="W20" s="55">
        <v>2.3928252533155928E-5</v>
      </c>
      <c r="X20" s="55">
        <v>1.0449251562126527E-5</v>
      </c>
      <c r="Y20" s="55">
        <v>2.4673548838866019E-6</v>
      </c>
      <c r="Z20" s="55">
        <v>3.4635455822352929E-7</v>
      </c>
      <c r="AA20" s="55">
        <v>2.1424072747604497E-7</v>
      </c>
      <c r="AB20" s="55">
        <v>8.260460251725927E-7</v>
      </c>
      <c r="AC20" s="55">
        <v>3.6755809566914969E-6</v>
      </c>
      <c r="AD20" s="55">
        <v>3.4889838668195218E-6</v>
      </c>
      <c r="AE20" s="55">
        <v>1.8037831627220572E-4</v>
      </c>
      <c r="AF20" s="55">
        <v>1.1445147522926213E-4</v>
      </c>
      <c r="AG20" s="55">
        <v>2.300699435421357E-6</v>
      </c>
      <c r="AH20" s="55">
        <v>4.9996675919155729E-5</v>
      </c>
      <c r="AI20" s="55">
        <v>5.8301248911911163E-7</v>
      </c>
      <c r="AJ20" s="55">
        <v>2.4608356431725906E-8</v>
      </c>
      <c r="AK20" s="55">
        <v>4.5978483059560091E-7</v>
      </c>
      <c r="AL20" s="55">
        <v>4.742144064347078E-5</v>
      </c>
      <c r="AM20" s="55">
        <v>1.2779579982139829E-6</v>
      </c>
      <c r="AN20" s="55">
        <v>9.9824940771472543E-6</v>
      </c>
      <c r="AO20" s="55">
        <v>9.3819108252937115E-7</v>
      </c>
      <c r="AP20" s="55">
        <v>1.4944443213454637E-4</v>
      </c>
      <c r="AQ20" s="55">
        <v>9.563222959990307E-6</v>
      </c>
      <c r="AR20" s="55">
        <v>3.6731392965049641E-6</v>
      </c>
      <c r="AS20" s="55">
        <v>1.5007263659932375E-4</v>
      </c>
      <c r="AT20" s="55">
        <v>5.6643209603772627E-7</v>
      </c>
      <c r="AU20" s="55">
        <v>2.5446131577117111E-7</v>
      </c>
      <c r="AV20" s="55">
        <v>8.3503912575755743E-5</v>
      </c>
      <c r="AW20" s="55">
        <v>2.6423746512504506E-5</v>
      </c>
      <c r="AX20" s="55">
        <v>2.1072371808988003E-7</v>
      </c>
      <c r="AY20" s="55">
        <v>1.0336679668169093E-6</v>
      </c>
      <c r="AZ20" s="55">
        <v>3.3213539820913385E-7</v>
      </c>
      <c r="BA20" s="55">
        <v>5.9893553923250683E-4</v>
      </c>
      <c r="BB20" s="55">
        <v>2.5308065128919836E-6</v>
      </c>
      <c r="BC20" s="55">
        <v>2.183654914656335E-6</v>
      </c>
      <c r="BD20" s="55">
        <v>4.3444895147685952E-7</v>
      </c>
      <c r="BE20" s="55">
        <v>5.5801157511337174E-5</v>
      </c>
      <c r="BF20" s="55">
        <v>2.0561454908905953E-4</v>
      </c>
      <c r="BG20" s="55">
        <v>2.5003406261349762E-6</v>
      </c>
      <c r="BH20" s="55">
        <v>1.1139122990363453E-5</v>
      </c>
      <c r="BI20" s="55">
        <v>5.0184882282812566E-7</v>
      </c>
      <c r="BJ20" s="55">
        <v>0</v>
      </c>
      <c r="BK20" s="55">
        <v>8.5610442779158677E-5</v>
      </c>
      <c r="BL20" s="55">
        <v>6.2902498027634123E-7</v>
      </c>
      <c r="BM20" s="91">
        <v>0</v>
      </c>
    </row>
    <row r="21" spans="1:65" x14ac:dyDescent="0.25">
      <c r="A21" s="53" t="s">
        <v>79</v>
      </c>
      <c r="B21" s="54" t="s">
        <v>136</v>
      </c>
      <c r="C21" s="55">
        <v>8.4218040716887276E-3</v>
      </c>
      <c r="D21" s="55">
        <v>1.1223838078231036E-2</v>
      </c>
      <c r="E21" s="55">
        <v>1.4274913399537266E-2</v>
      </c>
      <c r="F21" s="55">
        <v>3.6737380989540383E-4</v>
      </c>
      <c r="G21" s="55">
        <v>8.078820637077988E-3</v>
      </c>
      <c r="H21" s="55">
        <v>2.9267737509777483E-2</v>
      </c>
      <c r="I21" s="55">
        <v>5.152891756632378E-3</v>
      </c>
      <c r="J21" s="55">
        <v>5.3387220508264253E-3</v>
      </c>
      <c r="K21" s="55">
        <v>6.2784831636220687E-3</v>
      </c>
      <c r="L21" s="55">
        <v>4.3739556840445525E-3</v>
      </c>
      <c r="M21" s="55">
        <v>3.1177545484037811E-3</v>
      </c>
      <c r="N21" s="55">
        <v>6.3538877007443817E-3</v>
      </c>
      <c r="O21" s="55">
        <v>1.0403238905711968E-2</v>
      </c>
      <c r="P21" s="55">
        <v>3.4371671283827635E-4</v>
      </c>
      <c r="Q21" s="55">
        <v>3.5886784288040791E-3</v>
      </c>
      <c r="R21" s="55">
        <v>1.5524927998997679E-3</v>
      </c>
      <c r="S21" s="55">
        <v>1.7745330576147405E-4</v>
      </c>
      <c r="T21" s="55">
        <v>1.7831707756754446E-2</v>
      </c>
      <c r="U21" s="55">
        <v>2.0066247552733723E-3</v>
      </c>
      <c r="V21" s="55">
        <v>1.7410247200052283E-3</v>
      </c>
      <c r="W21" s="55">
        <v>3.3863665513530188E-3</v>
      </c>
      <c r="X21" s="55">
        <v>3.2386985016217961E-3</v>
      </c>
      <c r="Y21" s="55">
        <v>4.3210547091759267E-3</v>
      </c>
      <c r="Z21" s="55">
        <v>1.2023316119136088E-3</v>
      </c>
      <c r="AA21" s="55">
        <v>2.8905328091365643E-4</v>
      </c>
      <c r="AB21" s="55">
        <v>1.1145001073081227E-3</v>
      </c>
      <c r="AC21" s="55">
        <v>2.3398210994954191E-4</v>
      </c>
      <c r="AD21" s="55">
        <v>2.2210361201598254E-4</v>
      </c>
      <c r="AE21" s="55">
        <v>2.8627411096826413E-3</v>
      </c>
      <c r="AF21" s="55">
        <v>1.8164319856949481E-3</v>
      </c>
      <c r="AG21" s="55">
        <v>1.3476605151210692E-3</v>
      </c>
      <c r="AH21" s="55">
        <v>1.5489837789289282E-3</v>
      </c>
      <c r="AI21" s="55">
        <v>8.2636075236082831E-4</v>
      </c>
      <c r="AJ21" s="55">
        <v>6.4540856863981911E-5</v>
      </c>
      <c r="AK21" s="55">
        <v>6.2441179170595715E-4</v>
      </c>
      <c r="AL21" s="55">
        <v>2.0311673231479698E-5</v>
      </c>
      <c r="AM21" s="55">
        <v>1.6220625312021153E-4</v>
      </c>
      <c r="AN21" s="55">
        <v>1.0200860792914414E-3</v>
      </c>
      <c r="AO21" s="55">
        <v>6.5538890422282955E-4</v>
      </c>
      <c r="AP21" s="55">
        <v>8.9898555692845836E-4</v>
      </c>
      <c r="AQ21" s="55">
        <v>1.3983178849161394E-4</v>
      </c>
      <c r="AR21" s="55">
        <v>3.0249492452223358E-3</v>
      </c>
      <c r="AS21" s="55">
        <v>1.5775810986152015E-3</v>
      </c>
      <c r="AT21" s="55">
        <v>6.285352231569023E-4</v>
      </c>
      <c r="AU21" s="55">
        <v>4.1116530553448292E-4</v>
      </c>
      <c r="AV21" s="55">
        <v>7.0781542426850259E-4</v>
      </c>
      <c r="AW21" s="55">
        <v>8.7593315969895108E-4</v>
      </c>
      <c r="AX21" s="55">
        <v>3.1512930081077878E-4</v>
      </c>
      <c r="AY21" s="55">
        <v>9.9089859696595761E-4</v>
      </c>
      <c r="AZ21" s="55">
        <v>1.0684425485244127E-4</v>
      </c>
      <c r="BA21" s="55">
        <v>9.7525954694448918E-4</v>
      </c>
      <c r="BB21" s="55">
        <v>8.7392555781598341E-4</v>
      </c>
      <c r="BC21" s="55">
        <v>6.1255434005513842E-4</v>
      </c>
      <c r="BD21" s="55">
        <v>1.912256855891144E-4</v>
      </c>
      <c r="BE21" s="55">
        <v>1.3968210351042655E-3</v>
      </c>
      <c r="BF21" s="55">
        <v>2.1151965773537652E-3</v>
      </c>
      <c r="BG21" s="55">
        <v>5.1127739143077763E-4</v>
      </c>
      <c r="BH21" s="55">
        <v>1.3397162636891867E-3</v>
      </c>
      <c r="BI21" s="55">
        <v>6.4794291946772243E-4</v>
      </c>
      <c r="BJ21" s="55">
        <v>0</v>
      </c>
      <c r="BK21" s="55">
        <v>6.9836490523875183E-4</v>
      </c>
      <c r="BL21" s="55">
        <v>1.3451887854616112E-4</v>
      </c>
      <c r="BM21" s="91">
        <v>0</v>
      </c>
    </row>
    <row r="22" spans="1:65" x14ac:dyDescent="0.25">
      <c r="A22" s="53" t="s">
        <v>80</v>
      </c>
      <c r="B22" s="54" t="s">
        <v>137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8.9293960778382244E-4</v>
      </c>
      <c r="J22" s="55">
        <v>1.053777136124108E-3</v>
      </c>
      <c r="K22" s="55">
        <v>8.3487230054486055E-4</v>
      </c>
      <c r="L22" s="55">
        <v>9.9359620808784884E-4</v>
      </c>
      <c r="M22" s="55">
        <v>7.4011088407942109E-4</v>
      </c>
      <c r="N22" s="55">
        <v>2.0288720856716578E-3</v>
      </c>
      <c r="O22" s="55">
        <v>9.260471745279825E-3</v>
      </c>
      <c r="P22" s="55">
        <v>1.8654236196242454E-4</v>
      </c>
      <c r="Q22" s="55">
        <v>9.1034197503227199E-4</v>
      </c>
      <c r="R22" s="55">
        <v>5.0003759277366018E-4</v>
      </c>
      <c r="S22" s="55">
        <v>3.3923995966747892E-4</v>
      </c>
      <c r="T22" s="55">
        <v>1.868776617266665E-4</v>
      </c>
      <c r="U22" s="55">
        <v>1.758867323939426E-2</v>
      </c>
      <c r="V22" s="55">
        <v>4.499774510502646E-3</v>
      </c>
      <c r="W22" s="55">
        <v>1.1858771292706113E-3</v>
      </c>
      <c r="X22" s="55">
        <v>2.1730306804381059E-4</v>
      </c>
      <c r="Y22" s="55">
        <v>3.5861137619010021E-3</v>
      </c>
      <c r="Z22" s="55">
        <v>1.4999838768828767E-3</v>
      </c>
      <c r="AA22" s="55">
        <v>1.5464456479873994E-3</v>
      </c>
      <c r="AB22" s="55">
        <v>1.9875388085088879E-3</v>
      </c>
      <c r="AC22" s="55">
        <v>1.4266056390917347E-3</v>
      </c>
      <c r="AD22" s="55">
        <v>2.8960572037701731E-3</v>
      </c>
      <c r="AE22" s="55">
        <v>6.7890514026987009E-4</v>
      </c>
      <c r="AF22" s="55">
        <v>4.3077070709185222E-4</v>
      </c>
      <c r="AG22" s="55">
        <v>0</v>
      </c>
      <c r="AH22" s="55">
        <v>0</v>
      </c>
      <c r="AI22" s="55">
        <v>0</v>
      </c>
      <c r="AJ22" s="55">
        <v>0</v>
      </c>
      <c r="AK22" s="55">
        <v>3.3242858860902187E-3</v>
      </c>
      <c r="AL22" s="55">
        <v>0</v>
      </c>
      <c r="AM22" s="55">
        <v>0</v>
      </c>
      <c r="AN22" s="55">
        <v>0</v>
      </c>
      <c r="AO22" s="55">
        <v>6.7516498292717643E-3</v>
      </c>
      <c r="AP22" s="55">
        <v>3.2408754316864633E-3</v>
      </c>
      <c r="AQ22" s="55">
        <v>7.6161740978132066E-4</v>
      </c>
      <c r="AR22" s="55">
        <v>2.8072133147375132E-3</v>
      </c>
      <c r="AS22" s="55">
        <v>4.0200403606398529E-3</v>
      </c>
      <c r="AT22" s="55">
        <v>0</v>
      </c>
      <c r="AU22" s="55">
        <v>2.1310533256123088E-3</v>
      </c>
      <c r="AV22" s="55">
        <v>1.149392305300689E-3</v>
      </c>
      <c r="AW22" s="55">
        <v>4.2792447042258597E-4</v>
      </c>
      <c r="AX22" s="55">
        <v>7.606378699315373E-5</v>
      </c>
      <c r="AY22" s="55">
        <v>4.164643834543353E-4</v>
      </c>
      <c r="AZ22" s="55">
        <v>6.1254286181740259E-5</v>
      </c>
      <c r="BA22" s="55">
        <v>7.9760899078131766E-4</v>
      </c>
      <c r="BB22" s="55">
        <v>5.441970604300201E-4</v>
      </c>
      <c r="BC22" s="55">
        <v>3.2038225679409317E-4</v>
      </c>
      <c r="BD22" s="55">
        <v>4.0022563634203672E-4</v>
      </c>
      <c r="BE22" s="55">
        <v>3.2945833858804897E-3</v>
      </c>
      <c r="BF22" s="55">
        <v>3.8447929565750116E-3</v>
      </c>
      <c r="BG22" s="55">
        <v>6.3650000034298315E-4</v>
      </c>
      <c r="BH22" s="55">
        <v>1.7198048402169103E-3</v>
      </c>
      <c r="BI22" s="55">
        <v>5.2531626259584682E-4</v>
      </c>
      <c r="BJ22" s="55">
        <v>0</v>
      </c>
      <c r="BK22" s="55">
        <v>3.0588628398100701E-4</v>
      </c>
      <c r="BL22" s="55">
        <v>1.0022485915310959E-4</v>
      </c>
      <c r="BM22" s="91">
        <v>0</v>
      </c>
    </row>
    <row r="23" spans="1:65" x14ac:dyDescent="0.25">
      <c r="A23" s="53" t="s">
        <v>81</v>
      </c>
      <c r="B23" s="54" t="s">
        <v>138</v>
      </c>
      <c r="C23" s="55">
        <v>0</v>
      </c>
      <c r="D23" s="55">
        <v>0</v>
      </c>
      <c r="E23" s="55">
        <v>1.617565848013288E-2</v>
      </c>
      <c r="F23" s="55">
        <v>3.1095612168087797E-4</v>
      </c>
      <c r="G23" s="55">
        <v>4.2763788208775025E-4</v>
      </c>
      <c r="H23" s="55">
        <v>5.6862002800191734E-3</v>
      </c>
      <c r="I23" s="55">
        <v>1.3421127426764483E-4</v>
      </c>
      <c r="J23" s="55">
        <v>1.5219092200566265E-4</v>
      </c>
      <c r="K23" s="55">
        <v>7.1762243468857497E-4</v>
      </c>
      <c r="L23" s="55">
        <v>3.7399818563658765E-4</v>
      </c>
      <c r="M23" s="55">
        <v>3.0557727127200097E-4</v>
      </c>
      <c r="N23" s="55">
        <v>5.8754813754655494E-3</v>
      </c>
      <c r="O23" s="55">
        <v>6.2139316186532343E-3</v>
      </c>
      <c r="P23" s="55">
        <v>2.0160450995275908E-5</v>
      </c>
      <c r="Q23" s="55">
        <v>1.777218484142252E-3</v>
      </c>
      <c r="R23" s="55">
        <v>4.5325435962130511E-3</v>
      </c>
      <c r="S23" s="55">
        <v>2.49304722535694E-2</v>
      </c>
      <c r="T23" s="55">
        <v>1.8293945440867401E-2</v>
      </c>
      <c r="U23" s="55">
        <v>7.3646465475859365E-3</v>
      </c>
      <c r="V23" s="55">
        <v>0.17379770720589707</v>
      </c>
      <c r="W23" s="55">
        <v>2.5560087385865651E-2</v>
      </c>
      <c r="X23" s="55">
        <v>3.9028093279460219E-2</v>
      </c>
      <c r="Y23" s="55">
        <v>1.6007132362022006E-2</v>
      </c>
      <c r="Z23" s="55">
        <v>8.2011822841059415E-3</v>
      </c>
      <c r="AA23" s="55">
        <v>1.7228990622662459E-3</v>
      </c>
      <c r="AB23" s="55">
        <v>6.6429662507459068E-3</v>
      </c>
      <c r="AC23" s="55">
        <v>4.6002222839058174E-3</v>
      </c>
      <c r="AD23" s="55">
        <v>4.366684211678535E-3</v>
      </c>
      <c r="AE23" s="55">
        <v>5.7445981781342635E-3</v>
      </c>
      <c r="AF23" s="55">
        <v>3.9075085084575023E-3</v>
      </c>
      <c r="AG23" s="55">
        <v>0</v>
      </c>
      <c r="AH23" s="55">
        <v>1.7738432906531555E-4</v>
      </c>
      <c r="AI23" s="55">
        <v>0</v>
      </c>
      <c r="AJ23" s="55">
        <v>1.9611299852465352E-3</v>
      </c>
      <c r="AK23" s="55">
        <v>1.741983917451451E-2</v>
      </c>
      <c r="AL23" s="55">
        <v>0</v>
      </c>
      <c r="AM23" s="55">
        <v>1.4478804544934289E-3</v>
      </c>
      <c r="AN23" s="55">
        <v>1.674156085021105E-2</v>
      </c>
      <c r="AO23" s="55">
        <v>1.3755201891236841E-2</v>
      </c>
      <c r="AP23" s="55">
        <v>1.0198988388305224E-3</v>
      </c>
      <c r="AQ23" s="55">
        <v>2.0256194365545293E-3</v>
      </c>
      <c r="AR23" s="55">
        <v>5.6016605906305675E-3</v>
      </c>
      <c r="AS23" s="55">
        <v>2.6300229115344196E-3</v>
      </c>
      <c r="AT23" s="55">
        <v>1.8886925994042667E-4</v>
      </c>
      <c r="AU23" s="55">
        <v>3.7913710505033281E-3</v>
      </c>
      <c r="AV23" s="55">
        <v>1.151539924948418E-3</v>
      </c>
      <c r="AW23" s="55">
        <v>9.4081899397645535E-3</v>
      </c>
      <c r="AX23" s="55">
        <v>7.806265256311704E-5</v>
      </c>
      <c r="AY23" s="55">
        <v>9.5720670600465008E-4</v>
      </c>
      <c r="AZ23" s="55">
        <v>7.2039301488743444E-4</v>
      </c>
      <c r="BA23" s="55">
        <v>2.9474016264910735E-3</v>
      </c>
      <c r="BB23" s="55">
        <v>4.6100396162439116E-3</v>
      </c>
      <c r="BC23" s="55">
        <v>1.8779213725330886E-3</v>
      </c>
      <c r="BD23" s="55">
        <v>1.0174735514809359E-3</v>
      </c>
      <c r="BE23" s="55">
        <v>9.3677207479812893E-3</v>
      </c>
      <c r="BF23" s="55">
        <v>6.6527462443797276E-3</v>
      </c>
      <c r="BG23" s="55">
        <v>6.9603276798191956E-4</v>
      </c>
      <c r="BH23" s="55">
        <v>6.0432206433485205E-3</v>
      </c>
      <c r="BI23" s="55">
        <v>1.2810781944328181E-3</v>
      </c>
      <c r="BJ23" s="55">
        <v>0</v>
      </c>
      <c r="BK23" s="55">
        <v>3.0689878777750475E-3</v>
      </c>
      <c r="BL23" s="55">
        <v>1.6859870202052616E-4</v>
      </c>
      <c r="BM23" s="91">
        <v>0</v>
      </c>
    </row>
    <row r="24" spans="1:65" x14ac:dyDescent="0.25">
      <c r="A24" s="53" t="s">
        <v>82</v>
      </c>
      <c r="B24" s="56" t="s">
        <v>139</v>
      </c>
      <c r="C24" s="55">
        <v>5.1148286514242987E-4</v>
      </c>
      <c r="D24" s="55">
        <v>2.8790787297663614E-4</v>
      </c>
      <c r="E24" s="55">
        <v>1.341028081351655E-3</v>
      </c>
      <c r="F24" s="55">
        <v>1.5879318214810702E-4</v>
      </c>
      <c r="G24" s="55">
        <v>5.2353474087142777E-4</v>
      </c>
      <c r="H24" s="55">
        <v>0</v>
      </c>
      <c r="I24" s="55">
        <v>5.9758205403597497E-3</v>
      </c>
      <c r="J24" s="55">
        <v>4.8387784358962386E-3</v>
      </c>
      <c r="K24" s="55">
        <v>4.6642236997643631E-3</v>
      </c>
      <c r="L24" s="55">
        <v>4.0074263692339912E-3</v>
      </c>
      <c r="M24" s="55">
        <v>0</v>
      </c>
      <c r="N24" s="55">
        <v>9.963433834646266E-3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2.4537227380397684E-3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55">
        <v>0</v>
      </c>
      <c r="AH24" s="55">
        <v>0</v>
      </c>
      <c r="AI24" s="55">
        <v>0</v>
      </c>
      <c r="AJ24" s="55">
        <v>0</v>
      </c>
      <c r="AK24" s="55">
        <v>0</v>
      </c>
      <c r="AL24" s="55">
        <v>0</v>
      </c>
      <c r="AM24" s="55">
        <v>1.8189584209808444E-3</v>
      </c>
      <c r="AN24" s="55">
        <v>0</v>
      </c>
      <c r="AO24" s="55">
        <v>0</v>
      </c>
      <c r="AP24" s="55">
        <v>4.1388821669696707E-3</v>
      </c>
      <c r="AQ24" s="55">
        <v>0</v>
      </c>
      <c r="AR24" s="55">
        <v>3.8077062208769132E-3</v>
      </c>
      <c r="AS24" s="55">
        <v>1.1971422687458081E-2</v>
      </c>
      <c r="AT24" s="55">
        <v>0</v>
      </c>
      <c r="AU24" s="55">
        <v>1.1933718285837079E-3</v>
      </c>
      <c r="AV24" s="55">
        <v>2.3460088345552124E-3</v>
      </c>
      <c r="AW24" s="55">
        <v>0</v>
      </c>
      <c r="AX24" s="55">
        <v>7.5713265741535294E-4</v>
      </c>
      <c r="AY24" s="55">
        <v>1.6786877827575375E-3</v>
      </c>
      <c r="AZ24" s="55">
        <v>0</v>
      </c>
      <c r="BA24" s="55">
        <v>2.7492525822458338E-3</v>
      </c>
      <c r="BB24" s="55">
        <v>2.0486902807667516E-3</v>
      </c>
      <c r="BC24" s="55">
        <v>0</v>
      </c>
      <c r="BD24" s="55">
        <v>0</v>
      </c>
      <c r="BE24" s="55">
        <v>0</v>
      </c>
      <c r="BF24" s="55">
        <v>0</v>
      </c>
      <c r="BG24" s="55">
        <v>3.8414369269961749E-4</v>
      </c>
      <c r="BH24" s="55">
        <v>1.3338633944033175E-3</v>
      </c>
      <c r="BI24" s="55">
        <v>6.0764283857466287E-4</v>
      </c>
      <c r="BJ24" s="55">
        <v>0</v>
      </c>
      <c r="BK24" s="55">
        <v>0</v>
      </c>
      <c r="BL24" s="55">
        <v>0</v>
      </c>
      <c r="BM24" s="91">
        <v>0</v>
      </c>
    </row>
    <row r="25" spans="1:65" x14ac:dyDescent="0.25">
      <c r="A25" s="53" t="s">
        <v>83</v>
      </c>
      <c r="B25" s="54" t="s">
        <v>140</v>
      </c>
      <c r="C25" s="55">
        <v>7.1775954484845639E-3</v>
      </c>
      <c r="D25" s="55">
        <v>4.8213854540710447E-3</v>
      </c>
      <c r="E25" s="55">
        <v>0</v>
      </c>
      <c r="F25" s="55">
        <v>1.3058886839324656E-4</v>
      </c>
      <c r="G25" s="55">
        <v>0</v>
      </c>
      <c r="H25" s="55">
        <v>1.2549285367597446E-2</v>
      </c>
      <c r="I25" s="55">
        <v>1.9766069929429018E-5</v>
      </c>
      <c r="J25" s="55">
        <v>0</v>
      </c>
      <c r="K25" s="55">
        <v>5.6115996655175919E-4</v>
      </c>
      <c r="L25" s="55">
        <v>8.6669510405954961E-5</v>
      </c>
      <c r="M25" s="55">
        <v>4.4899583375318996E-3</v>
      </c>
      <c r="N25" s="55">
        <v>2.575804941609494E-3</v>
      </c>
      <c r="O25" s="55">
        <v>6.2917829814089611E-3</v>
      </c>
      <c r="P25" s="55">
        <v>7.9850748226966567E-4</v>
      </c>
      <c r="Q25" s="55">
        <v>2.6097106986646898E-3</v>
      </c>
      <c r="R25" s="55">
        <v>4.9095145481656666E-5</v>
      </c>
      <c r="S25" s="55">
        <v>6.2415761252357642E-4</v>
      </c>
      <c r="T25" s="55">
        <v>5.8191089585862008E-3</v>
      </c>
      <c r="U25" s="55">
        <v>1.8012065284912927E-3</v>
      </c>
      <c r="V25" s="55">
        <v>6.969771039586529E-3</v>
      </c>
      <c r="W25" s="55">
        <v>9.7703785401719433E-3</v>
      </c>
      <c r="X25" s="55">
        <v>2.2080389189145055E-3</v>
      </c>
      <c r="Y25" s="55">
        <v>5.3845831411620864E-3</v>
      </c>
      <c r="Z25" s="55">
        <v>3.9847035559275861E-5</v>
      </c>
      <c r="AA25" s="55">
        <v>8.3576982921725499E-5</v>
      </c>
      <c r="AB25" s="55">
        <v>3.2224701321614227E-4</v>
      </c>
      <c r="AC25" s="55">
        <v>1.9146843803418114E-4</v>
      </c>
      <c r="AD25" s="55">
        <v>1.8174821862928226E-4</v>
      </c>
      <c r="AE25" s="55">
        <v>4.6693611698799789E-5</v>
      </c>
      <c r="AF25" s="55">
        <v>2.9627467719818529E-5</v>
      </c>
      <c r="AG25" s="55">
        <v>2.6736498422366408E-3</v>
      </c>
      <c r="AH25" s="55">
        <v>5.3466070261355247E-4</v>
      </c>
      <c r="AI25" s="55">
        <v>4.6144352383906285E-3</v>
      </c>
      <c r="AJ25" s="55">
        <v>4.8087343940299983E-5</v>
      </c>
      <c r="AK25" s="55">
        <v>1.9483670298342721E-3</v>
      </c>
      <c r="AL25" s="55">
        <v>0</v>
      </c>
      <c r="AM25" s="55">
        <v>2.2526428233084197E-5</v>
      </c>
      <c r="AN25" s="55">
        <v>4.219517723095356E-4</v>
      </c>
      <c r="AO25" s="55">
        <v>1.6049310551251661E-5</v>
      </c>
      <c r="AP25" s="55">
        <v>9.7615797640994613E-4</v>
      </c>
      <c r="AQ25" s="55">
        <v>4.7737601949157329E-5</v>
      </c>
      <c r="AR25" s="55">
        <v>3.3746416395669039E-4</v>
      </c>
      <c r="AS25" s="55">
        <v>9.6357304758247248E-4</v>
      </c>
      <c r="AT25" s="55">
        <v>8.8645314234873012E-6</v>
      </c>
      <c r="AU25" s="55">
        <v>2.5579641082360775E-4</v>
      </c>
      <c r="AV25" s="55">
        <v>7.1797237524262819E-4</v>
      </c>
      <c r="AW25" s="55">
        <v>6.6873167450652441E-4</v>
      </c>
      <c r="AX25" s="55">
        <v>1.9424001668085021E-5</v>
      </c>
      <c r="AY25" s="55">
        <v>2.3933731967756185E-4</v>
      </c>
      <c r="AZ25" s="55">
        <v>6.4647287485559209E-5</v>
      </c>
      <c r="BA25" s="55">
        <v>1.5891347721071027E-4</v>
      </c>
      <c r="BB25" s="55">
        <v>2.0307907856521946E-4</v>
      </c>
      <c r="BC25" s="55">
        <v>6.4000973839951967E-4</v>
      </c>
      <c r="BD25" s="55">
        <v>2.4720522441085537E-4</v>
      </c>
      <c r="BE25" s="55">
        <v>3.1169266328808144E-4</v>
      </c>
      <c r="BF25" s="55">
        <v>1.577440804246177E-4</v>
      </c>
      <c r="BG25" s="55">
        <v>2.275303488921746E-4</v>
      </c>
      <c r="BH25" s="55">
        <v>6.2999192449476903E-4</v>
      </c>
      <c r="BI25" s="55">
        <v>1.9597182564820399E-4</v>
      </c>
      <c r="BJ25" s="55">
        <v>0</v>
      </c>
      <c r="BK25" s="55">
        <v>0</v>
      </c>
      <c r="BL25" s="55">
        <v>2.7956807403227055E-5</v>
      </c>
      <c r="BM25" s="91">
        <v>0</v>
      </c>
    </row>
    <row r="26" spans="1:65" x14ac:dyDescent="0.25">
      <c r="A26" s="53" t="s">
        <v>84</v>
      </c>
      <c r="B26" s="54" t="s">
        <v>141</v>
      </c>
      <c r="C26" s="55">
        <v>1.7299309146633562E-4</v>
      </c>
      <c r="D26" s="55">
        <v>1.0220110091557755E-4</v>
      </c>
      <c r="E26" s="55">
        <v>0</v>
      </c>
      <c r="F26" s="55">
        <v>7.6426862901945132E-6</v>
      </c>
      <c r="G26" s="55">
        <v>4.6063378558118754E-5</v>
      </c>
      <c r="H26" s="55">
        <v>1.4698588221570574E-3</v>
      </c>
      <c r="I26" s="55">
        <v>2.3136102413532449E-6</v>
      </c>
      <c r="J26" s="55">
        <v>3.2519788624039112E-6</v>
      </c>
      <c r="K26" s="55">
        <v>2.241754773743371E-6</v>
      </c>
      <c r="L26" s="55">
        <v>3.5286820640259196E-6</v>
      </c>
      <c r="M26" s="55">
        <v>2.8019620707698352E-5</v>
      </c>
      <c r="N26" s="55">
        <v>1.7987239697662174E-4</v>
      </c>
      <c r="O26" s="55">
        <v>3.0661106365413612E-5</v>
      </c>
      <c r="P26" s="55">
        <v>6.3257402217567666E-4</v>
      </c>
      <c r="Q26" s="55">
        <v>2.1661319487845305E-3</v>
      </c>
      <c r="R26" s="55">
        <v>3.1925368346596182E-5</v>
      </c>
      <c r="S26" s="55">
        <v>1.9782234814102391E-4</v>
      </c>
      <c r="T26" s="55">
        <v>8.6995951507593992E-5</v>
      </c>
      <c r="U26" s="55">
        <v>3.6772756905696621E-5</v>
      </c>
      <c r="V26" s="55">
        <v>5.312062960065088E-4</v>
      </c>
      <c r="W26" s="55">
        <v>6.32262539191853E-5</v>
      </c>
      <c r="X26" s="55">
        <v>1.1528898599863146E-3</v>
      </c>
      <c r="Y26" s="55">
        <v>6.2889499095845056E-2</v>
      </c>
      <c r="Z26" s="55">
        <v>8.7206517118999116E-5</v>
      </c>
      <c r="AA26" s="55">
        <v>7.7211277695714747E-5</v>
      </c>
      <c r="AB26" s="55">
        <v>2.9770282144964122E-4</v>
      </c>
      <c r="AC26" s="55">
        <v>4.4854832648790751E-4</v>
      </c>
      <c r="AD26" s="55">
        <v>4.257770113201073E-4</v>
      </c>
      <c r="AE26" s="55">
        <v>9.185224166350721E-4</v>
      </c>
      <c r="AF26" s="55">
        <v>6.2478903260253704E-4</v>
      </c>
      <c r="AG26" s="55">
        <v>9.8889995656683909E-4</v>
      </c>
      <c r="AH26" s="55">
        <v>8.373103810732132E-4</v>
      </c>
      <c r="AI26" s="55">
        <v>1.5835220371725175E-2</v>
      </c>
      <c r="AJ26" s="55">
        <v>6.1324548877969981E-3</v>
      </c>
      <c r="AK26" s="55">
        <v>1.1545334297018355E-2</v>
      </c>
      <c r="AL26" s="55">
        <v>0</v>
      </c>
      <c r="AM26" s="55">
        <v>2.9777348262740766E-3</v>
      </c>
      <c r="AN26" s="55">
        <v>9.991132033225149E-4</v>
      </c>
      <c r="AO26" s="55">
        <v>4.5454186062619251E-3</v>
      </c>
      <c r="AP26" s="55">
        <v>9.1727774681609397E-4</v>
      </c>
      <c r="AQ26" s="55">
        <v>1.4080337896293333E-4</v>
      </c>
      <c r="AR26" s="55">
        <v>4.8311325831235201E-3</v>
      </c>
      <c r="AS26" s="55">
        <v>4.4861525453731253E-3</v>
      </c>
      <c r="AT26" s="55">
        <v>2.9206748074689056E-4</v>
      </c>
      <c r="AU26" s="55">
        <v>1.0526553533945499E-3</v>
      </c>
      <c r="AV26" s="55">
        <v>6.912378648039454E-4</v>
      </c>
      <c r="AW26" s="55">
        <v>3.364119929262022E-5</v>
      </c>
      <c r="AX26" s="55">
        <v>2.1517279247056436E-3</v>
      </c>
      <c r="AY26" s="55">
        <v>9.5217828257379237E-3</v>
      </c>
      <c r="AZ26" s="55">
        <v>2.093307564679478E-4</v>
      </c>
      <c r="BA26" s="55">
        <v>2.2420459303814744E-3</v>
      </c>
      <c r="BB26" s="55">
        <v>4.3645746850291323E-4</v>
      </c>
      <c r="BC26" s="55">
        <v>4.0338980270225224E-3</v>
      </c>
      <c r="BD26" s="55">
        <v>2.2386589148484958E-4</v>
      </c>
      <c r="BE26" s="55">
        <v>1.4150681886763827E-3</v>
      </c>
      <c r="BF26" s="55">
        <v>2.1843959865557101E-4</v>
      </c>
      <c r="BG26" s="55">
        <v>1.1296448536931424E-4</v>
      </c>
      <c r="BH26" s="55">
        <v>6.1254071978238634E-3</v>
      </c>
      <c r="BI26" s="55">
        <v>1.9219037021083242E-3</v>
      </c>
      <c r="BJ26" s="55">
        <v>0</v>
      </c>
      <c r="BK26" s="55">
        <v>1.1084298300622134E-3</v>
      </c>
      <c r="BL26" s="55">
        <v>1.0470419535727831E-4</v>
      </c>
      <c r="BM26" s="91">
        <v>0</v>
      </c>
    </row>
    <row r="27" spans="1:65" x14ac:dyDescent="0.25">
      <c r="A27" s="53" t="s">
        <v>85</v>
      </c>
      <c r="B27" s="54" t="s">
        <v>142</v>
      </c>
      <c r="C27" s="55">
        <v>0</v>
      </c>
      <c r="D27" s="55">
        <v>5.5737285644574727E-6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0.11952668915664337</v>
      </c>
      <c r="AA27" s="55">
        <v>3.1371937573488252E-2</v>
      </c>
      <c r="AB27" s="55">
        <v>1.7100722698734215E-2</v>
      </c>
      <c r="AC27" s="55">
        <v>0</v>
      </c>
      <c r="AD27" s="55">
        <v>0</v>
      </c>
      <c r="AE27" s="55">
        <v>0</v>
      </c>
      <c r="AF27" s="55">
        <v>0</v>
      </c>
      <c r="AG27" s="55">
        <v>4.9608539998483824E-3</v>
      </c>
      <c r="AH27" s="55">
        <v>0</v>
      </c>
      <c r="AI27" s="55">
        <v>0</v>
      </c>
      <c r="AJ27" s="55">
        <v>0</v>
      </c>
      <c r="AK27" s="55">
        <v>0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0</v>
      </c>
      <c r="AS27" s="55">
        <v>1.3022100173288049E-2</v>
      </c>
      <c r="AT27" s="55">
        <v>0</v>
      </c>
      <c r="AU27" s="55">
        <v>0</v>
      </c>
      <c r="AV27" s="55">
        <v>2.2104477898619353E-3</v>
      </c>
      <c r="AW27" s="55">
        <v>0</v>
      </c>
      <c r="AX27" s="55">
        <v>0</v>
      </c>
      <c r="AY27" s="55">
        <v>0</v>
      </c>
      <c r="AZ27" s="55">
        <v>0</v>
      </c>
      <c r="BA27" s="55">
        <v>0</v>
      </c>
      <c r="BB27" s="55">
        <v>0</v>
      </c>
      <c r="BC27" s="55">
        <v>0</v>
      </c>
      <c r="BD27" s="55">
        <v>5.0143544577782963E-4</v>
      </c>
      <c r="BE27" s="55">
        <v>1.5681252566876051E-3</v>
      </c>
      <c r="BF27" s="55">
        <v>2.5740432195585886E-3</v>
      </c>
      <c r="BG27" s="55">
        <v>0</v>
      </c>
      <c r="BH27" s="55">
        <v>0</v>
      </c>
      <c r="BI27" s="55">
        <v>0</v>
      </c>
      <c r="BJ27" s="55">
        <v>0</v>
      </c>
      <c r="BK27" s="55">
        <v>0</v>
      </c>
      <c r="BL27" s="55">
        <v>0</v>
      </c>
      <c r="BM27" s="91">
        <v>0</v>
      </c>
    </row>
    <row r="28" spans="1:65" x14ac:dyDescent="0.25">
      <c r="A28" s="53" t="s">
        <v>86</v>
      </c>
      <c r="B28" s="54" t="s">
        <v>143</v>
      </c>
      <c r="C28" s="55">
        <v>5.7124819951626443E-5</v>
      </c>
      <c r="D28" s="55">
        <v>5.9655194013770548E-5</v>
      </c>
      <c r="E28" s="55">
        <v>7.6122154607704623E-5</v>
      </c>
      <c r="F28" s="55">
        <v>4.3372403627105315E-5</v>
      </c>
      <c r="G28" s="55">
        <v>6.6438774931874888E-4</v>
      </c>
      <c r="H28" s="55">
        <v>1.9579049119928821E-3</v>
      </c>
      <c r="I28" s="55">
        <v>1.8896595497395173E-4</v>
      </c>
      <c r="J28" s="55">
        <v>8.9514315913029536E-4</v>
      </c>
      <c r="K28" s="55">
        <v>1.6774989283951681E-4</v>
      </c>
      <c r="L28" s="55">
        <v>2.3908320918969629E-4</v>
      </c>
      <c r="M28" s="55">
        <v>1.1585491658616042E-3</v>
      </c>
      <c r="N28" s="55">
        <v>2.830155507715476E-3</v>
      </c>
      <c r="O28" s="55">
        <v>1.0479412159210705E-3</v>
      </c>
      <c r="P28" s="55">
        <v>1.6965590803856949E-4</v>
      </c>
      <c r="Q28" s="55">
        <v>4.7247707589875403E-4</v>
      </c>
      <c r="R28" s="55">
        <v>1.1337281055116006E-3</v>
      </c>
      <c r="S28" s="55">
        <v>2.1686605753477886E-4</v>
      </c>
      <c r="T28" s="55">
        <v>1.0496176684183847E-4</v>
      </c>
      <c r="U28" s="55">
        <v>9.2598233164386688E-4</v>
      </c>
      <c r="V28" s="55">
        <v>3.6119766227288822E-3</v>
      </c>
      <c r="W28" s="55">
        <v>1.3733743861817224E-4</v>
      </c>
      <c r="X28" s="55">
        <v>2.0871312462676264E-5</v>
      </c>
      <c r="Y28" s="55">
        <v>1.2181534047704232E-2</v>
      </c>
      <c r="Z28" s="55">
        <v>4.7638458439550309E-3</v>
      </c>
      <c r="AA28" s="55">
        <v>1.6333349230272312E-3</v>
      </c>
      <c r="AB28" s="55">
        <v>5.0381076906792473E-3</v>
      </c>
      <c r="AC28" s="55">
        <v>3.2287747086570803E-4</v>
      </c>
      <c r="AD28" s="55">
        <v>3.0648604943909384E-4</v>
      </c>
      <c r="AE28" s="55">
        <v>3.4891028415763434E-4</v>
      </c>
      <c r="AF28" s="55">
        <v>2.2138634825840029E-4</v>
      </c>
      <c r="AG28" s="55">
        <v>7.7670837110140132E-4</v>
      </c>
      <c r="AH28" s="55">
        <v>2.598403651430989E-3</v>
      </c>
      <c r="AI28" s="55">
        <v>3.8586198158298895E-3</v>
      </c>
      <c r="AJ28" s="55">
        <v>1.0481453067750174E-3</v>
      </c>
      <c r="AK28" s="55">
        <v>1.0591940388609273E-3</v>
      </c>
      <c r="AL28" s="55">
        <v>0</v>
      </c>
      <c r="AM28" s="55">
        <v>9.4609895945175408E-4</v>
      </c>
      <c r="AN28" s="55">
        <v>1.8225439968603215E-3</v>
      </c>
      <c r="AO28" s="55">
        <v>1.3293311766051717E-3</v>
      </c>
      <c r="AP28" s="55">
        <v>2.7410978882249038E-3</v>
      </c>
      <c r="AQ28" s="55">
        <v>4.3562949308732166E-4</v>
      </c>
      <c r="AR28" s="55">
        <v>1.3877814947464732E-3</v>
      </c>
      <c r="AS28" s="55">
        <v>2.7787069589771218E-3</v>
      </c>
      <c r="AT28" s="55">
        <v>0</v>
      </c>
      <c r="AU28" s="55">
        <v>2.9057454264210473E-3</v>
      </c>
      <c r="AV28" s="55">
        <v>0</v>
      </c>
      <c r="AW28" s="55">
        <v>0</v>
      </c>
      <c r="AX28" s="55">
        <v>0</v>
      </c>
      <c r="AY28" s="55">
        <v>0</v>
      </c>
      <c r="AZ28" s="55">
        <v>0</v>
      </c>
      <c r="BA28" s="55">
        <v>5.8416206890668006E-3</v>
      </c>
      <c r="BB28" s="55">
        <v>9.7765204806550803E-4</v>
      </c>
      <c r="BC28" s="55">
        <v>0</v>
      </c>
      <c r="BD28" s="55">
        <v>0</v>
      </c>
      <c r="BE28" s="55">
        <v>0</v>
      </c>
      <c r="BF28" s="55">
        <v>0</v>
      </c>
      <c r="BG28" s="55">
        <v>0</v>
      </c>
      <c r="BH28" s="55">
        <v>0</v>
      </c>
      <c r="BI28" s="55">
        <v>1.4422090536973508E-5</v>
      </c>
      <c r="BJ28" s="55">
        <v>0</v>
      </c>
      <c r="BK28" s="55">
        <v>0</v>
      </c>
      <c r="BL28" s="55">
        <v>0</v>
      </c>
      <c r="BM28" s="91">
        <v>0</v>
      </c>
    </row>
    <row r="29" spans="1:65" x14ac:dyDescent="0.25">
      <c r="A29" s="53" t="s">
        <v>87</v>
      </c>
      <c r="B29" s="54" t="s">
        <v>17</v>
      </c>
      <c r="C29" s="55">
        <v>8.3389321464650049E-4</v>
      </c>
      <c r="D29" s="55">
        <v>4.5960531306479466E-4</v>
      </c>
      <c r="E29" s="55">
        <v>7.0736559368891373E-4</v>
      </c>
      <c r="F29" s="55">
        <v>1.1023471129654167E-4</v>
      </c>
      <c r="G29" s="55">
        <v>5.5797077770736235E-4</v>
      </c>
      <c r="H29" s="55">
        <v>9.1136021816282781E-4</v>
      </c>
      <c r="I29" s="55">
        <v>1.6675063712750962E-3</v>
      </c>
      <c r="J29" s="55">
        <v>2.2833292418358488E-3</v>
      </c>
      <c r="K29" s="55">
        <v>2.8201261580375553E-3</v>
      </c>
      <c r="L29" s="55">
        <v>3.9610781597607054E-3</v>
      </c>
      <c r="M29" s="55">
        <v>1.1778359202704932E-3</v>
      </c>
      <c r="N29" s="55">
        <v>5.2181120169534181E-4</v>
      </c>
      <c r="O29" s="55">
        <v>9.7155243739150429E-4</v>
      </c>
      <c r="P29" s="55">
        <v>1.509736809053404E-4</v>
      </c>
      <c r="Q29" s="55">
        <v>8.4209105185220666E-4</v>
      </c>
      <c r="R29" s="55">
        <v>1.4105205603350528E-3</v>
      </c>
      <c r="S29" s="55">
        <v>5.1299131935911033E-5</v>
      </c>
      <c r="T29" s="55">
        <v>9.7923550738783201E-4</v>
      </c>
      <c r="U29" s="55">
        <v>4.8679691698523602E-3</v>
      </c>
      <c r="V29" s="55">
        <v>8.9654173653473009E-3</v>
      </c>
      <c r="W29" s="55">
        <v>2.4509287611510322E-3</v>
      </c>
      <c r="X29" s="55">
        <v>6.1508418545168191E-3</v>
      </c>
      <c r="Y29" s="55">
        <v>8.4649146808888527E-3</v>
      </c>
      <c r="Z29" s="55">
        <v>4.5993061726160162E-3</v>
      </c>
      <c r="AA29" s="55">
        <v>4.374344583260698E-3</v>
      </c>
      <c r="AB29" s="55">
        <v>5.6693476556702087E-2</v>
      </c>
      <c r="AC29" s="55">
        <v>4.8040648744259798E-3</v>
      </c>
      <c r="AD29" s="55">
        <v>4.560178387993918E-3</v>
      </c>
      <c r="AE29" s="55">
        <v>3.080039215414935E-4</v>
      </c>
      <c r="AF29" s="55">
        <v>1.9543093607562277E-4</v>
      </c>
      <c r="AG29" s="55">
        <v>6.8239631038796E-3</v>
      </c>
      <c r="AH29" s="55">
        <v>2.7202091232910322E-3</v>
      </c>
      <c r="AI29" s="55">
        <v>2.7748981476679708E-3</v>
      </c>
      <c r="AJ29" s="55">
        <v>2.2710547885380562E-3</v>
      </c>
      <c r="AK29" s="55">
        <v>1.9235005923299988E-2</v>
      </c>
      <c r="AL29" s="55">
        <v>0</v>
      </c>
      <c r="AM29" s="55">
        <v>1.2980678860991962E-3</v>
      </c>
      <c r="AN29" s="55">
        <v>1.6053185993464743E-3</v>
      </c>
      <c r="AO29" s="55">
        <v>5.4418245327845019E-3</v>
      </c>
      <c r="AP29" s="55">
        <v>6.4797778787441E-3</v>
      </c>
      <c r="AQ29" s="55">
        <v>8.8350679378781569E-4</v>
      </c>
      <c r="AR29" s="55">
        <v>4.8930290394843352E-3</v>
      </c>
      <c r="AS29" s="55">
        <v>4.403381857745926E-3</v>
      </c>
      <c r="AT29" s="55">
        <v>5.1106464837294401E-3</v>
      </c>
      <c r="AU29" s="55">
        <v>2.9958265397519307E-3</v>
      </c>
      <c r="AV29" s="55">
        <v>3.7760856786189091E-3</v>
      </c>
      <c r="AW29" s="55">
        <v>2.4392348934299062E-3</v>
      </c>
      <c r="AX29" s="55">
        <v>2.7411057651090254E-4</v>
      </c>
      <c r="AY29" s="55">
        <v>1.5517795358240276E-3</v>
      </c>
      <c r="AZ29" s="55">
        <v>4.6222153411620755E-4</v>
      </c>
      <c r="BA29" s="55">
        <v>1.2392251564191661E-3</v>
      </c>
      <c r="BB29" s="55">
        <v>1.437085732489427E-3</v>
      </c>
      <c r="BC29" s="55">
        <v>1.9787812906228329E-3</v>
      </c>
      <c r="BD29" s="55">
        <v>4.9865210616058351E-4</v>
      </c>
      <c r="BE29" s="55">
        <v>5.4189927759393953E-3</v>
      </c>
      <c r="BF29" s="55">
        <v>2.8151553130745634E-3</v>
      </c>
      <c r="BG29" s="55">
        <v>6.5564286535787705E-4</v>
      </c>
      <c r="BH29" s="55">
        <v>2.4404801518816822E-3</v>
      </c>
      <c r="BI29" s="55">
        <v>1.0300780374632734E-3</v>
      </c>
      <c r="BJ29" s="55">
        <v>0</v>
      </c>
      <c r="BK29" s="55">
        <v>6.4239846885470655E-4</v>
      </c>
      <c r="BL29" s="55">
        <v>1.2566811413579847E-4</v>
      </c>
      <c r="BM29" s="91">
        <v>0</v>
      </c>
    </row>
    <row r="30" spans="1:65" x14ac:dyDescent="0.25">
      <c r="A30" s="53" t="s">
        <v>88</v>
      </c>
      <c r="B30" s="54" t="s">
        <v>144</v>
      </c>
      <c r="C30" s="55">
        <v>0</v>
      </c>
      <c r="D30" s="55">
        <v>2.4064626077326248E-6</v>
      </c>
      <c r="E30" s="55">
        <v>0</v>
      </c>
      <c r="F30" s="55">
        <v>1.4564263206939333E-5</v>
      </c>
      <c r="G30" s="55">
        <v>0</v>
      </c>
      <c r="H30" s="55">
        <v>1.1779066731634005E-3</v>
      </c>
      <c r="I30" s="55">
        <v>3.5769179584600942E-4</v>
      </c>
      <c r="J30" s="55">
        <v>3.1432213013973261E-4</v>
      </c>
      <c r="K30" s="55">
        <v>2.829008050456914E-4</v>
      </c>
      <c r="L30" s="55">
        <v>0</v>
      </c>
      <c r="M30" s="55">
        <v>3.7000214803186668E-4</v>
      </c>
      <c r="N30" s="55">
        <v>1.450230301318424E-4</v>
      </c>
      <c r="O30" s="55">
        <v>0</v>
      </c>
      <c r="P30" s="55">
        <v>9.5948571011288353E-5</v>
      </c>
      <c r="Q30" s="55">
        <v>1.3078065146500953E-4</v>
      </c>
      <c r="R30" s="55">
        <v>1.722980030670839E-4</v>
      </c>
      <c r="S30" s="55">
        <v>6.9646825379844445E-5</v>
      </c>
      <c r="T30" s="55">
        <v>2.1053977048373531E-4</v>
      </c>
      <c r="U30" s="55">
        <v>1.4988479305318142E-4</v>
      </c>
      <c r="V30" s="55">
        <v>1.337255522218914E-3</v>
      </c>
      <c r="W30" s="55">
        <v>1.9433375713788076E-5</v>
      </c>
      <c r="X30" s="55">
        <v>2.385731009267888E-3</v>
      </c>
      <c r="Y30" s="55">
        <v>1.7214654932584366E-3</v>
      </c>
      <c r="Z30" s="55">
        <v>0</v>
      </c>
      <c r="AA30" s="55">
        <v>5.7620000015302484E-5</v>
      </c>
      <c r="AB30" s="55">
        <v>8.1576742493931714E-4</v>
      </c>
      <c r="AC30" s="55">
        <v>5.9904999822075154E-4</v>
      </c>
      <c r="AD30" s="55">
        <v>2.8797394525040118E-3</v>
      </c>
      <c r="AE30" s="55">
        <v>4.1662089409939921E-4</v>
      </c>
      <c r="AF30" s="55">
        <v>2.6434926839572593E-4</v>
      </c>
      <c r="AG30" s="55">
        <v>1.9438677970568799E-4</v>
      </c>
      <c r="AH30" s="55">
        <v>4.427279651546292E-4</v>
      </c>
      <c r="AI30" s="55">
        <v>1.3893259790390378E-3</v>
      </c>
      <c r="AJ30" s="55">
        <v>8.2114946221460304E-4</v>
      </c>
      <c r="AK30" s="55">
        <v>5.6333573079833344E-3</v>
      </c>
      <c r="AL30" s="55">
        <v>0</v>
      </c>
      <c r="AM30" s="55">
        <v>6.3433657418884428E-5</v>
      </c>
      <c r="AN30" s="55">
        <v>6.5215135269747573E-4</v>
      </c>
      <c r="AO30" s="55">
        <v>4.5705189374308842E-4</v>
      </c>
      <c r="AP30" s="55">
        <v>9.8262082058655966E-4</v>
      </c>
      <c r="AQ30" s="55">
        <v>7.8390633186129421E-4</v>
      </c>
      <c r="AR30" s="55">
        <v>2.7305008045741702E-3</v>
      </c>
      <c r="AS30" s="55">
        <v>1.1297076114154354E-3</v>
      </c>
      <c r="AT30" s="55">
        <v>5.3260332578318392E-3</v>
      </c>
      <c r="AU30" s="55">
        <v>1.6281417877023426E-3</v>
      </c>
      <c r="AV30" s="55">
        <v>4.7192244896834725E-4</v>
      </c>
      <c r="AW30" s="55">
        <v>1.7307259301331303E-3</v>
      </c>
      <c r="AX30" s="55">
        <v>1.1334660812799167E-4</v>
      </c>
      <c r="AY30" s="55">
        <v>5.272162131219674E-4</v>
      </c>
      <c r="AZ30" s="55">
        <v>1.8240909380721628E-4</v>
      </c>
      <c r="BA30" s="55">
        <v>1.0919249796286089E-3</v>
      </c>
      <c r="BB30" s="55">
        <v>2.5571364047586952E-4</v>
      </c>
      <c r="BC30" s="55">
        <v>2.5751518568016557E-4</v>
      </c>
      <c r="BD30" s="55">
        <v>3.3353170708818312E-4</v>
      </c>
      <c r="BE30" s="55">
        <v>1.8150898390180917E-3</v>
      </c>
      <c r="BF30" s="55">
        <v>1.3375523830483869E-3</v>
      </c>
      <c r="BG30" s="55">
        <v>3.4959314993163372E-4</v>
      </c>
      <c r="BH30" s="55">
        <v>6.2867325206368498E-4</v>
      </c>
      <c r="BI30" s="55">
        <v>4.8024580084413923E-4</v>
      </c>
      <c r="BJ30" s="55">
        <v>0</v>
      </c>
      <c r="BK30" s="55">
        <v>2.7108192556217215E-4</v>
      </c>
      <c r="BL30" s="55">
        <v>8.7805476211618022E-5</v>
      </c>
      <c r="BM30" s="91">
        <v>0</v>
      </c>
    </row>
    <row r="31" spans="1:65" x14ac:dyDescent="0.25">
      <c r="A31" s="53" t="s">
        <v>89</v>
      </c>
      <c r="B31" s="56" t="s">
        <v>145</v>
      </c>
      <c r="C31" s="55">
        <v>0</v>
      </c>
      <c r="D31" s="55">
        <v>3.3536559776143386E-5</v>
      </c>
      <c r="E31" s="55">
        <v>0</v>
      </c>
      <c r="F31" s="55">
        <v>1.4745210550083797E-5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5.2671622405917324E-5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2.0051527747114969E-4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55">
        <v>1.880069190922319E-3</v>
      </c>
      <c r="AN31" s="55">
        <v>0</v>
      </c>
      <c r="AO31" s="55">
        <v>0</v>
      </c>
      <c r="AP31" s="55">
        <v>6.0171787130857135E-3</v>
      </c>
      <c r="AQ31" s="55">
        <v>0</v>
      </c>
      <c r="AR31" s="55">
        <v>6.5265885035330836E-4</v>
      </c>
      <c r="AS31" s="55">
        <v>1.133359593040866E-3</v>
      </c>
      <c r="AT31" s="55">
        <v>0</v>
      </c>
      <c r="AU31" s="55">
        <v>7.0768500904822321E-4</v>
      </c>
      <c r="AV31" s="55">
        <v>5.2157557557779184E-4</v>
      </c>
      <c r="AW31" s="55">
        <v>0</v>
      </c>
      <c r="AX31" s="55">
        <v>3.3314836116660438E-5</v>
      </c>
      <c r="AY31" s="55">
        <v>2.2497302394247637E-4</v>
      </c>
      <c r="AZ31" s="55">
        <v>0</v>
      </c>
      <c r="BA31" s="55">
        <v>4.4826756793001977E-4</v>
      </c>
      <c r="BB31" s="55">
        <v>1.8267572589677887E-4</v>
      </c>
      <c r="BC31" s="55">
        <v>0</v>
      </c>
      <c r="BD31" s="55">
        <v>0</v>
      </c>
      <c r="BE31" s="55">
        <v>0</v>
      </c>
      <c r="BF31" s="55">
        <v>0</v>
      </c>
      <c r="BG31" s="55">
        <v>4.2937398957254553E-4</v>
      </c>
      <c r="BH31" s="55">
        <v>9.3573331986432286E-4</v>
      </c>
      <c r="BI31" s="55">
        <v>5.2917397806686022E-4</v>
      </c>
      <c r="BJ31" s="55">
        <v>0</v>
      </c>
      <c r="BK31" s="55">
        <v>0</v>
      </c>
      <c r="BL31" s="55">
        <v>0</v>
      </c>
      <c r="BM31" s="91">
        <v>0</v>
      </c>
    </row>
    <row r="32" spans="1:65" x14ac:dyDescent="0.25">
      <c r="A32" s="53" t="s">
        <v>90</v>
      </c>
      <c r="B32" s="54" t="s">
        <v>169</v>
      </c>
      <c r="C32" s="55">
        <v>1.7699778535958322E-2</v>
      </c>
      <c r="D32" s="55">
        <v>1.1297078342633899E-2</v>
      </c>
      <c r="E32" s="55">
        <v>0</v>
      </c>
      <c r="F32" s="55">
        <v>1.399754982854015E-3</v>
      </c>
      <c r="G32" s="55">
        <v>3.5184483187852378E-3</v>
      </c>
      <c r="H32" s="55">
        <v>2.9301789203710783E-2</v>
      </c>
      <c r="I32" s="55">
        <v>3.6370590474924913E-2</v>
      </c>
      <c r="J32" s="55">
        <v>7.2707964685958647E-3</v>
      </c>
      <c r="K32" s="55">
        <v>7.6762400700135132E-3</v>
      </c>
      <c r="L32" s="55">
        <v>6.2041245241736508E-3</v>
      </c>
      <c r="M32" s="55">
        <v>1.6397807481140815E-2</v>
      </c>
      <c r="N32" s="55">
        <v>9.2220203009425131E-3</v>
      </c>
      <c r="O32" s="55">
        <v>1.8333248273572068E-2</v>
      </c>
      <c r="P32" s="55">
        <v>9.5143061958046921E-3</v>
      </c>
      <c r="Q32" s="55">
        <v>6.9371098011999548E-3</v>
      </c>
      <c r="R32" s="55">
        <v>1.6326955204595932E-3</v>
      </c>
      <c r="S32" s="55">
        <v>4.6075340541965361E-3</v>
      </c>
      <c r="T32" s="55">
        <v>4.3084510712212959E-4</v>
      </c>
      <c r="U32" s="55">
        <v>4.7197895060149472E-3</v>
      </c>
      <c r="V32" s="55">
        <v>4.7239399767726679E-3</v>
      </c>
      <c r="W32" s="55">
        <v>4.2968344287888329E-4</v>
      </c>
      <c r="X32" s="55">
        <v>3.3011947063308129E-2</v>
      </c>
      <c r="Y32" s="55">
        <v>6.4820517201625398E-3</v>
      </c>
      <c r="Z32" s="55">
        <v>6.6110758799080363E-3</v>
      </c>
      <c r="AA32" s="55">
        <v>1.7102287101172983E-3</v>
      </c>
      <c r="AB32" s="55">
        <v>6.59411328915698E-3</v>
      </c>
      <c r="AC32" s="55">
        <v>1.3385486174437955E-3</v>
      </c>
      <c r="AD32" s="55">
        <v>1.2705949307721778E-3</v>
      </c>
      <c r="AE32" s="55">
        <v>3.8262434625295959E-2</v>
      </c>
      <c r="AF32" s="55">
        <v>1.1128044876988444E-3</v>
      </c>
      <c r="AG32" s="55">
        <v>5.7274277940764159E-3</v>
      </c>
      <c r="AH32" s="55">
        <v>1.1470752432750603E-2</v>
      </c>
      <c r="AI32" s="55">
        <v>5.9548162125229341E-3</v>
      </c>
      <c r="AJ32" s="55">
        <v>1.0719054814660896E-4</v>
      </c>
      <c r="AK32" s="55">
        <v>5.6760244202178761E-3</v>
      </c>
      <c r="AL32" s="55">
        <v>0</v>
      </c>
      <c r="AM32" s="55">
        <v>1.1710050075205822E-2</v>
      </c>
      <c r="AN32" s="55">
        <v>2.7053623938099289E-3</v>
      </c>
      <c r="AO32" s="55">
        <v>2.7911556458565042E-3</v>
      </c>
      <c r="AP32" s="55">
        <v>1.0855778619258486E-2</v>
      </c>
      <c r="AQ32" s="55">
        <v>3.7006716221324069E-4</v>
      </c>
      <c r="AR32" s="55">
        <v>2.0564429490229838E-2</v>
      </c>
      <c r="AS32" s="55">
        <v>3.4876404263980924E-3</v>
      </c>
      <c r="AT32" s="55">
        <v>1.1884788708626207E-2</v>
      </c>
      <c r="AU32" s="55">
        <v>1.1297335905329475E-2</v>
      </c>
      <c r="AV32" s="55">
        <v>1.3054769682636022E-3</v>
      </c>
      <c r="AW32" s="55">
        <v>1.8223602307363827E-2</v>
      </c>
      <c r="AX32" s="55">
        <v>3.194301995916757E-4</v>
      </c>
      <c r="AY32" s="55">
        <v>6.9627521330615401E-3</v>
      </c>
      <c r="AZ32" s="55">
        <v>6.0996240337402388E-4</v>
      </c>
      <c r="BA32" s="55">
        <v>2.129580226509899E-2</v>
      </c>
      <c r="BB32" s="55">
        <v>2.8586134707601012E-2</v>
      </c>
      <c r="BC32" s="55">
        <v>4.1556220576534231E-3</v>
      </c>
      <c r="BD32" s="55">
        <v>3.8542978261802163E-3</v>
      </c>
      <c r="BE32" s="55">
        <v>4.4392993131720217E-2</v>
      </c>
      <c r="BF32" s="55">
        <v>2.5627155491005547E-2</v>
      </c>
      <c r="BG32" s="55">
        <v>3.0487510276381836E-3</v>
      </c>
      <c r="BH32" s="55">
        <v>1.5915052098695408E-2</v>
      </c>
      <c r="BI32" s="55">
        <v>1.5914052566090651E-2</v>
      </c>
      <c r="BJ32" s="55">
        <v>0</v>
      </c>
      <c r="BK32" s="55">
        <v>3.2049947116461227E-3</v>
      </c>
      <c r="BL32" s="55">
        <v>1.3674475289260763E-3</v>
      </c>
      <c r="BM32" s="91">
        <v>0</v>
      </c>
    </row>
    <row r="33" spans="1:65" x14ac:dyDescent="0.25">
      <c r="A33" s="53" t="s">
        <v>91</v>
      </c>
      <c r="B33" s="54" t="s">
        <v>170</v>
      </c>
      <c r="C33" s="55">
        <v>1.8371340372269778E-3</v>
      </c>
      <c r="D33" s="55">
        <v>1.1287087152453026E-3</v>
      </c>
      <c r="E33" s="55">
        <v>0</v>
      </c>
      <c r="F33" s="55">
        <v>1.4112855672010957E-4</v>
      </c>
      <c r="G33" s="55">
        <v>3.5474317948989498E-4</v>
      </c>
      <c r="H33" s="55">
        <v>6.4597924185269924E-3</v>
      </c>
      <c r="I33" s="55">
        <v>3.7060549621501983E-3</v>
      </c>
      <c r="J33" s="55">
        <v>7.6281940496552387E-4</v>
      </c>
      <c r="K33" s="55">
        <v>7.7394736606632741E-4</v>
      </c>
      <c r="L33" s="55">
        <v>6.2552314550308648E-4</v>
      </c>
      <c r="M33" s="55">
        <v>1.9493573341157944E-3</v>
      </c>
      <c r="N33" s="55">
        <v>9.2719119090061536E-4</v>
      </c>
      <c r="O33" s="55">
        <v>1.8484269751019053E-3</v>
      </c>
      <c r="P33" s="55">
        <v>1.0035141694436978E-3</v>
      </c>
      <c r="Q33" s="55">
        <v>6.9942547520431507E-4</v>
      </c>
      <c r="R33" s="55">
        <v>1.6461449695720203E-4</v>
      </c>
      <c r="S33" s="55">
        <v>4.981160727336243E-4</v>
      </c>
      <c r="T33" s="55">
        <v>4.3439422529570375E-5</v>
      </c>
      <c r="U33" s="55">
        <v>4.7586691182800999E-4</v>
      </c>
      <c r="V33" s="55">
        <v>4.7628537788451303E-4</v>
      </c>
      <c r="W33" s="55">
        <v>4.332229917580425E-5</v>
      </c>
      <c r="X33" s="55">
        <v>3.3283885398757871E-3</v>
      </c>
      <c r="Y33" s="55">
        <v>6.5354480966834337E-4</v>
      </c>
      <c r="Z33" s="55">
        <v>6.6655351024091122E-4</v>
      </c>
      <c r="AA33" s="55">
        <v>1.7243168445668037E-4</v>
      </c>
      <c r="AB33" s="55">
        <v>6.6484327810724722E-4</v>
      </c>
      <c r="AC33" s="55">
        <v>1.349575009866155E-4</v>
      </c>
      <c r="AD33" s="55">
        <v>1.2810615497159966E-4</v>
      </c>
      <c r="AE33" s="55">
        <v>2.7640964200129133E-2</v>
      </c>
      <c r="AF33" s="55">
        <v>8.5406340016428856E-2</v>
      </c>
      <c r="AG33" s="55">
        <v>6.1556603753275068E-4</v>
      </c>
      <c r="AH33" s="55">
        <v>1.2349420689493798E-3</v>
      </c>
      <c r="AI33" s="55">
        <v>6.0038694478755012E-4</v>
      </c>
      <c r="AJ33" s="55">
        <v>1.0807353814968399E-5</v>
      </c>
      <c r="AK33" s="55">
        <v>5.7227810877311873E-4</v>
      </c>
      <c r="AL33" s="55">
        <v>0</v>
      </c>
      <c r="AM33" s="55">
        <v>1.0877764866281414E-3</v>
      </c>
      <c r="AN33" s="55">
        <v>2.727648014974597E-4</v>
      </c>
      <c r="AO33" s="55">
        <v>2.8141479952280751E-4</v>
      </c>
      <c r="AP33" s="55">
        <v>1.2559706733972374E-3</v>
      </c>
      <c r="AQ33" s="55">
        <v>3.9865763610324453E-5</v>
      </c>
      <c r="AR33" s="55">
        <v>2.0733830486612211E-3</v>
      </c>
      <c r="AS33" s="55">
        <v>4.0241763783023662E-4</v>
      </c>
      <c r="AT33" s="55">
        <v>1.2276047157481593E-3</v>
      </c>
      <c r="AU33" s="55">
        <v>1.1447418849319887E-3</v>
      </c>
      <c r="AV33" s="55">
        <v>1.4809929607017747E-4</v>
      </c>
      <c r="AW33" s="55">
        <v>1.8373720568121367E-3</v>
      </c>
      <c r="AX33" s="55">
        <v>3.2206152929188217E-5</v>
      </c>
      <c r="AY33" s="55">
        <v>7.0201083144943793E-4</v>
      </c>
      <c r="AZ33" s="55">
        <v>6.1498701341421285E-5</v>
      </c>
      <c r="BA33" s="55">
        <v>2.1601624573943071E-3</v>
      </c>
      <c r="BB33" s="55">
        <v>2.8821615089125335E-3</v>
      </c>
      <c r="BC33" s="55">
        <v>4.1898542991794833E-4</v>
      </c>
      <c r="BD33" s="55">
        <v>3.8860478872465614E-4</v>
      </c>
      <c r="BE33" s="55">
        <v>4.5313097347126933E-3</v>
      </c>
      <c r="BF33" s="55">
        <v>2.6273016758906918E-3</v>
      </c>
      <c r="BG33" s="55">
        <v>3.0738653378625016E-4</v>
      </c>
      <c r="BH33" s="55">
        <v>1.6046153507770615E-3</v>
      </c>
      <c r="BI33" s="55">
        <v>1.6045145741442688E-3</v>
      </c>
      <c r="BJ33" s="55">
        <v>0</v>
      </c>
      <c r="BK33" s="55">
        <v>3.2313960906783546E-4</v>
      </c>
      <c r="BL33" s="55">
        <v>1.3955887507626109E-4</v>
      </c>
      <c r="BM33" s="91">
        <v>0</v>
      </c>
    </row>
    <row r="34" spans="1:65" x14ac:dyDescent="0.25">
      <c r="A34" s="53" t="s">
        <v>92</v>
      </c>
      <c r="B34" s="54" t="s">
        <v>5</v>
      </c>
      <c r="C34" s="55">
        <v>2.1544676977757752E-2</v>
      </c>
      <c r="D34" s="55">
        <v>7.8901095591379922E-3</v>
      </c>
      <c r="E34" s="55">
        <v>3.0238215719291802E-2</v>
      </c>
      <c r="F34" s="55">
        <v>4.8920988195550439E-4</v>
      </c>
      <c r="G34" s="55">
        <v>4.3446981179447092E-2</v>
      </c>
      <c r="H34" s="55">
        <v>8.2853566337753981E-2</v>
      </c>
      <c r="I34" s="55">
        <v>5.32180573942529E-2</v>
      </c>
      <c r="J34" s="55">
        <v>3.9509350513248678E-2</v>
      </c>
      <c r="K34" s="55">
        <v>2.9522067995385426E-2</v>
      </c>
      <c r="L34" s="55">
        <v>4.4028423902222641E-2</v>
      </c>
      <c r="M34" s="55">
        <v>3.4062184560239121E-2</v>
      </c>
      <c r="N34" s="55">
        <v>6.8192847843283014E-2</v>
      </c>
      <c r="O34" s="55">
        <v>3.3471924711456866E-2</v>
      </c>
      <c r="P34" s="55">
        <v>3.5958419835859594E-3</v>
      </c>
      <c r="Q34" s="55">
        <v>1.3538108124376254E-2</v>
      </c>
      <c r="R34" s="55">
        <v>8.6984325219660492E-3</v>
      </c>
      <c r="S34" s="55">
        <v>1.4679547312768677E-3</v>
      </c>
      <c r="T34" s="55">
        <v>4.6516085971245258E-3</v>
      </c>
      <c r="U34" s="55">
        <v>3.3983528112504671E-2</v>
      </c>
      <c r="V34" s="55">
        <v>1.2205544220329313E-2</v>
      </c>
      <c r="W34" s="55">
        <v>6.8236973529084083E-3</v>
      </c>
      <c r="X34" s="55">
        <v>6.1499615043846927E-3</v>
      </c>
      <c r="Y34" s="55">
        <v>1.935809307182405E-2</v>
      </c>
      <c r="Z34" s="55">
        <v>1.1214971618769762E-2</v>
      </c>
      <c r="AA34" s="55">
        <v>1.4686962988711388E-3</v>
      </c>
      <c r="AB34" s="55">
        <v>7.3016858942814254E-3</v>
      </c>
      <c r="AC34" s="55">
        <v>3.3421608182198715E-3</v>
      </c>
      <c r="AD34" s="55">
        <v>3.172490366143818E-3</v>
      </c>
      <c r="AE34" s="55">
        <v>6.7380369362698683E-3</v>
      </c>
      <c r="AF34" s="55">
        <v>4.5830455211370909E-3</v>
      </c>
      <c r="AG34" s="55">
        <v>1.3888942348003482E-2</v>
      </c>
      <c r="AH34" s="55">
        <v>2.0116547246186141E-3</v>
      </c>
      <c r="AI34" s="55">
        <v>1.4273076936090869E-3</v>
      </c>
      <c r="AJ34" s="55">
        <v>7.3079364530147857E-5</v>
      </c>
      <c r="AK34" s="55">
        <v>4.2058965808195153E-4</v>
      </c>
      <c r="AL34" s="55">
        <v>2.6371981688480886E-3</v>
      </c>
      <c r="AM34" s="55">
        <v>9.6392492427783592E-4</v>
      </c>
      <c r="AN34" s="55">
        <v>7.2835323167313856E-3</v>
      </c>
      <c r="AO34" s="55">
        <v>3.9962211140148925E-3</v>
      </c>
      <c r="AP34" s="55">
        <v>2.0592911654640509E-3</v>
      </c>
      <c r="AQ34" s="55">
        <v>2.2507879333491547E-3</v>
      </c>
      <c r="AR34" s="55">
        <v>1.0666889358405094E-2</v>
      </c>
      <c r="AS34" s="55">
        <v>6.6904488296255981E-3</v>
      </c>
      <c r="AT34" s="55">
        <v>9.3444681434074123E-4</v>
      </c>
      <c r="AU34" s="55">
        <v>1.3591935861252595E-3</v>
      </c>
      <c r="AV34" s="55">
        <v>5.3281641710276268E-3</v>
      </c>
      <c r="AW34" s="55">
        <v>1.2866919334213212E-2</v>
      </c>
      <c r="AX34" s="55">
        <v>4.8633964651253428E-4</v>
      </c>
      <c r="AY34" s="55">
        <v>3.1483028321838582E-3</v>
      </c>
      <c r="AZ34" s="55">
        <v>9.4093775956421359E-4</v>
      </c>
      <c r="BA34" s="55">
        <v>1.2883189500778309E-2</v>
      </c>
      <c r="BB34" s="55">
        <v>5.4289982311674636E-3</v>
      </c>
      <c r="BC34" s="55">
        <v>4.9512025160725745E-3</v>
      </c>
      <c r="BD34" s="55">
        <v>7.1319980552449528E-4</v>
      </c>
      <c r="BE34" s="55">
        <v>9.9477757449914338E-3</v>
      </c>
      <c r="BF34" s="55">
        <v>2.765018156455492E-2</v>
      </c>
      <c r="BG34" s="55">
        <v>4.5307201885933981E-3</v>
      </c>
      <c r="BH34" s="55">
        <v>5.6191443841909971E-3</v>
      </c>
      <c r="BI34" s="55">
        <v>2.2632354832752238E-3</v>
      </c>
      <c r="BJ34" s="55">
        <v>0</v>
      </c>
      <c r="BK34" s="55">
        <v>4.079457064500097E-3</v>
      </c>
      <c r="BL34" s="55">
        <v>4.2128079866810046E-4</v>
      </c>
      <c r="BM34" s="91">
        <v>0</v>
      </c>
    </row>
    <row r="35" spans="1:65" x14ac:dyDescent="0.25">
      <c r="A35" s="53" t="s">
        <v>93</v>
      </c>
      <c r="B35" s="54" t="s">
        <v>146</v>
      </c>
      <c r="C35" s="55">
        <v>9.5854108386413742E-3</v>
      </c>
      <c r="D35" s="55">
        <v>3.4688568973025534E-4</v>
      </c>
      <c r="E35" s="55">
        <v>1.6731995574615823E-2</v>
      </c>
      <c r="F35" s="55">
        <v>9.0120823068972017E-4</v>
      </c>
      <c r="G35" s="55">
        <v>6.443686967879711E-3</v>
      </c>
      <c r="H35" s="55">
        <v>5.2565470714998584E-3</v>
      </c>
      <c r="I35" s="55">
        <v>6.5220067465493511E-2</v>
      </c>
      <c r="J35" s="55">
        <v>5.8087111828173749E-2</v>
      </c>
      <c r="K35" s="55">
        <v>2.6142805273796602E-2</v>
      </c>
      <c r="L35" s="55">
        <v>8.2370226961882578E-2</v>
      </c>
      <c r="M35" s="55">
        <v>1.1689413089160744E-2</v>
      </c>
      <c r="N35" s="55">
        <v>1.4755510305443467E-2</v>
      </c>
      <c r="O35" s="55">
        <v>1.6816799123794055E-2</v>
      </c>
      <c r="P35" s="55">
        <v>6.5633299844052506E-4</v>
      </c>
      <c r="Q35" s="55">
        <v>7.7859278448034275E-3</v>
      </c>
      <c r="R35" s="55">
        <v>4.9696707010133756E-4</v>
      </c>
      <c r="S35" s="55">
        <v>1.1892506859899167E-4</v>
      </c>
      <c r="T35" s="55">
        <v>1.0600406606087484E-3</v>
      </c>
      <c r="U35" s="55">
        <v>2.916242755101594E-3</v>
      </c>
      <c r="V35" s="55">
        <v>1.2044730563675729E-3</v>
      </c>
      <c r="W35" s="55">
        <v>8.0504522886336934E-4</v>
      </c>
      <c r="X35" s="55">
        <v>2.5303319083781341E-2</v>
      </c>
      <c r="Y35" s="55">
        <v>3.5374218134859936E-3</v>
      </c>
      <c r="Z35" s="55">
        <v>1.1538676064395762E-2</v>
      </c>
      <c r="AA35" s="55">
        <v>5.1010190324085091E-3</v>
      </c>
      <c r="AB35" s="55">
        <v>1.6457633824969408E-2</v>
      </c>
      <c r="AC35" s="55">
        <v>5.4166001575312881E-3</v>
      </c>
      <c r="AD35" s="55">
        <v>5.1416172804556485E-3</v>
      </c>
      <c r="AE35" s="55">
        <v>4.2807672198736978E-3</v>
      </c>
      <c r="AF35" s="55">
        <v>2.7161808223570092E-3</v>
      </c>
      <c r="AG35" s="55">
        <v>7.4967403428097459E-3</v>
      </c>
      <c r="AH35" s="55">
        <v>7.9962370992398522E-3</v>
      </c>
      <c r="AI35" s="55">
        <v>1.3303529100658392E-3</v>
      </c>
      <c r="AJ35" s="55">
        <v>2.4048917933071345E-5</v>
      </c>
      <c r="AK35" s="55">
        <v>1.0013085868876018E-2</v>
      </c>
      <c r="AL35" s="55">
        <v>1.4475837627189965E-2</v>
      </c>
      <c r="AM35" s="55">
        <v>2.8342384942348199E-3</v>
      </c>
      <c r="AN35" s="55">
        <v>3.226809034115295E-3</v>
      </c>
      <c r="AO35" s="55">
        <v>1.4666578275828386E-2</v>
      </c>
      <c r="AP35" s="55">
        <v>1.5586953075740526E-2</v>
      </c>
      <c r="AQ35" s="55">
        <v>3.1693716693086968E-3</v>
      </c>
      <c r="AR35" s="55">
        <v>1.6756037158563188E-2</v>
      </c>
      <c r="AS35" s="55">
        <v>1.1705337706544992E-2</v>
      </c>
      <c r="AT35" s="55">
        <v>8.9484456514409631E-6</v>
      </c>
      <c r="AU35" s="55">
        <v>2.6614243593945344E-3</v>
      </c>
      <c r="AV35" s="55">
        <v>1.531517616890021E-2</v>
      </c>
      <c r="AW35" s="55">
        <v>1.4200726239688013E-2</v>
      </c>
      <c r="AX35" s="55">
        <v>3.2142022790486476E-5</v>
      </c>
      <c r="AY35" s="55">
        <v>7.0691189008298958E-4</v>
      </c>
      <c r="AZ35" s="55">
        <v>6.182081721998815E-4</v>
      </c>
      <c r="BA35" s="55">
        <v>7.6659807688908349E-3</v>
      </c>
      <c r="BB35" s="55">
        <v>1.3731308428027045E-3</v>
      </c>
      <c r="BC35" s="55">
        <v>5.9428611649476487E-4</v>
      </c>
      <c r="BD35" s="55">
        <v>2.0143498916565808E-4</v>
      </c>
      <c r="BE35" s="55">
        <v>3.2349815565855572E-3</v>
      </c>
      <c r="BF35" s="55">
        <v>4.0391630275627526E-3</v>
      </c>
      <c r="BG35" s="55">
        <v>4.5589943431551053E-3</v>
      </c>
      <c r="BH35" s="55">
        <v>1.0863542620174105E-2</v>
      </c>
      <c r="BI35" s="55">
        <v>1.9598194417320357E-3</v>
      </c>
      <c r="BJ35" s="55">
        <v>0</v>
      </c>
      <c r="BK35" s="55">
        <v>7.0210606173173675E-5</v>
      </c>
      <c r="BL35" s="55">
        <v>0</v>
      </c>
      <c r="BM35" s="91">
        <v>0</v>
      </c>
    </row>
    <row r="36" spans="1:65" x14ac:dyDescent="0.25">
      <c r="A36" s="53" t="s">
        <v>94</v>
      </c>
      <c r="B36" s="54" t="s">
        <v>147</v>
      </c>
      <c r="C36" s="55">
        <v>5.6818308849051792E-3</v>
      </c>
      <c r="D36" s="55">
        <v>2.3353609161752007E-3</v>
      </c>
      <c r="E36" s="55">
        <v>3.5423100451200396E-3</v>
      </c>
      <c r="F36" s="55">
        <v>1.4056680917230045E-3</v>
      </c>
      <c r="G36" s="55">
        <v>5.1540275207295084E-3</v>
      </c>
      <c r="H36" s="55">
        <v>1.4374453775147877E-2</v>
      </c>
      <c r="I36" s="55">
        <v>7.0757005989877074E-3</v>
      </c>
      <c r="J36" s="55">
        <v>7.6559274817159873E-3</v>
      </c>
      <c r="K36" s="55">
        <v>7.2230236626284871E-3</v>
      </c>
      <c r="L36" s="55">
        <v>6.5749599104949442E-3</v>
      </c>
      <c r="M36" s="55">
        <v>2.4755885154411684E-3</v>
      </c>
      <c r="N36" s="55">
        <v>9.3925018321365638E-3</v>
      </c>
      <c r="O36" s="55">
        <v>5.3203343142481721E-3</v>
      </c>
      <c r="P36" s="55">
        <v>1.8242813457431861E-3</v>
      </c>
      <c r="Q36" s="55">
        <v>2.5475227344170285E-3</v>
      </c>
      <c r="R36" s="55">
        <v>3.0623614118654237E-3</v>
      </c>
      <c r="S36" s="55">
        <v>7.6151962360005614E-4</v>
      </c>
      <c r="T36" s="55">
        <v>1.0454916901428911E-3</v>
      </c>
      <c r="U36" s="55">
        <v>5.7695951799567186E-3</v>
      </c>
      <c r="V36" s="55">
        <v>5.9353577636945152E-3</v>
      </c>
      <c r="W36" s="55">
        <v>2.1965030116581001E-3</v>
      </c>
      <c r="X36" s="55">
        <v>4.9000397555929581E-3</v>
      </c>
      <c r="Y36" s="55">
        <v>1.0769451424342975E-2</v>
      </c>
      <c r="Z36" s="55">
        <v>8.7152949417464241E-3</v>
      </c>
      <c r="AA36" s="55">
        <v>3.4832370240714516E-3</v>
      </c>
      <c r="AB36" s="55">
        <v>1.3430285326070655E-2</v>
      </c>
      <c r="AC36" s="55">
        <v>2.6743004770699123E-3</v>
      </c>
      <c r="AD36" s="55">
        <v>2.5402058138240219E-3</v>
      </c>
      <c r="AE36" s="55">
        <v>7.801876952975054E-3</v>
      </c>
      <c r="AF36" s="55">
        <v>5.3068576004565576E-3</v>
      </c>
      <c r="AG36" s="55">
        <v>8.6727996632847953E-3</v>
      </c>
      <c r="AH36" s="55">
        <v>9.2580446556477704E-3</v>
      </c>
      <c r="AI36" s="55">
        <v>5.7985103617461439E-2</v>
      </c>
      <c r="AJ36" s="55">
        <v>2.5967375403419769E-3</v>
      </c>
      <c r="AK36" s="55">
        <v>1.1964113082771023E-2</v>
      </c>
      <c r="AL36" s="55">
        <v>1.8246174607268194E-2</v>
      </c>
      <c r="AM36" s="55">
        <v>6.4786110136141068E-3</v>
      </c>
      <c r="AN36" s="55">
        <v>1.0914304167785792E-2</v>
      </c>
      <c r="AO36" s="55">
        <v>7.7633845679018982E-3</v>
      </c>
      <c r="AP36" s="55">
        <v>1.1394842397704968E-2</v>
      </c>
      <c r="AQ36" s="55">
        <v>1.1144966649271242E-3</v>
      </c>
      <c r="AR36" s="55">
        <v>5.4570790386874657E-3</v>
      </c>
      <c r="AS36" s="55">
        <v>7.5435255622567105E-3</v>
      </c>
      <c r="AT36" s="55">
        <v>1.9583311628217275E-6</v>
      </c>
      <c r="AU36" s="55">
        <v>2.8249622608607075E-3</v>
      </c>
      <c r="AV36" s="55">
        <v>5.2641083269100147E-3</v>
      </c>
      <c r="AW36" s="55">
        <v>3.5022995914775392E-3</v>
      </c>
      <c r="AX36" s="55">
        <v>3.4560066609546231E-4</v>
      </c>
      <c r="AY36" s="55">
        <v>1.798758350645614E-3</v>
      </c>
      <c r="AZ36" s="55">
        <v>7.3749738206560717E-4</v>
      </c>
      <c r="BA36" s="55">
        <v>3.5480346837462665E-3</v>
      </c>
      <c r="BB36" s="55">
        <v>3.8201843367090455E-3</v>
      </c>
      <c r="BC36" s="55">
        <v>1.9175311655095886E-3</v>
      </c>
      <c r="BD36" s="55">
        <v>8.0882959681178397E-4</v>
      </c>
      <c r="BE36" s="55">
        <v>2.2873238372563914E-2</v>
      </c>
      <c r="BF36" s="55">
        <v>9.0697967991865015E-3</v>
      </c>
      <c r="BG36" s="55">
        <v>2.4793945210582796E-3</v>
      </c>
      <c r="BH36" s="55">
        <v>4.5169944856062998E-3</v>
      </c>
      <c r="BI36" s="55">
        <v>1.1700867524848248E-3</v>
      </c>
      <c r="BJ36" s="55">
        <v>0</v>
      </c>
      <c r="BK36" s="55">
        <v>5.8229082800104236E-4</v>
      </c>
      <c r="BL36" s="55">
        <v>6.8695855823426875E-5</v>
      </c>
      <c r="BM36" s="91">
        <v>0</v>
      </c>
    </row>
    <row r="37" spans="1:65" x14ac:dyDescent="0.25">
      <c r="A37" s="53" t="s">
        <v>95</v>
      </c>
      <c r="B37" s="56" t="s">
        <v>148</v>
      </c>
      <c r="C37" s="55">
        <v>1.0007350466551324E-2</v>
      </c>
      <c r="D37" s="55">
        <v>1.4941113660703084E-3</v>
      </c>
      <c r="E37" s="55">
        <v>4.4944000798330863E-3</v>
      </c>
      <c r="F37" s="55">
        <v>3.1177734670994359E-4</v>
      </c>
      <c r="G37" s="55">
        <v>2.0349297710303129E-3</v>
      </c>
      <c r="H37" s="55">
        <v>6.8689991896884635E-3</v>
      </c>
      <c r="I37" s="55">
        <v>2.8582150126371859E-3</v>
      </c>
      <c r="J37" s="55">
        <v>8.4391131080491649E-3</v>
      </c>
      <c r="K37" s="55">
        <v>1.1061113445120238E-2</v>
      </c>
      <c r="L37" s="55">
        <v>3.9668222366638153E-3</v>
      </c>
      <c r="M37" s="55">
        <v>4.8821601554234647E-4</v>
      </c>
      <c r="N37" s="55">
        <v>1.1529109447583274E-3</v>
      </c>
      <c r="O37" s="55">
        <v>1.3672940551748656E-3</v>
      </c>
      <c r="P37" s="55">
        <v>1.5797532020748164E-3</v>
      </c>
      <c r="Q37" s="55">
        <v>1.2683395525654474E-3</v>
      </c>
      <c r="R37" s="55">
        <v>3.6471114665068559E-3</v>
      </c>
      <c r="S37" s="55">
        <v>2.5282872941343737E-3</v>
      </c>
      <c r="T37" s="55">
        <v>1.159147678047108E-3</v>
      </c>
      <c r="U37" s="55">
        <v>3.4432456971703767E-3</v>
      </c>
      <c r="V37" s="55">
        <v>2.3364947723837379E-3</v>
      </c>
      <c r="W37" s="55">
        <v>3.4246760392932624E-3</v>
      </c>
      <c r="X37" s="55">
        <v>3.2423185895850658E-3</v>
      </c>
      <c r="Y37" s="55">
        <v>1.9427558175454552E-3</v>
      </c>
      <c r="Z37" s="55">
        <v>2.6099395549466211E-3</v>
      </c>
      <c r="AA37" s="55">
        <v>4.7774893913515703E-3</v>
      </c>
      <c r="AB37" s="55">
        <v>7.0806389915763941E-3</v>
      </c>
      <c r="AC37" s="55">
        <v>1.352892148846198E-3</v>
      </c>
      <c r="AD37" s="55">
        <v>1.28755499412046E-3</v>
      </c>
      <c r="AE37" s="55">
        <v>3.4583775462559392E-3</v>
      </c>
      <c r="AF37" s="55">
        <v>2.3521632595283706E-3</v>
      </c>
      <c r="AG37" s="55">
        <v>2.0792327996267969E-3</v>
      </c>
      <c r="AH37" s="55">
        <v>1.2180384052014374E-3</v>
      </c>
      <c r="AI37" s="55">
        <v>1.8342025266449775E-3</v>
      </c>
      <c r="AJ37" s="55">
        <v>0.13610073506523915</v>
      </c>
      <c r="AK37" s="55">
        <v>5.6296364600376143E-3</v>
      </c>
      <c r="AL37" s="55">
        <v>3.9794267144340541E-2</v>
      </c>
      <c r="AM37" s="55">
        <v>1.2153325301542823E-2</v>
      </c>
      <c r="AN37" s="55">
        <v>6.7990000426253984E-3</v>
      </c>
      <c r="AO37" s="55">
        <v>9.8605930699703225E-4</v>
      </c>
      <c r="AP37" s="55">
        <v>1.3395392087992503E-3</v>
      </c>
      <c r="AQ37" s="55">
        <v>3.2021678804415777E-4</v>
      </c>
      <c r="AR37" s="55">
        <v>1.2371505772078456E-3</v>
      </c>
      <c r="AS37" s="55">
        <v>3.2281866138710179E-3</v>
      </c>
      <c r="AT37" s="55">
        <v>4.1805813473912365E-3</v>
      </c>
      <c r="AU37" s="55">
        <v>4.6273904898889165E-4</v>
      </c>
      <c r="AV37" s="55">
        <v>2.9107595588102157E-3</v>
      </c>
      <c r="AW37" s="55">
        <v>3.0738829720176855E-3</v>
      </c>
      <c r="AX37" s="55">
        <v>1.3883557548884169E-4</v>
      </c>
      <c r="AY37" s="55">
        <v>7.9010102292027286E-4</v>
      </c>
      <c r="AZ37" s="55">
        <v>1.8633254578359892E-4</v>
      </c>
      <c r="BA37" s="55">
        <v>4.5447482247544645E-3</v>
      </c>
      <c r="BB37" s="55">
        <v>8.8665756635072587E-4</v>
      </c>
      <c r="BC37" s="55">
        <v>6.0960449317979185E-4</v>
      </c>
      <c r="BD37" s="55">
        <v>2.538484645653418E-4</v>
      </c>
      <c r="BE37" s="55">
        <v>5.1055947503133867E-3</v>
      </c>
      <c r="BF37" s="55">
        <v>1.6337406047685498E-3</v>
      </c>
      <c r="BG37" s="55">
        <v>3.7035780299622315E-4</v>
      </c>
      <c r="BH37" s="55">
        <v>1.3612281055922165E-3</v>
      </c>
      <c r="BI37" s="55">
        <v>4.1844694188523202E-4</v>
      </c>
      <c r="BJ37" s="55">
        <v>0</v>
      </c>
      <c r="BK37" s="55">
        <v>6.7638148163860269E-4</v>
      </c>
      <c r="BL37" s="55">
        <v>3.7449657608407141E-5</v>
      </c>
      <c r="BM37" s="91">
        <v>0</v>
      </c>
    </row>
    <row r="38" spans="1:65" x14ac:dyDescent="0.25">
      <c r="A38" s="53" t="s">
        <v>96</v>
      </c>
      <c r="B38" s="56" t="s">
        <v>149</v>
      </c>
      <c r="C38" s="55">
        <v>1.1448798980437185E-4</v>
      </c>
      <c r="D38" s="55">
        <v>1.0655362823352034E-4</v>
      </c>
      <c r="E38" s="55">
        <v>3.6198884016485223E-4</v>
      </c>
      <c r="F38" s="55">
        <v>2.3127575885150949E-4</v>
      </c>
      <c r="G38" s="55">
        <v>2.1854722686852652E-4</v>
      </c>
      <c r="H38" s="55">
        <v>3.4799529496785534E-3</v>
      </c>
      <c r="I38" s="55">
        <v>3.1098653632656396E-4</v>
      </c>
      <c r="J38" s="55">
        <v>2.1381159996759335E-4</v>
      </c>
      <c r="K38" s="55">
        <v>2.944753832890434E-4</v>
      </c>
      <c r="L38" s="55">
        <v>1.1772499660954066E-4</v>
      </c>
      <c r="M38" s="55">
        <v>0</v>
      </c>
      <c r="N38" s="55">
        <v>0</v>
      </c>
      <c r="O38" s="55">
        <v>0</v>
      </c>
      <c r="P38" s="55">
        <v>0</v>
      </c>
      <c r="Q38" s="55">
        <v>2.0237708447197969E-5</v>
      </c>
      <c r="R38" s="55">
        <v>9.3290396335607526E-4</v>
      </c>
      <c r="S38" s="55">
        <v>1.4276100494151978E-4</v>
      </c>
      <c r="T38" s="55">
        <v>1.0364310223402719E-4</v>
      </c>
      <c r="U38" s="55">
        <v>3.1349106910546256E-4</v>
      </c>
      <c r="V38" s="55">
        <v>3.5040264298897894E-4</v>
      </c>
      <c r="W38" s="55">
        <v>2.3259381963402806E-4</v>
      </c>
      <c r="X38" s="55">
        <v>7.5566700779270725E-4</v>
      </c>
      <c r="Y38" s="55">
        <v>1.6157678456105455E-3</v>
      </c>
      <c r="Z38" s="55">
        <v>2.1061626457843179E-3</v>
      </c>
      <c r="AA38" s="55">
        <v>4.4850605510369802E-4</v>
      </c>
      <c r="AB38" s="55">
        <v>1.7293007190972815E-3</v>
      </c>
      <c r="AC38" s="55">
        <v>1.8827514597452263E-3</v>
      </c>
      <c r="AD38" s="55">
        <v>1.7871703944714247E-3</v>
      </c>
      <c r="AE38" s="55">
        <v>1.7700318509104378E-3</v>
      </c>
      <c r="AF38" s="55">
        <v>1.2043108947871379E-3</v>
      </c>
      <c r="AG38" s="55">
        <v>0</v>
      </c>
      <c r="AH38" s="55">
        <v>7.3700455673342171E-4</v>
      </c>
      <c r="AI38" s="55">
        <v>5.6139204073241779E-2</v>
      </c>
      <c r="AJ38" s="55">
        <v>1.4275094921665376E-2</v>
      </c>
      <c r="AK38" s="55">
        <v>0.16069714376187763</v>
      </c>
      <c r="AL38" s="55">
        <v>0</v>
      </c>
      <c r="AM38" s="55">
        <v>4.726371012948206E-4</v>
      </c>
      <c r="AN38" s="55">
        <v>2.8080215591197812E-4</v>
      </c>
      <c r="AO38" s="55">
        <v>1.7501738799471906E-4</v>
      </c>
      <c r="AP38" s="55">
        <v>1.1581302706947854E-3</v>
      </c>
      <c r="AQ38" s="55">
        <v>1.7092453448290515E-4</v>
      </c>
      <c r="AR38" s="55">
        <v>1.7814503201132878E-3</v>
      </c>
      <c r="AS38" s="55">
        <v>2.0410938921229366E-3</v>
      </c>
      <c r="AT38" s="55">
        <v>0</v>
      </c>
      <c r="AU38" s="55">
        <v>2.8484867791405674E-4</v>
      </c>
      <c r="AV38" s="55">
        <v>2.372028688280725E-4</v>
      </c>
      <c r="AW38" s="55">
        <v>3.9670206194764945E-4</v>
      </c>
      <c r="AX38" s="55">
        <v>2.5385035820867574E-4</v>
      </c>
      <c r="AY38" s="55">
        <v>1.3898812707097258E-3</v>
      </c>
      <c r="AZ38" s="55">
        <v>8.517753708066001E-6</v>
      </c>
      <c r="BA38" s="55">
        <v>7.2092816445973611E-4</v>
      </c>
      <c r="BB38" s="55">
        <v>3.329641401555362E-4</v>
      </c>
      <c r="BC38" s="55">
        <v>1.1405045351662326E-3</v>
      </c>
      <c r="BD38" s="55">
        <v>3.5149661247946168E-5</v>
      </c>
      <c r="BE38" s="55">
        <v>3.2631402789450427E-4</v>
      </c>
      <c r="BF38" s="55">
        <v>2.6112678398297032E-4</v>
      </c>
      <c r="BG38" s="55">
        <v>7.0541639014871915E-5</v>
      </c>
      <c r="BH38" s="55">
        <v>3.5542589611546507E-4</v>
      </c>
      <c r="BI38" s="55">
        <v>2.1149291869530483E-3</v>
      </c>
      <c r="BJ38" s="55">
        <v>0</v>
      </c>
      <c r="BK38" s="55">
        <v>4.8803558675250254E-4</v>
      </c>
      <c r="BL38" s="55">
        <v>1.1878180118797961E-4</v>
      </c>
      <c r="BM38" s="91">
        <v>0</v>
      </c>
    </row>
    <row r="39" spans="1:65" x14ac:dyDescent="0.25">
      <c r="A39" s="53" t="s">
        <v>97</v>
      </c>
      <c r="B39" s="56" t="s">
        <v>6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55">
        <v>0</v>
      </c>
      <c r="AN39" s="55">
        <v>0</v>
      </c>
      <c r="AO39" s="55">
        <v>0</v>
      </c>
      <c r="AP39" s="55">
        <v>0</v>
      </c>
      <c r="AQ39" s="55">
        <v>0</v>
      </c>
      <c r="AR39" s="55">
        <v>0</v>
      </c>
      <c r="AS39" s="55">
        <v>0</v>
      </c>
      <c r="AT39" s="55">
        <v>0</v>
      </c>
      <c r="AU39" s="55">
        <v>0</v>
      </c>
      <c r="AV39" s="55">
        <v>0</v>
      </c>
      <c r="AW39" s="55">
        <v>0</v>
      </c>
      <c r="AX39" s="55">
        <v>0</v>
      </c>
      <c r="AY39" s="55">
        <v>0</v>
      </c>
      <c r="AZ39" s="55">
        <v>0</v>
      </c>
      <c r="BA39" s="55">
        <v>0</v>
      </c>
      <c r="BB39" s="55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91">
        <v>0</v>
      </c>
    </row>
    <row r="40" spans="1:65" x14ac:dyDescent="0.25">
      <c r="A40" s="53" t="s">
        <v>98</v>
      </c>
      <c r="B40" s="56" t="s">
        <v>7</v>
      </c>
      <c r="C40" s="55">
        <v>3.6380929498304543E-2</v>
      </c>
      <c r="D40" s="55">
        <v>1.3942283970296942E-2</v>
      </c>
      <c r="E40" s="55">
        <v>3.2292262001613962E-4</v>
      </c>
      <c r="F40" s="55">
        <v>5.961254984811513E-4</v>
      </c>
      <c r="G40" s="55">
        <v>3.8315319882712348E-3</v>
      </c>
      <c r="H40" s="55">
        <v>1.2244184500247559E-2</v>
      </c>
      <c r="I40" s="55">
        <v>2.7439782593845732E-2</v>
      </c>
      <c r="J40" s="55">
        <v>1.77314266244381E-2</v>
      </c>
      <c r="K40" s="55">
        <v>7.3914115658904262E-3</v>
      </c>
      <c r="L40" s="55">
        <v>1.1723197117638515E-2</v>
      </c>
      <c r="M40" s="55">
        <v>7.520793719113926E-3</v>
      </c>
      <c r="N40" s="55">
        <v>6.0984266058803369E-3</v>
      </c>
      <c r="O40" s="55">
        <v>1.4853778218411967E-2</v>
      </c>
      <c r="P40" s="55">
        <v>2.6632988058442413E-3</v>
      </c>
      <c r="Q40" s="55">
        <v>2.4445919648638085E-3</v>
      </c>
      <c r="R40" s="55">
        <v>4.1553519320252441E-3</v>
      </c>
      <c r="S40" s="55">
        <v>3.2367269738681195E-3</v>
      </c>
      <c r="T40" s="55">
        <v>1.7507566926020963E-3</v>
      </c>
      <c r="U40" s="55">
        <v>6.4005877279878368E-3</v>
      </c>
      <c r="V40" s="55">
        <v>2.0905490989975069E-2</v>
      </c>
      <c r="W40" s="55">
        <v>6.080563696324582E-3</v>
      </c>
      <c r="X40" s="55">
        <v>0.10487518796732864</v>
      </c>
      <c r="Y40" s="55">
        <v>1.9400143014519641E-2</v>
      </c>
      <c r="Z40" s="55">
        <v>2.0713058839919338E-2</v>
      </c>
      <c r="AA40" s="55">
        <v>6.7141057089621856E-3</v>
      </c>
      <c r="AB40" s="55">
        <v>1.7681601010627518E-2</v>
      </c>
      <c r="AC40" s="55">
        <v>5.5245549061148881E-3</v>
      </c>
      <c r="AD40" s="55">
        <v>5.2440915234645185E-3</v>
      </c>
      <c r="AE40" s="55">
        <v>5.270098452210035E-3</v>
      </c>
      <c r="AF40" s="55">
        <v>3.5849703907777043E-3</v>
      </c>
      <c r="AG40" s="55">
        <v>1.731209805163168E-2</v>
      </c>
      <c r="AH40" s="55">
        <v>5.5678136885544752E-2</v>
      </c>
      <c r="AI40" s="55">
        <v>2.6372040177246765E-2</v>
      </c>
      <c r="AJ40" s="55">
        <v>2.2472716132050562E-2</v>
      </c>
      <c r="AK40" s="55">
        <v>6.4696304019729131E-2</v>
      </c>
      <c r="AL40" s="55">
        <v>1.3271280644173095E-2</v>
      </c>
      <c r="AM40" s="55">
        <v>6.6228295859761102E-2</v>
      </c>
      <c r="AN40" s="55">
        <v>9.6328869575120993E-3</v>
      </c>
      <c r="AO40" s="55">
        <v>6.8295675999134844E-2</v>
      </c>
      <c r="AP40" s="55">
        <v>9.6068708663594043E-2</v>
      </c>
      <c r="AQ40" s="55">
        <v>6.5737545217863331E-3</v>
      </c>
      <c r="AR40" s="55">
        <v>4.0586359634329827E-2</v>
      </c>
      <c r="AS40" s="55">
        <v>4.6303095697936218E-2</v>
      </c>
      <c r="AT40" s="55">
        <v>2.4070520092066394E-2</v>
      </c>
      <c r="AU40" s="55">
        <v>1.1615446599593678E-2</v>
      </c>
      <c r="AV40" s="55">
        <v>1.075221313165795E-2</v>
      </c>
      <c r="AW40" s="55">
        <v>2.1256245613792538E-3</v>
      </c>
      <c r="AX40" s="55">
        <v>1.0938054416234529E-2</v>
      </c>
      <c r="AY40" s="55">
        <v>4.1495727739463292E-2</v>
      </c>
      <c r="AZ40" s="55">
        <v>3.5492446918238187E-3</v>
      </c>
      <c r="BA40" s="55">
        <v>5.9010281093683919E-2</v>
      </c>
      <c r="BB40" s="55">
        <v>3.4376257863086145E-2</v>
      </c>
      <c r="BC40" s="55">
        <v>1.9318478824937303E-2</v>
      </c>
      <c r="BD40" s="55">
        <v>4.7670394813437789E-3</v>
      </c>
      <c r="BE40" s="55">
        <v>2.5979547715943494E-2</v>
      </c>
      <c r="BF40" s="55">
        <v>3.739579996119425E-2</v>
      </c>
      <c r="BG40" s="55">
        <v>1.256531078857411E-2</v>
      </c>
      <c r="BH40" s="55">
        <v>4.0101934014420776E-2</v>
      </c>
      <c r="BI40" s="55">
        <v>1.9213280361461429E-2</v>
      </c>
      <c r="BJ40" s="55">
        <v>0</v>
      </c>
      <c r="BK40" s="55">
        <v>2.1712813765383319E-3</v>
      </c>
      <c r="BL40" s="55">
        <v>4.6494489520646566E-4</v>
      </c>
      <c r="BM40" s="91">
        <v>0</v>
      </c>
    </row>
    <row r="41" spans="1:65" x14ac:dyDescent="0.25">
      <c r="A41" s="53" t="s">
        <v>99</v>
      </c>
      <c r="B41" s="56" t="s">
        <v>150</v>
      </c>
      <c r="C41" s="55">
        <v>1.1206861632591058E-2</v>
      </c>
      <c r="D41" s="55">
        <v>4.0735572831173388E-3</v>
      </c>
      <c r="E41" s="55">
        <v>2.759036275681615E-3</v>
      </c>
      <c r="F41" s="55">
        <v>5.5861990667230264E-3</v>
      </c>
      <c r="G41" s="55">
        <v>1.28632740081505E-2</v>
      </c>
      <c r="H41" s="55">
        <v>3.686499312232043E-2</v>
      </c>
      <c r="I41" s="55">
        <v>2.8037513494075197E-2</v>
      </c>
      <c r="J41" s="55">
        <v>3.6621023120686366E-2</v>
      </c>
      <c r="K41" s="55">
        <v>4.8688208928214981E-2</v>
      </c>
      <c r="L41" s="55">
        <v>5.0047126516050075E-2</v>
      </c>
      <c r="M41" s="55">
        <v>1.7854208036045968E-2</v>
      </c>
      <c r="N41" s="55">
        <v>2.1745417791010097E-2</v>
      </c>
      <c r="O41" s="55">
        <v>1.4901312509034608E-2</v>
      </c>
      <c r="P41" s="55">
        <v>3.38909053730876E-3</v>
      </c>
      <c r="Q41" s="55">
        <v>1.0791437508529983E-2</v>
      </c>
      <c r="R41" s="55">
        <v>3.2929560483778366E-3</v>
      </c>
      <c r="S41" s="55">
        <v>2.8698689313787569E-3</v>
      </c>
      <c r="T41" s="55">
        <v>9.0734480250074818E-3</v>
      </c>
      <c r="U41" s="55">
        <v>9.5699915123734526E-3</v>
      </c>
      <c r="V41" s="55">
        <v>2.40260738898414E-2</v>
      </c>
      <c r="W41" s="55">
        <v>7.7939546393255722E-3</v>
      </c>
      <c r="X41" s="55">
        <v>4.4541152423518492E-2</v>
      </c>
      <c r="Y41" s="55">
        <v>2.3534991172723764E-2</v>
      </c>
      <c r="Z41" s="55">
        <v>1.0079760500908872E-2</v>
      </c>
      <c r="AA41" s="55">
        <v>9.734727655006277E-3</v>
      </c>
      <c r="AB41" s="55">
        <v>5.0065848911820525E-2</v>
      </c>
      <c r="AC41" s="55">
        <v>1.4114674432930385E-2</v>
      </c>
      <c r="AD41" s="55">
        <v>1.3398119089786505E-2</v>
      </c>
      <c r="AE41" s="55">
        <v>3.834952778349891E-3</v>
      </c>
      <c r="AF41" s="55">
        <v>2.4333080161051124E-3</v>
      </c>
      <c r="AG41" s="55">
        <v>1.7167650776278211E-2</v>
      </c>
      <c r="AH41" s="55">
        <v>8.166451522470107E-3</v>
      </c>
      <c r="AI41" s="55">
        <v>7.0111892632778675E-3</v>
      </c>
      <c r="AJ41" s="55">
        <v>5.8555630572648034E-3</v>
      </c>
      <c r="AK41" s="55">
        <v>1.1586749794715393E-2</v>
      </c>
      <c r="AL41" s="55">
        <v>2.4696545798297194E-4</v>
      </c>
      <c r="AM41" s="55">
        <v>3.1171647325302617E-3</v>
      </c>
      <c r="AN41" s="55">
        <v>2.9581537379619982E-3</v>
      </c>
      <c r="AO41" s="55">
        <v>1.951013744679559E-3</v>
      </c>
      <c r="AP41" s="55">
        <v>1.3530429782156506E-2</v>
      </c>
      <c r="AQ41" s="55">
        <v>5.389361768970361E-3</v>
      </c>
      <c r="AR41" s="55">
        <v>1.4560526136589329E-2</v>
      </c>
      <c r="AS41" s="55">
        <v>6.7202324252304225E-3</v>
      </c>
      <c r="AT41" s="55">
        <v>3.7254317212033969E-2</v>
      </c>
      <c r="AU41" s="55">
        <v>1.7856451708087345E-2</v>
      </c>
      <c r="AV41" s="55">
        <v>9.2375113896763089E-3</v>
      </c>
      <c r="AW41" s="55">
        <v>3.440137077794495E-3</v>
      </c>
      <c r="AX41" s="55">
        <v>5.1582144412670912E-4</v>
      </c>
      <c r="AY41" s="55">
        <v>2.7921129784871323E-3</v>
      </c>
      <c r="AZ41" s="55">
        <v>1.1183957577028409E-3</v>
      </c>
      <c r="BA41" s="55">
        <v>1.3001045497075559E-2</v>
      </c>
      <c r="BB41" s="55">
        <v>5.3604105557888328E-3</v>
      </c>
      <c r="BC41" s="55">
        <v>1.5025680936840645E-3</v>
      </c>
      <c r="BD41" s="55">
        <v>1.5936022787481593E-3</v>
      </c>
      <c r="BE41" s="55">
        <v>1.3585656278363232E-2</v>
      </c>
      <c r="BF41" s="55">
        <v>6.5965790048178128E-3</v>
      </c>
      <c r="BG41" s="55">
        <v>1.9295020616413793E-3</v>
      </c>
      <c r="BH41" s="55">
        <v>1.1935179267705168E-2</v>
      </c>
      <c r="BI41" s="55">
        <v>4.3584215982226063E-3</v>
      </c>
      <c r="BJ41" s="55">
        <v>0</v>
      </c>
      <c r="BK41" s="55">
        <v>7.0948603387279091E-4</v>
      </c>
      <c r="BL41" s="55">
        <v>3.4721257825371234E-4</v>
      </c>
      <c r="BM41" s="91">
        <v>0</v>
      </c>
    </row>
    <row r="42" spans="1:65" x14ac:dyDescent="0.25">
      <c r="A42" s="53" t="s">
        <v>100</v>
      </c>
      <c r="B42" s="54" t="s">
        <v>8</v>
      </c>
      <c r="C42" s="55">
        <v>4.7527779665321434E-4</v>
      </c>
      <c r="D42" s="55">
        <v>3.0430939783479907E-4</v>
      </c>
      <c r="E42" s="55">
        <v>4.8013315948721119E-4</v>
      </c>
      <c r="F42" s="55">
        <v>3.6735978669830247E-4</v>
      </c>
      <c r="G42" s="55">
        <v>6.7175379615908495E-3</v>
      </c>
      <c r="H42" s="55">
        <v>8.7995112693012127E-3</v>
      </c>
      <c r="I42" s="55">
        <v>3.1109500145875229E-3</v>
      </c>
      <c r="J42" s="55">
        <v>6.7507704581603175E-3</v>
      </c>
      <c r="K42" s="55">
        <v>1.1974258976135287E-3</v>
      </c>
      <c r="L42" s="55">
        <v>1.509566989008373E-3</v>
      </c>
      <c r="M42" s="55">
        <v>1.2060296355297883E-3</v>
      </c>
      <c r="N42" s="55">
        <v>2.3891816907580651E-3</v>
      </c>
      <c r="O42" s="55">
        <v>1.6438022204381E-3</v>
      </c>
      <c r="P42" s="55">
        <v>1.888959610681231E-3</v>
      </c>
      <c r="Q42" s="55">
        <v>1.0662017174594461E-3</v>
      </c>
      <c r="R42" s="55">
        <v>2.6247242483433222E-3</v>
      </c>
      <c r="S42" s="55">
        <v>1.0161424950084993E-3</v>
      </c>
      <c r="T42" s="55">
        <v>4.1391692885511973E-4</v>
      </c>
      <c r="U42" s="55">
        <v>6.2370210370352947E-3</v>
      </c>
      <c r="V42" s="55">
        <v>2.3682356563240217E-2</v>
      </c>
      <c r="W42" s="55">
        <v>5.8119296835848037E-3</v>
      </c>
      <c r="X42" s="55">
        <v>8.5892348878552748E-3</v>
      </c>
      <c r="Y42" s="55">
        <v>1.1981437516454592E-2</v>
      </c>
      <c r="Z42" s="55">
        <v>4.1558574323212662E-3</v>
      </c>
      <c r="AA42" s="55">
        <v>2.3510728475305636E-3</v>
      </c>
      <c r="AB42" s="55">
        <v>4.6356709655683758E-3</v>
      </c>
      <c r="AC42" s="55">
        <v>1.5888964403633877E-3</v>
      </c>
      <c r="AD42" s="55">
        <v>1.508233422632814E-3</v>
      </c>
      <c r="AE42" s="55">
        <v>1.3251920349249201E-2</v>
      </c>
      <c r="AF42" s="55">
        <v>9.0138264954542566E-3</v>
      </c>
      <c r="AG42" s="55">
        <v>3.4287059941451405E-3</v>
      </c>
      <c r="AH42" s="55">
        <v>3.2988397977989164E-3</v>
      </c>
      <c r="AI42" s="55">
        <v>6.8588728706292269E-3</v>
      </c>
      <c r="AJ42" s="55">
        <v>2.8301136686494561E-3</v>
      </c>
      <c r="AK42" s="55">
        <v>1.9333138530533481E-2</v>
      </c>
      <c r="AL42" s="55">
        <v>4.7307995954558408E-3</v>
      </c>
      <c r="AM42" s="55">
        <v>5.3053310989242437E-3</v>
      </c>
      <c r="AN42" s="55">
        <v>1.5230763269091687E-3</v>
      </c>
      <c r="AO42" s="55">
        <v>3.5979957999575124E-2</v>
      </c>
      <c r="AP42" s="55">
        <v>9.0003607492509657E-3</v>
      </c>
      <c r="AQ42" s="55">
        <v>9.7244449517278888E-4</v>
      </c>
      <c r="AR42" s="55">
        <v>8.6282341352362062E-3</v>
      </c>
      <c r="AS42" s="55">
        <v>9.1711491409556117E-3</v>
      </c>
      <c r="AT42" s="55">
        <v>2.248124565177425E-2</v>
      </c>
      <c r="AU42" s="55">
        <v>1.4154516699623587E-2</v>
      </c>
      <c r="AV42" s="55">
        <v>2.7039637767357224E-3</v>
      </c>
      <c r="AW42" s="55">
        <v>3.0336428603296921E-3</v>
      </c>
      <c r="AX42" s="55">
        <v>2.4742441554466768E-4</v>
      </c>
      <c r="AY42" s="55">
        <v>5.3811924856717328E-3</v>
      </c>
      <c r="AZ42" s="55">
        <v>1.1744812543306505E-3</v>
      </c>
      <c r="BA42" s="55">
        <v>1.0821692572732588E-2</v>
      </c>
      <c r="BB42" s="55">
        <v>6.5919396365790627E-3</v>
      </c>
      <c r="BC42" s="55">
        <v>2.8954502615411199E-3</v>
      </c>
      <c r="BD42" s="55">
        <v>6.472867256054445E-4</v>
      </c>
      <c r="BE42" s="55">
        <v>3.0056245571868849E-3</v>
      </c>
      <c r="BF42" s="55">
        <v>1.0750901677467281E-3</v>
      </c>
      <c r="BG42" s="55">
        <v>6.5901979429236631E-4</v>
      </c>
      <c r="BH42" s="55">
        <v>2.2747993494488233E-3</v>
      </c>
      <c r="BI42" s="55">
        <v>2.2731561114749249E-3</v>
      </c>
      <c r="BJ42" s="55">
        <v>0</v>
      </c>
      <c r="BK42" s="55">
        <v>9.9273521530563727E-5</v>
      </c>
      <c r="BL42" s="55">
        <v>8.9034250792744375E-5</v>
      </c>
      <c r="BM42" s="91">
        <v>0</v>
      </c>
    </row>
    <row r="43" spans="1:65" x14ac:dyDescent="0.25">
      <c r="A43" s="53" t="s">
        <v>101</v>
      </c>
      <c r="B43" s="54" t="s">
        <v>9</v>
      </c>
      <c r="C43" s="55">
        <v>0</v>
      </c>
      <c r="D43" s="55">
        <v>3.4671120958708749E-7</v>
      </c>
      <c r="E43" s="55">
        <v>3.9323026723896555E-4</v>
      </c>
      <c r="F43" s="55">
        <v>5.0144765135053033E-6</v>
      </c>
      <c r="G43" s="55">
        <v>1.3374256937476131E-3</v>
      </c>
      <c r="H43" s="55">
        <v>3.4830271836399597E-3</v>
      </c>
      <c r="I43" s="55">
        <v>1.3415514939326967E-2</v>
      </c>
      <c r="J43" s="55">
        <v>6.3349138395693005E-2</v>
      </c>
      <c r="K43" s="55">
        <v>9.3323150322926526E-2</v>
      </c>
      <c r="L43" s="55">
        <v>3.3508741799239981E-2</v>
      </c>
      <c r="M43" s="55">
        <v>9.0521525414539994E-4</v>
      </c>
      <c r="N43" s="55">
        <v>1.1072739532406802E-3</v>
      </c>
      <c r="O43" s="55">
        <v>5.1729925735009906E-4</v>
      </c>
      <c r="P43" s="55">
        <v>3.0527732508320348E-4</v>
      </c>
      <c r="Q43" s="55">
        <v>3.3591790052085198E-4</v>
      </c>
      <c r="R43" s="55">
        <v>2.8504260963787317E-4</v>
      </c>
      <c r="S43" s="55">
        <v>2.4506641179219908E-4</v>
      </c>
      <c r="T43" s="55">
        <v>5.9153111016460382E-5</v>
      </c>
      <c r="U43" s="55">
        <v>5.1809576228021475E-4</v>
      </c>
      <c r="V43" s="55">
        <v>5.1510064091195447E-4</v>
      </c>
      <c r="W43" s="55">
        <v>1.9151498009619707E-4</v>
      </c>
      <c r="X43" s="55">
        <v>7.2602803271689612E-4</v>
      </c>
      <c r="Y43" s="55">
        <v>1.5445206456697936E-3</v>
      </c>
      <c r="Z43" s="55">
        <v>1.0883530741053395E-3</v>
      </c>
      <c r="AA43" s="55">
        <v>4.1842519585685747E-4</v>
      </c>
      <c r="AB43" s="55">
        <v>5.0889014522718084E-3</v>
      </c>
      <c r="AC43" s="55">
        <v>3.4693095759028838E-4</v>
      </c>
      <c r="AD43" s="55">
        <v>3.2931842018854931E-4</v>
      </c>
      <c r="AE43" s="55">
        <v>2.0453190917342451E-3</v>
      </c>
      <c r="AF43" s="55">
        <v>1.3911754058723771E-3</v>
      </c>
      <c r="AG43" s="55">
        <v>6.3195997057675392E-4</v>
      </c>
      <c r="AH43" s="55">
        <v>8.6427360527031101E-4</v>
      </c>
      <c r="AI43" s="55">
        <v>1.0229165285632889E-3</v>
      </c>
      <c r="AJ43" s="55">
        <v>2.8848351131600047E-4</v>
      </c>
      <c r="AK43" s="55">
        <v>6.1013781933338409E-4</v>
      </c>
      <c r="AL43" s="55">
        <v>2.7204624589546485E-3</v>
      </c>
      <c r="AM43" s="55">
        <v>5.7180902669087246E-3</v>
      </c>
      <c r="AN43" s="55">
        <v>5.8169962249014556E-4</v>
      </c>
      <c r="AO43" s="55">
        <v>8.7652194022619346E-4</v>
      </c>
      <c r="AP43" s="55">
        <v>3.0979801473941315E-2</v>
      </c>
      <c r="AQ43" s="55">
        <v>9.6788440335223127E-5</v>
      </c>
      <c r="AR43" s="55">
        <v>3.1763074663569799E-2</v>
      </c>
      <c r="AS43" s="55">
        <v>1.4917033233316098E-3</v>
      </c>
      <c r="AT43" s="55">
        <v>1.4125636527879328E-3</v>
      </c>
      <c r="AU43" s="55">
        <v>8.5195314081223505E-4</v>
      </c>
      <c r="AV43" s="55">
        <v>7.3541026020974257E-4</v>
      </c>
      <c r="AW43" s="55">
        <v>7.5132340923289749E-4</v>
      </c>
      <c r="AX43" s="55">
        <v>1.698419540909877E-4</v>
      </c>
      <c r="AY43" s="55">
        <v>4.7507277599455165E-4</v>
      </c>
      <c r="AZ43" s="55">
        <v>4.7147128589679657E-5</v>
      </c>
      <c r="BA43" s="55">
        <v>1.3788343586403152E-3</v>
      </c>
      <c r="BB43" s="55">
        <v>3.6540659653037282E-4</v>
      </c>
      <c r="BC43" s="55">
        <v>1.6860183936862489E-4</v>
      </c>
      <c r="BD43" s="55">
        <v>1.1921203486851191E-4</v>
      </c>
      <c r="BE43" s="55">
        <v>1.9600367189041858E-3</v>
      </c>
      <c r="BF43" s="55">
        <v>1.6285632029706093E-3</v>
      </c>
      <c r="BG43" s="55">
        <v>2.4634284363428405E-5</v>
      </c>
      <c r="BH43" s="55">
        <v>7.6693440395200741E-4</v>
      </c>
      <c r="BI43" s="55">
        <v>2.004826582190234E-4</v>
      </c>
      <c r="BJ43" s="55">
        <v>0</v>
      </c>
      <c r="BK43" s="55">
        <v>5.2427929607923433E-5</v>
      </c>
      <c r="BL43" s="55">
        <v>5.7910962618547724E-4</v>
      </c>
      <c r="BM43" s="91">
        <v>0</v>
      </c>
    </row>
    <row r="44" spans="1:65" x14ac:dyDescent="0.25">
      <c r="A44" s="53" t="s">
        <v>102</v>
      </c>
      <c r="B44" s="56" t="s">
        <v>10</v>
      </c>
      <c r="C44" s="55">
        <v>0</v>
      </c>
      <c r="D44" s="55">
        <v>0</v>
      </c>
      <c r="E44" s="55">
        <v>0</v>
      </c>
      <c r="F44" s="55">
        <v>2.4140476321083229E-6</v>
      </c>
      <c r="G44" s="55">
        <v>4.8499173245670235E-5</v>
      </c>
      <c r="H44" s="55">
        <v>7.1335270101226679E-4</v>
      </c>
      <c r="I44" s="55">
        <v>3.303611462769543E-4</v>
      </c>
      <c r="J44" s="55">
        <v>3.3785417588742133E-4</v>
      </c>
      <c r="K44" s="55">
        <v>2.9455015765424402E-4</v>
      </c>
      <c r="L44" s="55">
        <v>4.345477268823981E-4</v>
      </c>
      <c r="M44" s="55">
        <v>1.0282809018616482E-3</v>
      </c>
      <c r="N44" s="55">
        <v>1.0137418253920225E-4</v>
      </c>
      <c r="O44" s="55">
        <v>1.8600835164420706E-4</v>
      </c>
      <c r="P44" s="55">
        <v>3.3831141476602648E-4</v>
      </c>
      <c r="Q44" s="55">
        <v>2.637004572101949E-4</v>
      </c>
      <c r="R44" s="55">
        <v>7.2269831316394988E-4</v>
      </c>
      <c r="S44" s="55">
        <v>1.000927653406519E-5</v>
      </c>
      <c r="T44" s="55">
        <v>5.1174885930872695E-4</v>
      </c>
      <c r="U44" s="55">
        <v>1.642257575561191E-3</v>
      </c>
      <c r="V44" s="55">
        <v>2.9144178355797433E-3</v>
      </c>
      <c r="W44" s="55">
        <v>5.2782084310707463E-4</v>
      </c>
      <c r="X44" s="55">
        <v>6.1211428694908285E-4</v>
      </c>
      <c r="Y44" s="55">
        <v>5.1337056717562102E-3</v>
      </c>
      <c r="Z44" s="55">
        <v>3.2546483352904404E-4</v>
      </c>
      <c r="AA44" s="55">
        <v>2.1905762319856902E-4</v>
      </c>
      <c r="AB44" s="55">
        <v>8.4461848621740802E-4</v>
      </c>
      <c r="AC44" s="55">
        <v>1.7225219603448237E-4</v>
      </c>
      <c r="AD44" s="55">
        <v>1.6350752168699524E-4</v>
      </c>
      <c r="AE44" s="55">
        <v>7.2049910822724161E-4</v>
      </c>
      <c r="AF44" s="55">
        <v>2.8421623434000118E-4</v>
      </c>
      <c r="AG44" s="55">
        <v>9.0480237842510637E-4</v>
      </c>
      <c r="AH44" s="55">
        <v>9.8860761949334471E-4</v>
      </c>
      <c r="AI44" s="55">
        <v>2.8764432901750478E-3</v>
      </c>
      <c r="AJ44" s="55">
        <v>1.6589193184583754E-3</v>
      </c>
      <c r="AK44" s="55">
        <v>5.8621308599977493E-3</v>
      </c>
      <c r="AL44" s="55">
        <v>0</v>
      </c>
      <c r="AM44" s="55">
        <v>3.5518489569642532E-4</v>
      </c>
      <c r="AN44" s="55">
        <v>1.4739510608472665E-4</v>
      </c>
      <c r="AO44" s="55">
        <v>8.6609550078080094E-4</v>
      </c>
      <c r="AP44" s="55">
        <v>2.9026244955681385E-3</v>
      </c>
      <c r="AQ44" s="55">
        <v>5.7084883297820823E-5</v>
      </c>
      <c r="AR44" s="55">
        <v>2.1961416921644607E-3</v>
      </c>
      <c r="AS44" s="55">
        <v>1.7089558213514886E-3</v>
      </c>
      <c r="AT44" s="55">
        <v>3.6288649493440321E-3</v>
      </c>
      <c r="AU44" s="55">
        <v>3.1534892161917807E-4</v>
      </c>
      <c r="AV44" s="55">
        <v>1.9435346235120956E-4</v>
      </c>
      <c r="AW44" s="55">
        <v>2.8673429712610684E-4</v>
      </c>
      <c r="AX44" s="55">
        <v>2.0259575848026589E-4</v>
      </c>
      <c r="AY44" s="55">
        <v>6.2197479401592914E-4</v>
      </c>
      <c r="AZ44" s="55">
        <v>2.472898801643002E-4</v>
      </c>
      <c r="BA44" s="55">
        <v>8.608018265007357E-4</v>
      </c>
      <c r="BB44" s="55">
        <v>1.1401579549974283E-3</v>
      </c>
      <c r="BC44" s="55">
        <v>6.138664002970065E-4</v>
      </c>
      <c r="BD44" s="55">
        <v>2.0298234631653609E-4</v>
      </c>
      <c r="BE44" s="55">
        <v>1.7632549895983181E-3</v>
      </c>
      <c r="BF44" s="55">
        <v>1.7013181570029354E-3</v>
      </c>
      <c r="BG44" s="55">
        <v>3.3999589719414623E-4</v>
      </c>
      <c r="BH44" s="55">
        <v>1.1243394038174331E-3</v>
      </c>
      <c r="BI44" s="55">
        <v>7.8757902190380944E-4</v>
      </c>
      <c r="BJ44" s="55">
        <v>0</v>
      </c>
      <c r="BK44" s="55">
        <v>4.504247126942324E-4</v>
      </c>
      <c r="BL44" s="55">
        <v>3.5985628816053279E-5</v>
      </c>
      <c r="BM44" s="91">
        <v>0</v>
      </c>
    </row>
    <row r="45" spans="1:65" x14ac:dyDescent="0.25">
      <c r="A45" s="53" t="s">
        <v>103</v>
      </c>
      <c r="B45" s="56" t="s">
        <v>151</v>
      </c>
      <c r="C45" s="55">
        <v>0</v>
      </c>
      <c r="D45" s="55">
        <v>0</v>
      </c>
      <c r="E45" s="55">
        <v>0</v>
      </c>
      <c r="F45" s="55">
        <v>0</v>
      </c>
      <c r="G45" s="55">
        <v>7.0876335542876558E-4</v>
      </c>
      <c r="H45" s="55">
        <v>1.5113407663595246E-3</v>
      </c>
      <c r="I45" s="55">
        <v>1.9239838391619716E-4</v>
      </c>
      <c r="J45" s="55">
        <v>3.3886428183644554E-4</v>
      </c>
      <c r="K45" s="55">
        <v>5.1363438520027883E-5</v>
      </c>
      <c r="L45" s="55">
        <v>5.0440926635115724E-5</v>
      </c>
      <c r="M45" s="55">
        <v>8.8344936784470187E-4</v>
      </c>
      <c r="N45" s="55">
        <v>4.8775673044154058E-4</v>
      </c>
      <c r="O45" s="55">
        <v>3.0029436689124714E-4</v>
      </c>
      <c r="P45" s="55">
        <v>7.5209670094427E-5</v>
      </c>
      <c r="Q45" s="55">
        <v>8.8024526360460363E-4</v>
      </c>
      <c r="R45" s="55">
        <v>9.572965248591382E-4</v>
      </c>
      <c r="S45" s="55">
        <v>6.6211917326742468E-4</v>
      </c>
      <c r="T45" s="55">
        <v>2.3684740426192707E-4</v>
      </c>
      <c r="U45" s="55">
        <v>9.9082290440029915E-4</v>
      </c>
      <c r="V45" s="55">
        <v>2.6656649801254828E-3</v>
      </c>
      <c r="W45" s="55">
        <v>7.7545369749934848E-4</v>
      </c>
      <c r="X45" s="55">
        <v>6.0075073456559479E-3</v>
      </c>
      <c r="Y45" s="55">
        <v>5.1072726589689249E-3</v>
      </c>
      <c r="Z45" s="55">
        <v>8.4269326849543513E-4</v>
      </c>
      <c r="AA45" s="55">
        <v>1.1313677157564681E-3</v>
      </c>
      <c r="AB45" s="55">
        <v>3.1503852395769172E-3</v>
      </c>
      <c r="AC45" s="55">
        <v>8.8297270609989289E-3</v>
      </c>
      <c r="AD45" s="55">
        <v>8.3814710183870173E-3</v>
      </c>
      <c r="AE45" s="55">
        <v>1.2296206444566063E-2</v>
      </c>
      <c r="AF45" s="55">
        <v>4.6198387562004775E-3</v>
      </c>
      <c r="AG45" s="55">
        <v>2.2297860068613032E-4</v>
      </c>
      <c r="AH45" s="55">
        <v>0</v>
      </c>
      <c r="AI45" s="55">
        <v>1.4380183370154866E-2</v>
      </c>
      <c r="AJ45" s="55">
        <v>4.3372249361412546E-3</v>
      </c>
      <c r="AK45" s="55">
        <v>1.8634314279912072E-2</v>
      </c>
      <c r="AL45" s="55">
        <v>0</v>
      </c>
      <c r="AM45" s="55">
        <v>3.5265721458171972E-4</v>
      </c>
      <c r="AN45" s="55">
        <v>2.1204624149228847E-3</v>
      </c>
      <c r="AO45" s="55">
        <v>2.1704284247346481E-2</v>
      </c>
      <c r="AP45" s="55">
        <v>4.0927078265360607E-2</v>
      </c>
      <c r="AQ45" s="55">
        <v>3.0078761981975825E-3</v>
      </c>
      <c r="AR45" s="55">
        <v>2.6826339189643428E-3</v>
      </c>
      <c r="AS45" s="55">
        <v>6.2649446457868473E-3</v>
      </c>
      <c r="AT45" s="55">
        <v>4.9292397950833081E-2</v>
      </c>
      <c r="AU45" s="55">
        <v>7.7373647391513762E-4</v>
      </c>
      <c r="AV45" s="55">
        <v>2.137937870531919E-3</v>
      </c>
      <c r="AW45" s="55">
        <v>1.0986980480569083E-2</v>
      </c>
      <c r="AX45" s="55">
        <v>1.8571947325704118E-4</v>
      </c>
      <c r="AY45" s="55">
        <v>1.4127946097126744E-3</v>
      </c>
      <c r="AZ45" s="55">
        <v>1.3206660732083264E-3</v>
      </c>
      <c r="BA45" s="55">
        <v>2.2022215616524607E-2</v>
      </c>
      <c r="BB45" s="55">
        <v>6.3331890018128575E-4</v>
      </c>
      <c r="BC45" s="55">
        <v>4.1194360531839362E-3</v>
      </c>
      <c r="BD45" s="55">
        <v>2.912698676656035E-3</v>
      </c>
      <c r="BE45" s="55">
        <v>1.4983733090138441E-2</v>
      </c>
      <c r="BF45" s="55">
        <v>1.6148600406649827E-2</v>
      </c>
      <c r="BG45" s="55">
        <v>2.4671501749018806E-4</v>
      </c>
      <c r="BH45" s="55">
        <v>9.7545581562701782E-4</v>
      </c>
      <c r="BI45" s="55">
        <v>1.0023708680468302E-2</v>
      </c>
      <c r="BJ45" s="55">
        <v>0</v>
      </c>
      <c r="BK45" s="55">
        <v>2.4202377233737628E-3</v>
      </c>
      <c r="BL45" s="55">
        <v>1.0662774418064801E-4</v>
      </c>
      <c r="BM45" s="91">
        <v>0</v>
      </c>
    </row>
    <row r="46" spans="1:65" x14ac:dyDescent="0.25">
      <c r="A46" s="53" t="s">
        <v>104</v>
      </c>
      <c r="B46" s="54" t="s">
        <v>11</v>
      </c>
      <c r="C46" s="55">
        <v>2.5888490496475186E-3</v>
      </c>
      <c r="D46" s="55">
        <v>9.174821744716091E-4</v>
      </c>
      <c r="E46" s="55">
        <v>2.2366384384256508E-3</v>
      </c>
      <c r="F46" s="55">
        <v>4.3743427015464789E-4</v>
      </c>
      <c r="G46" s="55">
        <v>1.2105976823722601E-3</v>
      </c>
      <c r="H46" s="55">
        <v>1.0620367826420249E-2</v>
      </c>
      <c r="I46" s="55">
        <v>7.90673268949286E-3</v>
      </c>
      <c r="J46" s="55">
        <v>9.7434475189050931E-3</v>
      </c>
      <c r="K46" s="55">
        <v>6.4785027740693005E-3</v>
      </c>
      <c r="L46" s="55">
        <v>7.0174278964229113E-3</v>
      </c>
      <c r="M46" s="55">
        <v>5.9133691063577021E-3</v>
      </c>
      <c r="N46" s="55">
        <v>1.6790137473566058E-2</v>
      </c>
      <c r="O46" s="55">
        <v>6.2272603591172785E-3</v>
      </c>
      <c r="P46" s="55">
        <v>2.1536889200527991E-3</v>
      </c>
      <c r="Q46" s="55">
        <v>3.0704137853828947E-3</v>
      </c>
      <c r="R46" s="55">
        <v>4.4145209192539446E-3</v>
      </c>
      <c r="S46" s="55">
        <v>2.9356539956459158E-3</v>
      </c>
      <c r="T46" s="55">
        <v>9.6880444839497174E-4</v>
      </c>
      <c r="U46" s="55">
        <v>4.6987279854995437E-3</v>
      </c>
      <c r="V46" s="55">
        <v>1.2970043402782227E-2</v>
      </c>
      <c r="W46" s="55">
        <v>3.5376416875859172E-3</v>
      </c>
      <c r="X46" s="55">
        <v>1.4198189814533481E-2</v>
      </c>
      <c r="Y46" s="55">
        <v>2.7132518406681915E-2</v>
      </c>
      <c r="Z46" s="55">
        <v>1.7231601190769476E-2</v>
      </c>
      <c r="AA46" s="55">
        <v>7.3504548872394028E-3</v>
      </c>
      <c r="AB46" s="55">
        <v>2.3345640259193258E-2</v>
      </c>
      <c r="AC46" s="55">
        <v>2.252801416863401E-3</v>
      </c>
      <c r="AD46" s="55">
        <v>1.7332467621808138E-3</v>
      </c>
      <c r="AE46" s="55">
        <v>6.3460832679637022E-3</v>
      </c>
      <c r="AF46" s="55">
        <v>4.3168217498708531E-3</v>
      </c>
      <c r="AG46" s="55">
        <v>1.1459786691402896E-2</v>
      </c>
      <c r="AH46" s="55">
        <v>6.8698791712754198E-3</v>
      </c>
      <c r="AI46" s="55">
        <v>2.5566110363395084E-2</v>
      </c>
      <c r="AJ46" s="55">
        <v>8.4746738888560446E-3</v>
      </c>
      <c r="AK46" s="55">
        <v>1.916325806779897E-2</v>
      </c>
      <c r="AL46" s="55">
        <v>5.6099724078832204E-4</v>
      </c>
      <c r="AM46" s="55">
        <v>4.474717884747563E-3</v>
      </c>
      <c r="AN46" s="55">
        <v>3.9427129507543478E-3</v>
      </c>
      <c r="AO46" s="55">
        <v>1.9536710679251879E-2</v>
      </c>
      <c r="AP46" s="55">
        <v>4.2335425442473595E-2</v>
      </c>
      <c r="AQ46" s="55">
        <v>1.6562462400811612E-3</v>
      </c>
      <c r="AR46" s="55">
        <v>1.230738249851296E-2</v>
      </c>
      <c r="AS46" s="55">
        <v>4.4729036529825253E-2</v>
      </c>
      <c r="AT46" s="55">
        <v>3.1148614033740075E-2</v>
      </c>
      <c r="AU46" s="55">
        <v>7.1864598743224626E-3</v>
      </c>
      <c r="AV46" s="55">
        <v>1.1847556630580215E-2</v>
      </c>
      <c r="AW46" s="55">
        <v>2.8129754204127117E-3</v>
      </c>
      <c r="AX46" s="55">
        <v>9.6482476526293167E-4</v>
      </c>
      <c r="AY46" s="55">
        <v>5.8584695252638982E-3</v>
      </c>
      <c r="AZ46" s="55">
        <v>9.3183993653590564E-4</v>
      </c>
      <c r="BA46" s="55">
        <v>1.7624243630712119E-2</v>
      </c>
      <c r="BB46" s="55">
        <v>4.9891151985076163E-3</v>
      </c>
      <c r="BC46" s="55">
        <v>4.2650211461845635E-3</v>
      </c>
      <c r="BD46" s="55">
        <v>2.0104242891532389E-3</v>
      </c>
      <c r="BE46" s="55">
        <v>1.4145857177309743E-2</v>
      </c>
      <c r="BF46" s="55">
        <v>1.165702398146262E-2</v>
      </c>
      <c r="BG46" s="55">
        <v>2.5002056585519778E-3</v>
      </c>
      <c r="BH46" s="55">
        <v>1.0239782682295142E-2</v>
      </c>
      <c r="BI46" s="55">
        <v>7.8119279761785371E-3</v>
      </c>
      <c r="BJ46" s="55">
        <v>0</v>
      </c>
      <c r="BK46" s="55">
        <v>1.5840235919040014E-3</v>
      </c>
      <c r="BL46" s="55">
        <v>2.4873494574068652E-4</v>
      </c>
      <c r="BM46" s="91">
        <v>0</v>
      </c>
    </row>
    <row r="47" spans="1:65" x14ac:dyDescent="0.25">
      <c r="A47" s="53" t="s">
        <v>105</v>
      </c>
      <c r="B47" s="54" t="s">
        <v>152</v>
      </c>
      <c r="C47" s="55">
        <v>3.5214002868208289E-3</v>
      </c>
      <c r="D47" s="55">
        <v>2.771099843736051E-3</v>
      </c>
      <c r="E47" s="55">
        <v>3.649358599816856E-3</v>
      </c>
      <c r="F47" s="55">
        <v>1.6786507527735981E-3</v>
      </c>
      <c r="G47" s="55">
        <v>3.7505292053944824E-5</v>
      </c>
      <c r="H47" s="55">
        <v>2.1317474787204118E-4</v>
      </c>
      <c r="I47" s="55">
        <v>2.7394407375810788E-3</v>
      </c>
      <c r="J47" s="55">
        <v>1.8413278118353277E-2</v>
      </c>
      <c r="K47" s="55">
        <v>3.9055644901968621E-3</v>
      </c>
      <c r="L47" s="55">
        <v>3.7199612947688573E-3</v>
      </c>
      <c r="M47" s="55">
        <v>6.4535156211698017E-2</v>
      </c>
      <c r="N47" s="55">
        <v>1.5046223774886644E-2</v>
      </c>
      <c r="O47" s="55">
        <v>1.6202127321376374E-2</v>
      </c>
      <c r="P47" s="55">
        <v>3.2579147167178914E-3</v>
      </c>
      <c r="Q47" s="55">
        <v>1.363628635595567E-2</v>
      </c>
      <c r="R47" s="55">
        <v>1.6273196316092736E-2</v>
      </c>
      <c r="S47" s="55">
        <v>5.848575723378548E-3</v>
      </c>
      <c r="T47" s="55">
        <v>3.0486418498148543E-3</v>
      </c>
      <c r="U47" s="55">
        <v>1.4978368820281229E-2</v>
      </c>
      <c r="V47" s="55">
        <v>1.1984459399313543E-2</v>
      </c>
      <c r="W47" s="55">
        <v>0</v>
      </c>
      <c r="X47" s="55">
        <v>2.0020559576198065E-2</v>
      </c>
      <c r="Y47" s="55">
        <v>1.2842659564288801E-2</v>
      </c>
      <c r="Z47" s="55">
        <v>2.8010548300551785E-3</v>
      </c>
      <c r="AA47" s="55">
        <v>2.5884240139031579E-3</v>
      </c>
      <c r="AB47" s="55">
        <v>2.8665572199091875E-2</v>
      </c>
      <c r="AC47" s="55">
        <v>2.6591003464163294E-3</v>
      </c>
      <c r="AD47" s="55">
        <v>1.8041401643663088E-3</v>
      </c>
      <c r="AE47" s="55">
        <v>1.4473681123893216E-2</v>
      </c>
      <c r="AF47" s="55">
        <v>9.8368480288072435E-3</v>
      </c>
      <c r="AG47" s="55">
        <v>1.6914742881805112E-2</v>
      </c>
      <c r="AH47" s="55">
        <v>1.1480166401865501E-2</v>
      </c>
      <c r="AI47" s="55">
        <v>1.7850306488595646E-2</v>
      </c>
      <c r="AJ47" s="55">
        <v>9.4304751277881939E-3</v>
      </c>
      <c r="AK47" s="55">
        <v>3.7726599751366191E-2</v>
      </c>
      <c r="AL47" s="55">
        <v>0</v>
      </c>
      <c r="AM47" s="55">
        <v>1.0136374551736112E-2</v>
      </c>
      <c r="AN47" s="55">
        <v>4.0700853786251922E-3</v>
      </c>
      <c r="AO47" s="55">
        <v>6.9870950338976152E-3</v>
      </c>
      <c r="AP47" s="55">
        <v>1.1399366178719398E-2</v>
      </c>
      <c r="AQ47" s="55">
        <v>1.8643308920186711E-3</v>
      </c>
      <c r="AR47" s="55">
        <v>2.4881974407477206E-3</v>
      </c>
      <c r="AS47" s="55">
        <v>1.037250228891314E-2</v>
      </c>
      <c r="AT47" s="55">
        <v>1.4553183886158524E-2</v>
      </c>
      <c r="AU47" s="55">
        <v>1.3444660365247102E-2</v>
      </c>
      <c r="AV47" s="55">
        <v>5.8417488927568848E-3</v>
      </c>
      <c r="AW47" s="55">
        <v>4.3742603249500561E-3</v>
      </c>
      <c r="AX47" s="55">
        <v>7.7103937028749777E-4</v>
      </c>
      <c r="AY47" s="55">
        <v>8.0966689081953709E-3</v>
      </c>
      <c r="AZ47" s="55">
        <v>2.4496478392466731E-3</v>
      </c>
      <c r="BA47" s="55">
        <v>3.9170553987187752E-2</v>
      </c>
      <c r="BB47" s="55">
        <v>3.3906459612062963E-3</v>
      </c>
      <c r="BC47" s="55">
        <v>8.6839970320259779E-3</v>
      </c>
      <c r="BD47" s="55">
        <v>2.20762130387401E-3</v>
      </c>
      <c r="BE47" s="55">
        <v>2.7889406444703477E-2</v>
      </c>
      <c r="BF47" s="55">
        <v>1.9687176774177882E-2</v>
      </c>
      <c r="BG47" s="55">
        <v>6.5051387479582298E-3</v>
      </c>
      <c r="BH47" s="55">
        <v>2.0277694732252896E-2</v>
      </c>
      <c r="BI47" s="55">
        <v>3.7882662672591868E-3</v>
      </c>
      <c r="BJ47" s="55">
        <v>0</v>
      </c>
      <c r="BK47" s="55">
        <v>0</v>
      </c>
      <c r="BL47" s="55">
        <v>8.2428196607847059E-5</v>
      </c>
      <c r="BM47" s="91">
        <v>0</v>
      </c>
    </row>
    <row r="48" spans="1:65" x14ac:dyDescent="0.25">
      <c r="A48" s="53" t="s">
        <v>106</v>
      </c>
      <c r="B48" s="56" t="s">
        <v>153</v>
      </c>
      <c r="C48" s="55">
        <v>0</v>
      </c>
      <c r="D48" s="55">
        <v>0</v>
      </c>
      <c r="E48" s="55">
        <v>0</v>
      </c>
      <c r="F48" s="55">
        <v>0</v>
      </c>
      <c r="G48" s="55">
        <v>8.8083699884932368E-6</v>
      </c>
      <c r="H48" s="55">
        <v>0</v>
      </c>
      <c r="I48" s="55">
        <v>1.1014608978060131E-5</v>
      </c>
      <c r="J48" s="55">
        <v>0</v>
      </c>
      <c r="K48" s="55">
        <v>0</v>
      </c>
      <c r="L48" s="55">
        <v>1.1939726884133187E-5</v>
      </c>
      <c r="M48" s="55">
        <v>0</v>
      </c>
      <c r="N48" s="55">
        <v>5.0089435944563754E-6</v>
      </c>
      <c r="O48" s="55">
        <v>0</v>
      </c>
      <c r="P48" s="55">
        <v>0</v>
      </c>
      <c r="Q48" s="55">
        <v>0</v>
      </c>
      <c r="R48" s="55">
        <v>2.9470992372606277E-2</v>
      </c>
      <c r="S48" s="55">
        <v>2.5624002721772276E-3</v>
      </c>
      <c r="T48" s="55">
        <v>2.8917777171807242E-4</v>
      </c>
      <c r="U48" s="55">
        <v>1.4578016105811335E-2</v>
      </c>
      <c r="V48" s="55">
        <v>1.2569916330368061E-2</v>
      </c>
      <c r="W48" s="55">
        <v>0</v>
      </c>
      <c r="X48" s="55">
        <v>5.7502077302899952E-4</v>
      </c>
      <c r="Y48" s="55">
        <v>4.9816497872869655E-4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55">
        <v>5.1959743863136962E-4</v>
      </c>
      <c r="AN48" s="55">
        <v>3.9808745741698546E-3</v>
      </c>
      <c r="AO48" s="55">
        <v>0</v>
      </c>
      <c r="AP48" s="55">
        <v>3.0685785301427763E-5</v>
      </c>
      <c r="AQ48" s="55">
        <v>0</v>
      </c>
      <c r="AR48" s="55">
        <v>7.2610136665713696E-5</v>
      </c>
      <c r="AS48" s="55">
        <v>2.9924713702133053E-3</v>
      </c>
      <c r="AT48" s="55">
        <v>0</v>
      </c>
      <c r="AU48" s="55">
        <v>6.6877529642031313E-4</v>
      </c>
      <c r="AV48" s="55">
        <v>1.8959587201848131E-3</v>
      </c>
      <c r="AW48" s="55">
        <v>0</v>
      </c>
      <c r="AX48" s="55">
        <v>2.8009792386917551E-6</v>
      </c>
      <c r="AY48" s="55">
        <v>3.4718039800089801E-5</v>
      </c>
      <c r="AZ48" s="55">
        <v>0</v>
      </c>
      <c r="BA48" s="55">
        <v>3.9180536979392433E-4</v>
      </c>
      <c r="BB48" s="55">
        <v>2.036880822153138E-5</v>
      </c>
      <c r="BC48" s="55">
        <v>0</v>
      </c>
      <c r="BD48" s="55">
        <v>0</v>
      </c>
      <c r="BE48" s="55">
        <v>1.0232964830348993E-2</v>
      </c>
      <c r="BF48" s="55">
        <v>0</v>
      </c>
      <c r="BG48" s="55">
        <v>1.8581999505042106E-6</v>
      </c>
      <c r="BH48" s="55">
        <v>1.2256731815740184E-4</v>
      </c>
      <c r="BI48" s="55">
        <v>1.3914801082905708E-3</v>
      </c>
      <c r="BJ48" s="55">
        <v>0</v>
      </c>
      <c r="BK48" s="55">
        <v>0</v>
      </c>
      <c r="BL48" s="55">
        <v>0</v>
      </c>
      <c r="BM48" s="91">
        <v>0</v>
      </c>
    </row>
    <row r="49" spans="1:65" x14ac:dyDescent="0.25">
      <c r="A49" s="53" t="s">
        <v>107</v>
      </c>
      <c r="B49" s="56" t="s">
        <v>154</v>
      </c>
      <c r="C49" s="55">
        <v>6.3473819891030314E-7</v>
      </c>
      <c r="D49" s="55">
        <v>6.4897702355243174E-6</v>
      </c>
      <c r="E49" s="55">
        <v>3.5751605782144138E-3</v>
      </c>
      <c r="F49" s="55">
        <v>7.2147818794566408E-5</v>
      </c>
      <c r="G49" s="55">
        <v>1.6386564895685642E-4</v>
      </c>
      <c r="H49" s="55">
        <v>3.926176410202778E-3</v>
      </c>
      <c r="I49" s="55">
        <v>7.9519795046198681E-3</v>
      </c>
      <c r="J49" s="55">
        <v>6.8138521748515746E-3</v>
      </c>
      <c r="K49" s="55">
        <v>1.5531529183306317E-2</v>
      </c>
      <c r="L49" s="55">
        <v>7.8191057425146971E-3</v>
      </c>
      <c r="M49" s="55">
        <v>1.035560363268888E-2</v>
      </c>
      <c r="N49" s="55">
        <v>1.2568613595222915E-2</v>
      </c>
      <c r="O49" s="55">
        <v>1.2902364569956715E-2</v>
      </c>
      <c r="P49" s="55">
        <v>2.9848214688735102E-3</v>
      </c>
      <c r="Q49" s="55">
        <v>5.6022015043120038E-3</v>
      </c>
      <c r="R49" s="55">
        <v>4.2706585177502056E-3</v>
      </c>
      <c r="S49" s="55">
        <v>2.3792259609860282E-3</v>
      </c>
      <c r="T49" s="55">
        <v>6.1494966310765564E-4</v>
      </c>
      <c r="U49" s="55">
        <v>1.029517190314439E-2</v>
      </c>
      <c r="V49" s="55">
        <v>1.5085195911346478E-2</v>
      </c>
      <c r="W49" s="55">
        <v>1.2895188467406898E-3</v>
      </c>
      <c r="X49" s="55">
        <v>3.1561537359373629E-2</v>
      </c>
      <c r="Y49" s="55">
        <v>2.580300578908365E-2</v>
      </c>
      <c r="Z49" s="55">
        <v>3.4837827424876087E-3</v>
      </c>
      <c r="AA49" s="55">
        <v>1.0880238368679975E-3</v>
      </c>
      <c r="AB49" s="55">
        <v>4.1950836161081225E-3</v>
      </c>
      <c r="AC49" s="55">
        <v>9.6589042449010502E-3</v>
      </c>
      <c r="AD49" s="55">
        <v>8.1247076110416237E-3</v>
      </c>
      <c r="AE49" s="55">
        <v>4.3139417945707928E-3</v>
      </c>
      <c r="AF49" s="55">
        <v>2.911228919299398E-3</v>
      </c>
      <c r="AG49" s="55">
        <v>1.8435658813805569E-2</v>
      </c>
      <c r="AH49" s="55">
        <v>9.9156589137712765E-3</v>
      </c>
      <c r="AI49" s="55">
        <v>1.7511934842566808E-2</v>
      </c>
      <c r="AJ49" s="55">
        <v>4.7542906048493117E-3</v>
      </c>
      <c r="AK49" s="55">
        <v>1.0964280378359963E-2</v>
      </c>
      <c r="AL49" s="55">
        <v>6.7895518922278016E-3</v>
      </c>
      <c r="AM49" s="55">
        <v>9.8923250976008219E-3</v>
      </c>
      <c r="AN49" s="55">
        <v>2.4656130159301575E-3</v>
      </c>
      <c r="AO49" s="55">
        <v>7.8417402929603607E-3</v>
      </c>
      <c r="AP49" s="55">
        <v>1.1600984677436003E-2</v>
      </c>
      <c r="AQ49" s="55">
        <v>9.9452306833994132E-4</v>
      </c>
      <c r="AR49" s="55">
        <v>5.4512433822087219E-3</v>
      </c>
      <c r="AS49" s="55">
        <v>6.895010795974852E-3</v>
      </c>
      <c r="AT49" s="55">
        <v>1.8747876620993078E-3</v>
      </c>
      <c r="AU49" s="55">
        <v>7.2038455972133408E-3</v>
      </c>
      <c r="AV49" s="55">
        <v>1.4187917899355664E-2</v>
      </c>
      <c r="AW49" s="55">
        <v>3.2961310018580063E-3</v>
      </c>
      <c r="AX49" s="55">
        <v>5.9243080342934824E-4</v>
      </c>
      <c r="AY49" s="55">
        <v>1.2624247325909771E-2</v>
      </c>
      <c r="AZ49" s="55">
        <v>2.6008416994803313E-3</v>
      </c>
      <c r="BA49" s="55">
        <v>2.4334836018562022E-2</v>
      </c>
      <c r="BB49" s="55">
        <v>1.2372908124736442E-2</v>
      </c>
      <c r="BC49" s="55">
        <v>8.0693717833142699E-3</v>
      </c>
      <c r="BD49" s="55">
        <v>1.3272254272257043E-3</v>
      </c>
      <c r="BE49" s="55">
        <v>3.6751950058669776E-2</v>
      </c>
      <c r="BF49" s="55">
        <v>5.0704003929428546E-3</v>
      </c>
      <c r="BG49" s="55">
        <v>1.9192299653888586E-3</v>
      </c>
      <c r="BH49" s="55">
        <v>7.5919714260936633E-3</v>
      </c>
      <c r="BI49" s="55">
        <v>1.1115858120491245E-2</v>
      </c>
      <c r="BJ49" s="55">
        <v>0</v>
      </c>
      <c r="BK49" s="55">
        <v>1.8173890104339621E-3</v>
      </c>
      <c r="BL49" s="55">
        <v>1.7735306134922425E-4</v>
      </c>
      <c r="BM49" s="91">
        <v>0</v>
      </c>
    </row>
    <row r="50" spans="1:65" x14ac:dyDescent="0.25">
      <c r="A50" s="53" t="s">
        <v>108</v>
      </c>
      <c r="B50" s="56" t="s">
        <v>155</v>
      </c>
      <c r="C50" s="55">
        <v>8.6395128734955522E-3</v>
      </c>
      <c r="D50" s="55">
        <v>1.7744803204641087E-3</v>
      </c>
      <c r="E50" s="55">
        <v>1.0481734326567117E-2</v>
      </c>
      <c r="F50" s="55">
        <v>2.2612756247549913E-4</v>
      </c>
      <c r="G50" s="55">
        <v>0</v>
      </c>
      <c r="H50" s="55">
        <v>1.3915952217314078E-3</v>
      </c>
      <c r="I50" s="55">
        <v>3.3713961702807808E-3</v>
      </c>
      <c r="J50" s="55">
        <v>3.2246515409132251E-3</v>
      </c>
      <c r="K50" s="55">
        <v>2.7059373153183325E-3</v>
      </c>
      <c r="L50" s="55">
        <v>4.6032572619208118E-3</v>
      </c>
      <c r="M50" s="55">
        <v>4.7776759835794474E-3</v>
      </c>
      <c r="N50" s="55">
        <v>1.9187828568967098E-3</v>
      </c>
      <c r="O50" s="55">
        <v>1.9591406740827482E-3</v>
      </c>
      <c r="P50" s="55">
        <v>4.1666231404411313E-3</v>
      </c>
      <c r="Q50" s="55">
        <v>1.8414988176857457E-3</v>
      </c>
      <c r="R50" s="55">
        <v>5.5414477135761191E-4</v>
      </c>
      <c r="S50" s="55">
        <v>5.766094185690343E-5</v>
      </c>
      <c r="T50" s="55">
        <v>3.6332182027080258E-3</v>
      </c>
      <c r="U50" s="55">
        <v>1.1255076340937455E-2</v>
      </c>
      <c r="V50" s="55">
        <v>5.5104605786842472E-3</v>
      </c>
      <c r="W50" s="55">
        <v>1.084326926056413E-2</v>
      </c>
      <c r="X50" s="55">
        <v>2.8091569113084503E-3</v>
      </c>
      <c r="Y50" s="55">
        <v>8.6987303640666648E-4</v>
      </c>
      <c r="Z50" s="55">
        <v>6.0127913815947044E-4</v>
      </c>
      <c r="AA50" s="55">
        <v>9.720482742223113E-4</v>
      </c>
      <c r="AB50" s="55">
        <v>2.697832963064925E-3</v>
      </c>
      <c r="AC50" s="55">
        <v>1.8402669228360946E-4</v>
      </c>
      <c r="AD50" s="55">
        <v>1.7468426570030392E-4</v>
      </c>
      <c r="AE50" s="55">
        <v>3.2029089045054592E-3</v>
      </c>
      <c r="AF50" s="55">
        <v>2.0322711549895732E-3</v>
      </c>
      <c r="AG50" s="55">
        <v>1.0775015048537862E-3</v>
      </c>
      <c r="AH50" s="55">
        <v>1.1745218972321898E-3</v>
      </c>
      <c r="AI50" s="55">
        <v>1.6733674539514737E-3</v>
      </c>
      <c r="AJ50" s="55">
        <v>2.2853810348976645E-4</v>
      </c>
      <c r="AK50" s="55">
        <v>3.4826463604110676E-4</v>
      </c>
      <c r="AL50" s="55">
        <v>1.3914674395675898E-3</v>
      </c>
      <c r="AM50" s="55">
        <v>9.7206425391287692E-3</v>
      </c>
      <c r="AN50" s="55">
        <v>2.5612652494270841E-4</v>
      </c>
      <c r="AO50" s="55">
        <v>3.0028152555311362E-4</v>
      </c>
      <c r="AP50" s="55">
        <v>5.2775515969561207E-4</v>
      </c>
      <c r="AQ50" s="55">
        <v>3.7267698788063683E-5</v>
      </c>
      <c r="AR50" s="55">
        <v>1.9712004054028482E-3</v>
      </c>
      <c r="AS50" s="55">
        <v>1.0924900257241496E-3</v>
      </c>
      <c r="AT50" s="55">
        <v>1.0443603233183272E-3</v>
      </c>
      <c r="AU50" s="55">
        <v>7.9712591180925276E-4</v>
      </c>
      <c r="AV50" s="55">
        <v>2.7974850836278418E-4</v>
      </c>
      <c r="AW50" s="55">
        <v>0.11780816355441931</v>
      </c>
      <c r="AX50" s="55">
        <v>2.1297681670880595E-4</v>
      </c>
      <c r="AY50" s="55">
        <v>8.992725693426492E-4</v>
      </c>
      <c r="AZ50" s="55">
        <v>1.8037958658486967E-4</v>
      </c>
      <c r="BA50" s="55">
        <v>1.0408369717521543E-2</v>
      </c>
      <c r="BB50" s="55">
        <v>4.7002796347411797E-3</v>
      </c>
      <c r="BC50" s="55">
        <v>8.5483302463522978E-4</v>
      </c>
      <c r="BD50" s="55">
        <v>3.8372882969325156E-4</v>
      </c>
      <c r="BE50" s="55">
        <v>7.1412520776414096E-3</v>
      </c>
      <c r="BF50" s="55">
        <v>2.4600713277313506E-3</v>
      </c>
      <c r="BG50" s="55">
        <v>5.7827739457891271E-4</v>
      </c>
      <c r="BH50" s="55">
        <v>4.2721454854894947E-3</v>
      </c>
      <c r="BI50" s="55">
        <v>8.7110883346403205E-4</v>
      </c>
      <c r="BJ50" s="55">
        <v>0</v>
      </c>
      <c r="BK50" s="55">
        <v>2.9724182261801559E-3</v>
      </c>
      <c r="BL50" s="55">
        <v>1.6753853680025648E-3</v>
      </c>
      <c r="BM50" s="91">
        <v>0</v>
      </c>
    </row>
    <row r="51" spans="1:65" x14ac:dyDescent="0.25">
      <c r="A51" s="53" t="s">
        <v>109</v>
      </c>
      <c r="B51" s="56" t="s">
        <v>156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5.8802146920199224E-4</v>
      </c>
      <c r="J51" s="55">
        <v>5.1152277595418343E-4</v>
      </c>
      <c r="K51" s="55">
        <v>3.5369892520481218E-4</v>
      </c>
      <c r="L51" s="55">
        <v>2.7897346610813577E-4</v>
      </c>
      <c r="M51" s="55">
        <v>0</v>
      </c>
      <c r="N51" s="55">
        <v>2.7862715856799883E-4</v>
      </c>
      <c r="O51" s="55">
        <v>5.4205228456786795E-3</v>
      </c>
      <c r="P51" s="55">
        <v>1.2110228339233806E-3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4.1238331834000751E-4</v>
      </c>
      <c r="X51" s="55">
        <v>0</v>
      </c>
      <c r="Y51" s="55">
        <v>0</v>
      </c>
      <c r="Z51" s="55">
        <v>0</v>
      </c>
      <c r="AA51" s="55">
        <v>1.6896995996349409E-3</v>
      </c>
      <c r="AB51" s="55">
        <v>6.514912171529187E-3</v>
      </c>
      <c r="AC51" s="55">
        <v>2.6387551089093321E-3</v>
      </c>
      <c r="AD51" s="55">
        <v>2.4730879823194234E-3</v>
      </c>
      <c r="AE51" s="55">
        <v>7.5748209874866718E-3</v>
      </c>
      <c r="AF51" s="55">
        <v>5.1530885807423831E-3</v>
      </c>
      <c r="AG51" s="55">
        <v>0</v>
      </c>
      <c r="AH51" s="55">
        <v>0</v>
      </c>
      <c r="AI51" s="55">
        <v>1.0253527294184259E-2</v>
      </c>
      <c r="AJ51" s="55">
        <v>4.7971149885256094E-3</v>
      </c>
      <c r="AK51" s="55">
        <v>4.9308557184149044E-3</v>
      </c>
      <c r="AL51" s="55">
        <v>0</v>
      </c>
      <c r="AM51" s="55">
        <v>3.1236992423446696E-4</v>
      </c>
      <c r="AN51" s="55">
        <v>0</v>
      </c>
      <c r="AO51" s="55">
        <v>0</v>
      </c>
      <c r="AP51" s="55">
        <v>3.731120650361042E-3</v>
      </c>
      <c r="AQ51" s="55">
        <v>0</v>
      </c>
      <c r="AR51" s="55">
        <v>3.0486681903530561E-4</v>
      </c>
      <c r="AS51" s="55">
        <v>6.715536455086297E-4</v>
      </c>
      <c r="AT51" s="55">
        <v>0</v>
      </c>
      <c r="AU51" s="55">
        <v>1.1474357728224993E-4</v>
      </c>
      <c r="AV51" s="55">
        <v>2.3628658465237032E-4</v>
      </c>
      <c r="AW51" s="55">
        <v>0</v>
      </c>
      <c r="AX51" s="55">
        <v>1.3349068468540583E-5</v>
      </c>
      <c r="AY51" s="55">
        <v>2.2995088827690663E-4</v>
      </c>
      <c r="AZ51" s="55">
        <v>0</v>
      </c>
      <c r="BA51" s="55">
        <v>8.0583889632663865E-3</v>
      </c>
      <c r="BB51" s="55">
        <v>3.1639895700009269E-4</v>
      </c>
      <c r="BC51" s="55">
        <v>0</v>
      </c>
      <c r="BD51" s="55">
        <v>0</v>
      </c>
      <c r="BE51" s="55">
        <v>0</v>
      </c>
      <c r="BF51" s="55">
        <v>0</v>
      </c>
      <c r="BG51" s="55">
        <v>8.444116588961502E-5</v>
      </c>
      <c r="BH51" s="55">
        <v>2.4672145438455476E-4</v>
      </c>
      <c r="BI51" s="55">
        <v>9.2792379569513395E-5</v>
      </c>
      <c r="BJ51" s="55">
        <v>0</v>
      </c>
      <c r="BK51" s="55">
        <v>0</v>
      </c>
      <c r="BL51" s="55">
        <v>0</v>
      </c>
      <c r="BM51" s="91">
        <v>0</v>
      </c>
    </row>
    <row r="52" spans="1:65" x14ac:dyDescent="0.25">
      <c r="A52" s="53" t="s">
        <v>110</v>
      </c>
      <c r="B52" s="56" t="s">
        <v>157</v>
      </c>
      <c r="C52" s="55">
        <v>0</v>
      </c>
      <c r="D52" s="55">
        <v>0</v>
      </c>
      <c r="E52" s="55">
        <v>0</v>
      </c>
      <c r="F52" s="55">
        <v>0</v>
      </c>
      <c r="G52" s="55">
        <v>0</v>
      </c>
      <c r="H52" s="55">
        <v>2.8609419295939098E-3</v>
      </c>
      <c r="I52" s="55">
        <v>2.0536087677816692E-5</v>
      </c>
      <c r="J52" s="55">
        <v>1.612186213183185E-5</v>
      </c>
      <c r="K52" s="55">
        <v>8.0820217371774994E-6</v>
      </c>
      <c r="L52" s="55">
        <v>1.114602392660508E-5</v>
      </c>
      <c r="M52" s="55">
        <v>1.428775447230551E-4</v>
      </c>
      <c r="N52" s="55">
        <v>1.3216076890786578E-5</v>
      </c>
      <c r="O52" s="55">
        <v>8.1848781156711626E-4</v>
      </c>
      <c r="P52" s="55">
        <v>5.4226734576316141E-4</v>
      </c>
      <c r="Q52" s="55">
        <v>3.2796614379099979E-4</v>
      </c>
      <c r="R52" s="55">
        <v>2.1930125441889455E-3</v>
      </c>
      <c r="S52" s="55">
        <v>3.7226770587713628E-4</v>
      </c>
      <c r="T52" s="55">
        <v>2.8705759074398055E-5</v>
      </c>
      <c r="U52" s="55">
        <v>8.2924278517544525E-5</v>
      </c>
      <c r="V52" s="55">
        <v>1.1068569671685727E-3</v>
      </c>
      <c r="W52" s="55">
        <v>1.9458309088687586E-5</v>
      </c>
      <c r="X52" s="55">
        <v>6.9575022866208219E-4</v>
      </c>
      <c r="Y52" s="55">
        <v>3.2621636820028667E-3</v>
      </c>
      <c r="Z52" s="55">
        <v>9.5922808641183901E-5</v>
      </c>
      <c r="AA52" s="55">
        <v>1.6622800463957279E-3</v>
      </c>
      <c r="AB52" s="55">
        <v>1.4933151652867928E-3</v>
      </c>
      <c r="AC52" s="55">
        <v>1.8693484248755387E-3</v>
      </c>
      <c r="AD52" s="55">
        <v>1.7744477873576725E-3</v>
      </c>
      <c r="AE52" s="55">
        <v>6.9517470768689516E-3</v>
      </c>
      <c r="AF52" s="55">
        <v>4.8379844659400175E-3</v>
      </c>
      <c r="AG52" s="55">
        <v>6.3885970226771737E-4</v>
      </c>
      <c r="AH52" s="55">
        <v>4.8147601309224674E-4</v>
      </c>
      <c r="AI52" s="55">
        <v>6.3276688210861715E-4</v>
      </c>
      <c r="AJ52" s="55">
        <v>4.4894952434845449E-5</v>
      </c>
      <c r="AK52" s="55">
        <v>4.9243988889398956E-4</v>
      </c>
      <c r="AL52" s="55">
        <v>0</v>
      </c>
      <c r="AM52" s="55">
        <v>3.7608695623221632E-5</v>
      </c>
      <c r="AN52" s="55">
        <v>3.4830748910815785E-4</v>
      </c>
      <c r="AO52" s="55">
        <v>1.4828250335816224E-4</v>
      </c>
      <c r="AP52" s="55">
        <v>4.5095060233272757E-5</v>
      </c>
      <c r="AQ52" s="55">
        <v>1.0492772958866424E-3</v>
      </c>
      <c r="AR52" s="55">
        <v>1.5789190895032984E-5</v>
      </c>
      <c r="AS52" s="55">
        <v>1.4556106086795182E-3</v>
      </c>
      <c r="AT52" s="55">
        <v>0</v>
      </c>
      <c r="AU52" s="55">
        <v>1.7081514549530587E-3</v>
      </c>
      <c r="AV52" s="55">
        <v>3.4732181594494214E-4</v>
      </c>
      <c r="AW52" s="55">
        <v>7.2515596641433883E-5</v>
      </c>
      <c r="AX52" s="55">
        <v>4.9255102916503229E-4</v>
      </c>
      <c r="AY52" s="55">
        <v>3.1829438483504872E-3</v>
      </c>
      <c r="AZ52" s="55">
        <v>1.9452982196831676E-5</v>
      </c>
      <c r="BA52" s="55">
        <v>2.4973797787001591E-3</v>
      </c>
      <c r="BB52" s="55">
        <v>4.4447712365361215E-5</v>
      </c>
      <c r="BC52" s="55">
        <v>3.6593782253350392E-4</v>
      </c>
      <c r="BD52" s="55">
        <v>4.7536951562584352E-4</v>
      </c>
      <c r="BE52" s="55">
        <v>1.9999247773909104E-4</v>
      </c>
      <c r="BF52" s="55">
        <v>1.2325156294754069E-4</v>
      </c>
      <c r="BG52" s="55">
        <v>3.8908558815511032E-6</v>
      </c>
      <c r="BH52" s="55">
        <v>1.2109343959939435E-4</v>
      </c>
      <c r="BI52" s="55">
        <v>7.2928524822021964E-4</v>
      </c>
      <c r="BJ52" s="55">
        <v>0</v>
      </c>
      <c r="BK52" s="55">
        <v>5.4356172855369727E-5</v>
      </c>
      <c r="BL52" s="55">
        <v>1.1809684410874087E-4</v>
      </c>
      <c r="BM52" s="91">
        <v>0</v>
      </c>
    </row>
    <row r="53" spans="1:65" x14ac:dyDescent="0.25">
      <c r="A53" s="53" t="s">
        <v>111</v>
      </c>
      <c r="B53" s="54" t="s">
        <v>158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1.1689092961550802E-5</v>
      </c>
      <c r="J53" s="55">
        <v>0</v>
      </c>
      <c r="K53" s="55">
        <v>0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1.5048420360552693E-2</v>
      </c>
      <c r="U53" s="55">
        <v>0</v>
      </c>
      <c r="V53" s="55">
        <v>2.3881206759079213E-3</v>
      </c>
      <c r="W53" s="55">
        <v>2.042550755370273E-3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6.8569443961657288E-6</v>
      </c>
      <c r="AI53" s="55">
        <v>0</v>
      </c>
      <c r="AJ53" s="55">
        <v>0</v>
      </c>
      <c r="AK53" s="55">
        <v>4.9097202093606763E-5</v>
      </c>
      <c r="AL53" s="55">
        <v>0</v>
      </c>
      <c r="AM53" s="55">
        <v>0</v>
      </c>
      <c r="AN53" s="55">
        <v>0</v>
      </c>
      <c r="AO53" s="55">
        <v>0</v>
      </c>
      <c r="AP53" s="55">
        <v>0</v>
      </c>
      <c r="AQ53" s="55">
        <v>3.4043663666181262E-5</v>
      </c>
      <c r="AR53" s="55">
        <v>0</v>
      </c>
      <c r="AS53" s="55">
        <v>7.6062554087001624E-3</v>
      </c>
      <c r="AT53" s="55">
        <v>0</v>
      </c>
      <c r="AU53" s="55">
        <v>0</v>
      </c>
      <c r="AV53" s="55">
        <v>3.3600831593053445E-4</v>
      </c>
      <c r="AW53" s="55">
        <v>1.4360840751017549E-3</v>
      </c>
      <c r="AX53" s="55">
        <v>0</v>
      </c>
      <c r="AY53" s="55">
        <v>2.0561558103693086E-2</v>
      </c>
      <c r="AZ53" s="55">
        <v>0.10501435675712502</v>
      </c>
      <c r="BA53" s="55">
        <v>2.7774588193360053E-2</v>
      </c>
      <c r="BB53" s="55">
        <v>9.5937721836367833E-3</v>
      </c>
      <c r="BC53" s="55">
        <v>0</v>
      </c>
      <c r="BD53" s="55">
        <v>1.4444538703333619E-3</v>
      </c>
      <c r="BE53" s="55">
        <v>0</v>
      </c>
      <c r="BF53" s="55">
        <v>0</v>
      </c>
      <c r="BG53" s="55">
        <v>0</v>
      </c>
      <c r="BH53" s="55">
        <v>0</v>
      </c>
      <c r="BI53" s="55">
        <v>5.819330574606236E-3</v>
      </c>
      <c r="BJ53" s="55">
        <v>0</v>
      </c>
      <c r="BK53" s="55">
        <v>0</v>
      </c>
      <c r="BL53" s="55">
        <v>1.7921925722056001E-3</v>
      </c>
      <c r="BM53" s="91">
        <v>0</v>
      </c>
    </row>
    <row r="54" spans="1:65" x14ac:dyDescent="0.25">
      <c r="A54" s="53" t="s">
        <v>112</v>
      </c>
      <c r="B54" s="54" t="s">
        <v>12</v>
      </c>
      <c r="C54" s="55">
        <v>0</v>
      </c>
      <c r="D54" s="55">
        <v>0</v>
      </c>
      <c r="E54" s="55">
        <v>0</v>
      </c>
      <c r="F54" s="55">
        <v>0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55">
        <v>0</v>
      </c>
      <c r="AN54" s="55">
        <v>0</v>
      </c>
      <c r="AO54" s="55">
        <v>0</v>
      </c>
      <c r="AP54" s="55">
        <v>0</v>
      </c>
      <c r="AQ54" s="55">
        <v>0</v>
      </c>
      <c r="AR54" s="55">
        <v>0</v>
      </c>
      <c r="AS54" s="55">
        <v>0</v>
      </c>
      <c r="AT54" s="55">
        <v>0</v>
      </c>
      <c r="AU54" s="55">
        <v>0</v>
      </c>
      <c r="AV54" s="55">
        <v>0</v>
      </c>
      <c r="AW54" s="55">
        <v>0</v>
      </c>
      <c r="AX54" s="55">
        <v>0</v>
      </c>
      <c r="AY54" s="55">
        <v>0</v>
      </c>
      <c r="AZ54" s="55">
        <v>0</v>
      </c>
      <c r="BA54" s="55">
        <v>0</v>
      </c>
      <c r="BB54" s="55">
        <v>0</v>
      </c>
      <c r="BC54" s="55">
        <v>0</v>
      </c>
      <c r="BD54" s="55">
        <v>0</v>
      </c>
      <c r="BE54" s="55">
        <v>0</v>
      </c>
      <c r="BF54" s="55">
        <v>0</v>
      </c>
      <c r="BG54" s="55">
        <v>0</v>
      </c>
      <c r="BH54" s="55">
        <v>0</v>
      </c>
      <c r="BI54" s="55">
        <v>0</v>
      </c>
      <c r="BJ54" s="55">
        <v>0</v>
      </c>
      <c r="BK54" s="55">
        <v>0</v>
      </c>
      <c r="BL54" s="55">
        <v>0</v>
      </c>
      <c r="BM54" s="91">
        <v>0</v>
      </c>
    </row>
    <row r="55" spans="1:65" x14ac:dyDescent="0.25">
      <c r="A55" s="53" t="s">
        <v>113</v>
      </c>
      <c r="B55" s="54" t="s">
        <v>20</v>
      </c>
      <c r="C55" s="55">
        <v>0</v>
      </c>
      <c r="D55" s="55">
        <v>0</v>
      </c>
      <c r="E55" s="55">
        <v>0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55">
        <v>0</v>
      </c>
      <c r="AN55" s="55">
        <v>0</v>
      </c>
      <c r="AO55" s="55">
        <v>0</v>
      </c>
      <c r="AP55" s="55">
        <v>0</v>
      </c>
      <c r="AQ55" s="55">
        <v>0</v>
      </c>
      <c r="AR55" s="55">
        <v>0</v>
      </c>
      <c r="AS55" s="55">
        <v>0</v>
      </c>
      <c r="AT55" s="55">
        <v>0</v>
      </c>
      <c r="AU55" s="55">
        <v>0</v>
      </c>
      <c r="AV55" s="55">
        <v>0</v>
      </c>
      <c r="AW55" s="55">
        <v>0</v>
      </c>
      <c r="AX55" s="55">
        <v>0</v>
      </c>
      <c r="AY55" s="55">
        <v>0</v>
      </c>
      <c r="AZ55" s="55">
        <v>0</v>
      </c>
      <c r="BA55" s="55">
        <v>0</v>
      </c>
      <c r="BB55" s="55">
        <v>0</v>
      </c>
      <c r="BC55" s="55">
        <v>0</v>
      </c>
      <c r="BD55" s="55">
        <v>0</v>
      </c>
      <c r="BE55" s="55">
        <v>0</v>
      </c>
      <c r="BF55" s="55">
        <v>0</v>
      </c>
      <c r="BG55" s="55">
        <v>0</v>
      </c>
      <c r="BH55" s="55">
        <v>0</v>
      </c>
      <c r="BI55" s="55">
        <v>0</v>
      </c>
      <c r="BJ55" s="55">
        <v>0</v>
      </c>
      <c r="BK55" s="55">
        <v>0</v>
      </c>
      <c r="BL55" s="55">
        <v>0</v>
      </c>
      <c r="BM55" s="91">
        <v>0</v>
      </c>
    </row>
    <row r="56" spans="1:65" x14ac:dyDescent="0.25">
      <c r="A56" s="53" t="s">
        <v>114</v>
      </c>
      <c r="B56" s="56" t="s">
        <v>21</v>
      </c>
      <c r="C56" s="55">
        <v>0</v>
      </c>
      <c r="D56" s="55">
        <v>0</v>
      </c>
      <c r="E56" s="55">
        <v>0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5">
        <v>0</v>
      </c>
      <c r="N56" s="55">
        <v>0</v>
      </c>
      <c r="O56" s="55">
        <v>0</v>
      </c>
      <c r="P56" s="55">
        <v>0</v>
      </c>
      <c r="Q56" s="55">
        <v>0</v>
      </c>
      <c r="R56" s="55">
        <v>0</v>
      </c>
      <c r="S56" s="55">
        <v>0</v>
      </c>
      <c r="T56" s="55">
        <v>0</v>
      </c>
      <c r="U56" s="55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55">
        <v>0</v>
      </c>
      <c r="AN56" s="55">
        <v>0</v>
      </c>
      <c r="AO56" s="55">
        <v>0</v>
      </c>
      <c r="AP56" s="55">
        <v>0</v>
      </c>
      <c r="AQ56" s="55">
        <v>0</v>
      </c>
      <c r="AR56" s="55">
        <v>0</v>
      </c>
      <c r="AS56" s="55">
        <v>0</v>
      </c>
      <c r="AT56" s="55">
        <v>0</v>
      </c>
      <c r="AU56" s="55">
        <v>0</v>
      </c>
      <c r="AV56" s="55">
        <v>0</v>
      </c>
      <c r="AW56" s="55">
        <v>0</v>
      </c>
      <c r="AX56" s="55">
        <v>0</v>
      </c>
      <c r="AY56" s="55">
        <v>0</v>
      </c>
      <c r="AZ56" s="55">
        <v>0</v>
      </c>
      <c r="BA56" s="55">
        <v>0</v>
      </c>
      <c r="BB56" s="55">
        <v>0</v>
      </c>
      <c r="BC56" s="55">
        <v>0</v>
      </c>
      <c r="BD56" s="55">
        <v>0</v>
      </c>
      <c r="BE56" s="55">
        <v>0</v>
      </c>
      <c r="BF56" s="55">
        <v>0</v>
      </c>
      <c r="BG56" s="55">
        <v>0</v>
      </c>
      <c r="BH56" s="55">
        <v>0</v>
      </c>
      <c r="BI56" s="55">
        <v>0</v>
      </c>
      <c r="BJ56" s="55">
        <v>0</v>
      </c>
      <c r="BK56" s="55">
        <v>0</v>
      </c>
      <c r="BL56" s="55">
        <v>0</v>
      </c>
      <c r="BM56" s="91">
        <v>0</v>
      </c>
    </row>
    <row r="57" spans="1:65" x14ac:dyDescent="0.25">
      <c r="A57" s="53" t="s">
        <v>115</v>
      </c>
      <c r="B57" s="56" t="s">
        <v>159</v>
      </c>
      <c r="C57" s="55">
        <v>3.0649517367704811E-4</v>
      </c>
      <c r="D57" s="55">
        <v>1.63265173541239E-4</v>
      </c>
      <c r="E57" s="55">
        <v>3.0680986513107805E-3</v>
      </c>
      <c r="F57" s="55">
        <v>6.5906994523763629E-4</v>
      </c>
      <c r="G57" s="55">
        <v>4.888558207698495E-4</v>
      </c>
      <c r="H57" s="55">
        <v>1.15422054875957E-2</v>
      </c>
      <c r="I57" s="55">
        <v>6.0769788248676371E-4</v>
      </c>
      <c r="J57" s="55">
        <v>7.4880327735116854E-4</v>
      </c>
      <c r="K57" s="55">
        <v>1.0117920334586374E-3</v>
      </c>
      <c r="L57" s="55">
        <v>2.3541223283727215E-3</v>
      </c>
      <c r="M57" s="55">
        <v>2.25735275181203E-3</v>
      </c>
      <c r="N57" s="55">
        <v>1.3685176519961898E-3</v>
      </c>
      <c r="O57" s="55">
        <v>1.2787830990562631E-3</v>
      </c>
      <c r="P57" s="55">
        <v>5.1788003871444557E-4</v>
      </c>
      <c r="Q57" s="55">
        <v>6.4724148209461077E-4</v>
      </c>
      <c r="R57" s="55">
        <v>3.2994076370479762E-4</v>
      </c>
      <c r="S57" s="55">
        <v>1.0639118820682192E-4</v>
      </c>
      <c r="T57" s="55">
        <v>9.7310773268041207E-5</v>
      </c>
      <c r="U57" s="55">
        <v>3.3831215626969809E-4</v>
      </c>
      <c r="V57" s="55">
        <v>4.1380148822954077E-4</v>
      </c>
      <c r="W57" s="55">
        <v>4.6053309844106346E-4</v>
      </c>
      <c r="X57" s="55">
        <v>3.8852286699792655E-4</v>
      </c>
      <c r="Y57" s="55">
        <v>4.9382101129021002E-3</v>
      </c>
      <c r="Z57" s="55">
        <v>1.2995933813911035E-2</v>
      </c>
      <c r="AA57" s="55">
        <v>8.9844447236104782E-3</v>
      </c>
      <c r="AB57" s="55">
        <v>0</v>
      </c>
      <c r="AC57" s="55">
        <v>0</v>
      </c>
      <c r="AD57" s="55">
        <v>0</v>
      </c>
      <c r="AE57" s="55">
        <v>3.3621579703391966E-4</v>
      </c>
      <c r="AF57" s="55">
        <v>2.1333159528911586E-4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55">
        <v>0</v>
      </c>
      <c r="AN57" s="55">
        <v>5.3383233907363293E-5</v>
      </c>
      <c r="AO57" s="55">
        <v>0</v>
      </c>
      <c r="AP57" s="55">
        <v>0</v>
      </c>
      <c r="AQ57" s="55">
        <v>0</v>
      </c>
      <c r="AR57" s="55">
        <v>0</v>
      </c>
      <c r="AS57" s="55">
        <v>0</v>
      </c>
      <c r="AT57" s="55">
        <v>0</v>
      </c>
      <c r="AU57" s="55">
        <v>0</v>
      </c>
      <c r="AV57" s="55">
        <v>0</v>
      </c>
      <c r="AW57" s="55">
        <v>0</v>
      </c>
      <c r="AX57" s="55">
        <v>9.5197755854690297E-5</v>
      </c>
      <c r="AY57" s="55">
        <v>5.2122667389448293E-4</v>
      </c>
      <c r="AZ57" s="55">
        <v>0</v>
      </c>
      <c r="BA57" s="55">
        <v>0</v>
      </c>
      <c r="BB57" s="55">
        <v>3.8919469298516967E-4</v>
      </c>
      <c r="BC57" s="55">
        <v>2.2912853291111687E-4</v>
      </c>
      <c r="BD57" s="55">
        <v>7.6374297651128275E-3</v>
      </c>
      <c r="BE57" s="55">
        <v>1.4990846068972179E-3</v>
      </c>
      <c r="BF57" s="55">
        <v>4.2442221789912261E-3</v>
      </c>
      <c r="BG57" s="55">
        <v>1.2100010610592925E-4</v>
      </c>
      <c r="BH57" s="55">
        <v>5.8186836992427549E-4</v>
      </c>
      <c r="BI57" s="55">
        <v>2.8694596420366985E-4</v>
      </c>
      <c r="BJ57" s="55">
        <v>0</v>
      </c>
      <c r="BK57" s="55">
        <v>3.9439289358779355E-5</v>
      </c>
      <c r="BL57" s="55">
        <v>1.4345940959125514E-6</v>
      </c>
      <c r="BM57" s="91">
        <v>0</v>
      </c>
    </row>
    <row r="58" spans="1:65" x14ac:dyDescent="0.25">
      <c r="A58" s="53" t="s">
        <v>116</v>
      </c>
      <c r="B58" s="56" t="s">
        <v>59</v>
      </c>
      <c r="C58" s="55">
        <v>8.1375023349734028E-3</v>
      </c>
      <c r="D58" s="55">
        <v>4.3696228596183696E-3</v>
      </c>
      <c r="E58" s="55">
        <v>5.6963199240955917E-4</v>
      </c>
      <c r="F58" s="55">
        <v>1.2971344951099282E-4</v>
      </c>
      <c r="G58" s="55">
        <v>3.5180926913833821E-4</v>
      </c>
      <c r="H58" s="55">
        <v>9.5359855203564492E-3</v>
      </c>
      <c r="I58" s="55">
        <v>1.4180880188720489E-2</v>
      </c>
      <c r="J58" s="55">
        <v>2.0955046845147172E-2</v>
      </c>
      <c r="K58" s="55">
        <v>2.5803022498341325E-2</v>
      </c>
      <c r="L58" s="55">
        <v>1.8127738030190639E-2</v>
      </c>
      <c r="M58" s="55">
        <v>4.4242147482406638E-2</v>
      </c>
      <c r="N58" s="55">
        <v>3.0701104804312061E-2</v>
      </c>
      <c r="O58" s="55">
        <v>2.8086052976857373E-2</v>
      </c>
      <c r="P58" s="55">
        <v>1.0392816367556609E-2</v>
      </c>
      <c r="Q58" s="55">
        <v>1.2876445842001896E-2</v>
      </c>
      <c r="R58" s="55">
        <v>4.5623330295613031E-3</v>
      </c>
      <c r="S58" s="55">
        <v>1.2890144080193245E-3</v>
      </c>
      <c r="T58" s="55">
        <v>1.864109523060658E-3</v>
      </c>
      <c r="U58" s="55">
        <v>8.0510936142689036E-3</v>
      </c>
      <c r="V58" s="55">
        <v>6.7387846608937896E-3</v>
      </c>
      <c r="W58" s="55">
        <v>1.3985775068437512E-2</v>
      </c>
      <c r="X58" s="55">
        <v>9.5470318763485468E-3</v>
      </c>
      <c r="Y58" s="55">
        <v>4.5284496006673725E-2</v>
      </c>
      <c r="Z58" s="55">
        <v>2.2091579978871814E-2</v>
      </c>
      <c r="AA58" s="55">
        <v>3.4542999283517367E-3</v>
      </c>
      <c r="AB58" s="55">
        <v>1.2069837623690868E-2</v>
      </c>
      <c r="AC58" s="55">
        <v>3.38820882025428E-2</v>
      </c>
      <c r="AD58" s="55">
        <v>3.2162006633976052E-2</v>
      </c>
      <c r="AE58" s="55">
        <v>2.2591109159088393E-2</v>
      </c>
      <c r="AF58" s="55">
        <v>1.4336651853582237E-2</v>
      </c>
      <c r="AG58" s="55">
        <v>2.979171999082034E-2</v>
      </c>
      <c r="AH58" s="55">
        <v>1.9294087261602429E-2</v>
      </c>
      <c r="AI58" s="55">
        <v>7.7577930764239536E-2</v>
      </c>
      <c r="AJ58" s="55">
        <v>7.5146106610529777E-3</v>
      </c>
      <c r="AK58" s="55">
        <v>4.4228204724767885E-2</v>
      </c>
      <c r="AL58" s="55">
        <v>0</v>
      </c>
      <c r="AM58" s="55">
        <v>3.1377159746597459E-2</v>
      </c>
      <c r="AN58" s="55">
        <v>2.9208219211514307E-2</v>
      </c>
      <c r="AO58" s="55">
        <v>0.15995783689785401</v>
      </c>
      <c r="AP58" s="55">
        <v>1.0790326529519499E-2</v>
      </c>
      <c r="AQ58" s="55">
        <v>1.7007059027332076E-2</v>
      </c>
      <c r="AR58" s="55">
        <v>4.4524992149330957E-2</v>
      </c>
      <c r="AS58" s="55">
        <v>8.8787488878135534E-2</v>
      </c>
      <c r="AT58" s="55">
        <v>0</v>
      </c>
      <c r="AU58" s="55">
        <v>1.8981581467162948E-2</v>
      </c>
      <c r="AV58" s="55">
        <v>2.0212259868644101E-2</v>
      </c>
      <c r="AW58" s="55">
        <v>3.136440014990953E-2</v>
      </c>
      <c r="AX58" s="55">
        <v>4.3415424527984718E-3</v>
      </c>
      <c r="AY58" s="55">
        <v>1.0027568630129158E-2</v>
      </c>
      <c r="AZ58" s="55">
        <v>3.0326505895293138E-3</v>
      </c>
      <c r="BA58" s="55">
        <v>6.5854261011176668E-2</v>
      </c>
      <c r="BB58" s="55">
        <v>1.8176467125801718E-2</v>
      </c>
      <c r="BC58" s="55">
        <v>6.9823355461249995E-3</v>
      </c>
      <c r="BD58" s="55">
        <v>1.8331295285749507E-3</v>
      </c>
      <c r="BE58" s="55">
        <v>3.0128564796921192E-2</v>
      </c>
      <c r="BF58" s="55">
        <v>2.7888498659211197E-2</v>
      </c>
      <c r="BG58" s="55">
        <v>1.8010617642961881E-2</v>
      </c>
      <c r="BH58" s="55">
        <v>3.4960072526828902E-2</v>
      </c>
      <c r="BI58" s="55">
        <v>6.1025455549785458E-3</v>
      </c>
      <c r="BJ58" s="55">
        <v>0</v>
      </c>
      <c r="BK58" s="55">
        <v>2.768061627701439E-3</v>
      </c>
      <c r="BL58" s="55">
        <v>2.050446511520605E-3</v>
      </c>
      <c r="BM58" s="91">
        <v>0</v>
      </c>
    </row>
    <row r="59" spans="1:65" x14ac:dyDescent="0.25">
      <c r="A59" s="53" t="s">
        <v>117</v>
      </c>
      <c r="B59" s="54" t="s">
        <v>160</v>
      </c>
      <c r="C59" s="55">
        <v>8.0376876433730857E-4</v>
      </c>
      <c r="D59" s="55">
        <v>4.6113606138885104E-4</v>
      </c>
      <c r="E59" s="55">
        <v>2.2397323806839824E-2</v>
      </c>
      <c r="F59" s="55">
        <v>5.6060358312328513E-6</v>
      </c>
      <c r="G59" s="55">
        <v>4.2235305247934633E-5</v>
      </c>
      <c r="H59" s="55">
        <v>1.1712341369253561E-2</v>
      </c>
      <c r="I59" s="55">
        <v>2.1777434317032014E-2</v>
      </c>
      <c r="J59" s="55">
        <v>1.945118058542258E-2</v>
      </c>
      <c r="K59" s="55">
        <v>2.4652971485606665E-2</v>
      </c>
      <c r="L59" s="55">
        <v>1.7570744452569002E-2</v>
      </c>
      <c r="M59" s="55">
        <v>4.1054714564873411E-2</v>
      </c>
      <c r="N59" s="55">
        <v>1.9724878132604279E-2</v>
      </c>
      <c r="O59" s="55">
        <v>1.8884949106024302E-2</v>
      </c>
      <c r="P59" s="55">
        <v>3.4661982291028818E-3</v>
      </c>
      <c r="Q59" s="55">
        <v>1.3377240883788645E-2</v>
      </c>
      <c r="R59" s="55">
        <v>3.0885185958346384E-2</v>
      </c>
      <c r="S59" s="55">
        <v>2.7212563113411521E-3</v>
      </c>
      <c r="T59" s="55">
        <v>3.0418848528044624E-3</v>
      </c>
      <c r="U59" s="55">
        <v>2.0180362678837042E-2</v>
      </c>
      <c r="V59" s="55">
        <v>2.2985150251557829E-2</v>
      </c>
      <c r="W59" s="55">
        <v>5.121612207683799E-2</v>
      </c>
      <c r="X59" s="55">
        <v>4.0095472706695251E-2</v>
      </c>
      <c r="Y59" s="55">
        <v>4.2120827322304176E-2</v>
      </c>
      <c r="Z59" s="55">
        <v>1.0433114891382708E-2</v>
      </c>
      <c r="AA59" s="55">
        <v>1.4801594763547306E-2</v>
      </c>
      <c r="AB59" s="55">
        <v>3.0853037409061135E-2</v>
      </c>
      <c r="AC59" s="55">
        <v>1.1778139068157034E-2</v>
      </c>
      <c r="AD59" s="55">
        <v>1.1180201898462947E-2</v>
      </c>
      <c r="AE59" s="55">
        <v>1.901137462819005E-2</v>
      </c>
      <c r="AF59" s="55">
        <v>1.2937525680231123E-2</v>
      </c>
      <c r="AG59" s="55">
        <v>1.7804835402134053E-2</v>
      </c>
      <c r="AH59" s="55">
        <v>1.0823755778770205E-2</v>
      </c>
      <c r="AI59" s="55">
        <v>4.8113424007503826E-2</v>
      </c>
      <c r="AJ59" s="55">
        <v>6.0825147924938915E-3</v>
      </c>
      <c r="AK59" s="55">
        <v>1.4271710617295973E-2</v>
      </c>
      <c r="AL59" s="55">
        <v>0</v>
      </c>
      <c r="AM59" s="55">
        <v>6.7555574531725261E-3</v>
      </c>
      <c r="AN59" s="55">
        <v>1.783831102063228E-2</v>
      </c>
      <c r="AO59" s="55">
        <v>1.4633236140073332E-2</v>
      </c>
      <c r="AP59" s="55">
        <v>6.656407077648893E-3</v>
      </c>
      <c r="AQ59" s="55">
        <v>2.8634336744257187E-3</v>
      </c>
      <c r="AR59" s="55">
        <v>8.3119843445460476E-3</v>
      </c>
      <c r="AS59" s="55">
        <v>4.1008802878715916E-2</v>
      </c>
      <c r="AT59" s="55">
        <v>1.0235171454940682E-2</v>
      </c>
      <c r="AU59" s="55">
        <v>9.4607175855652339E-3</v>
      </c>
      <c r="AV59" s="55">
        <v>1.0951793807599886E-2</v>
      </c>
      <c r="AW59" s="55">
        <v>1.1841353604861642E-2</v>
      </c>
      <c r="AX59" s="55">
        <v>5.8394514647877836E-3</v>
      </c>
      <c r="AY59" s="55">
        <v>2.8831445082987205E-2</v>
      </c>
      <c r="AZ59" s="55">
        <v>2.2532622119786454E-3</v>
      </c>
      <c r="BA59" s="55">
        <v>3.490636128292765E-2</v>
      </c>
      <c r="BB59" s="55">
        <v>5.725966932899669E-2</v>
      </c>
      <c r="BC59" s="55">
        <v>1.3146843609685889E-2</v>
      </c>
      <c r="BD59" s="55">
        <v>5.7093328646943605E-3</v>
      </c>
      <c r="BE59" s="55">
        <v>2.6842743325104827E-2</v>
      </c>
      <c r="BF59" s="55">
        <v>3.137283977693453E-2</v>
      </c>
      <c r="BG59" s="55">
        <v>3.2129606646658466E-3</v>
      </c>
      <c r="BH59" s="55">
        <v>8.7137957095049512E-3</v>
      </c>
      <c r="BI59" s="55">
        <v>2.4808217478339205E-3</v>
      </c>
      <c r="BJ59" s="55">
        <v>0</v>
      </c>
      <c r="BK59" s="55">
        <v>3.0019359196857671E-3</v>
      </c>
      <c r="BL59" s="55">
        <v>1.114407501093732E-3</v>
      </c>
      <c r="BM59" s="91">
        <v>0</v>
      </c>
    </row>
    <row r="60" spans="1:65" x14ac:dyDescent="0.25">
      <c r="A60" s="53" t="s">
        <v>118</v>
      </c>
      <c r="B60" s="54" t="s">
        <v>161</v>
      </c>
      <c r="C60" s="55">
        <v>1.6100758134351316E-4</v>
      </c>
      <c r="D60" s="55">
        <v>4.4980893230029214E-5</v>
      </c>
      <c r="E60" s="55">
        <v>2.4767520002016503E-4</v>
      </c>
      <c r="F60" s="55">
        <v>8.4505134940425524E-5</v>
      </c>
      <c r="G60" s="55">
        <v>0</v>
      </c>
      <c r="H60" s="55">
        <v>7.6407538330759488E-5</v>
      </c>
      <c r="I60" s="55">
        <v>1.0772655946705689E-4</v>
      </c>
      <c r="J60" s="55">
        <v>1.844714433362304E-4</v>
      </c>
      <c r="K60" s="55">
        <v>9.3524879852886929E-4</v>
      </c>
      <c r="L60" s="55">
        <v>2.5434397326159764E-4</v>
      </c>
      <c r="M60" s="55">
        <v>3.2377298817029337E-4</v>
      </c>
      <c r="N60" s="55">
        <v>2.18607935619018E-4</v>
      </c>
      <c r="O60" s="55">
        <v>2.3393796754689206E-4</v>
      </c>
      <c r="P60" s="55">
        <v>9.5666561221659466E-5</v>
      </c>
      <c r="Q60" s="55">
        <v>1.7493136592039969E-4</v>
      </c>
      <c r="R60" s="55">
        <v>8.9255506431576428E-5</v>
      </c>
      <c r="S60" s="55">
        <v>9.5422300173714009E-6</v>
      </c>
      <c r="T60" s="55">
        <v>2.7761171582371398E-4</v>
      </c>
      <c r="U60" s="55">
        <v>3.2337620659597845E-4</v>
      </c>
      <c r="V60" s="55">
        <v>3.4993816259832505E-4</v>
      </c>
      <c r="W60" s="55">
        <v>1.3919795787310205E-4</v>
      </c>
      <c r="X60" s="55">
        <v>4.2455593593503771E-4</v>
      </c>
      <c r="Y60" s="55">
        <v>8.774648262349972E-4</v>
      </c>
      <c r="Z60" s="55">
        <v>5.7624155663243786E-5</v>
      </c>
      <c r="AA60" s="55">
        <v>1.1878263940678508E-4</v>
      </c>
      <c r="AB60" s="55">
        <v>4.2584745194643717E-4</v>
      </c>
      <c r="AC60" s="55">
        <v>7.7818818542732068E-5</v>
      </c>
      <c r="AD60" s="55">
        <v>3.1633872092430301E-5</v>
      </c>
      <c r="AE60" s="55">
        <v>2.7180850049388115E-5</v>
      </c>
      <c r="AF60" s="55">
        <v>1.7246465375823016E-5</v>
      </c>
      <c r="AG60" s="55">
        <v>2.7301333937990424E-4</v>
      </c>
      <c r="AH60" s="55">
        <v>9.9744819033720781E-5</v>
      </c>
      <c r="AI60" s="55">
        <v>2.2232827204910838E-4</v>
      </c>
      <c r="AJ60" s="55">
        <v>1.1313787404505618E-4</v>
      </c>
      <c r="AK60" s="55">
        <v>6.7607153175859249E-5</v>
      </c>
      <c r="AL60" s="55">
        <v>4.7254278353194537E-5</v>
      </c>
      <c r="AM60" s="55">
        <v>9.3523421545847835E-5</v>
      </c>
      <c r="AN60" s="55">
        <v>3.9401623213743733E-4</v>
      </c>
      <c r="AO60" s="55">
        <v>9.399620194857692E-5</v>
      </c>
      <c r="AP60" s="55">
        <v>1.8172111819581374E-4</v>
      </c>
      <c r="AQ60" s="55">
        <v>6.6689285244954255E-5</v>
      </c>
      <c r="AR60" s="55">
        <v>3.0784210730148493E-4</v>
      </c>
      <c r="AS60" s="55">
        <v>1.6529137752266368E-4</v>
      </c>
      <c r="AT60" s="55">
        <v>3.2198792273716021E-4</v>
      </c>
      <c r="AU60" s="55">
        <v>1.3368221232287338E-4</v>
      </c>
      <c r="AV60" s="55">
        <v>6.915908061741992E-6</v>
      </c>
      <c r="AW60" s="55">
        <v>9.7435077915753091E-5</v>
      </c>
      <c r="AX60" s="55">
        <v>2.4582963044118409E-5</v>
      </c>
      <c r="AY60" s="55">
        <v>5.9243633540223431E-5</v>
      </c>
      <c r="AZ60" s="55">
        <v>3.7146752648505903E-6</v>
      </c>
      <c r="BA60" s="55">
        <v>2.7349692749258379E-4</v>
      </c>
      <c r="BB60" s="55">
        <v>8.3201604152287461E-5</v>
      </c>
      <c r="BC60" s="55">
        <v>3.894969481348612E-5</v>
      </c>
      <c r="BD60" s="55">
        <v>4.5338211301291783E-5</v>
      </c>
      <c r="BE60" s="55">
        <v>4.49393848584939E-4</v>
      </c>
      <c r="BF60" s="55">
        <v>2.2906982959035763E-4</v>
      </c>
      <c r="BG60" s="55">
        <v>3.6637126500545026E-5</v>
      </c>
      <c r="BH60" s="55">
        <v>1.4492290185479261E-4</v>
      </c>
      <c r="BI60" s="55">
        <v>3.1857025010443312E-5</v>
      </c>
      <c r="BJ60" s="55">
        <v>0</v>
      </c>
      <c r="BK60" s="55">
        <v>2.3706070362855424E-5</v>
      </c>
      <c r="BL60" s="55">
        <v>1.0088961848146678E-5</v>
      </c>
      <c r="BM60" s="91">
        <v>0</v>
      </c>
    </row>
    <row r="61" spans="1:65" x14ac:dyDescent="0.25">
      <c r="A61" s="53" t="s">
        <v>119</v>
      </c>
      <c r="B61" s="54" t="s">
        <v>162</v>
      </c>
      <c r="C61" s="55">
        <v>0</v>
      </c>
      <c r="D61" s="55">
        <v>3.1861026572615187E-5</v>
      </c>
      <c r="E61" s="55">
        <v>0</v>
      </c>
      <c r="F61" s="55">
        <v>7.9217742784120924E-5</v>
      </c>
      <c r="G61" s="55">
        <v>1.8111066447206157E-3</v>
      </c>
      <c r="H61" s="55">
        <v>7.3018982167130013E-4</v>
      </c>
      <c r="I61" s="55">
        <v>0</v>
      </c>
      <c r="J61" s="55">
        <v>0</v>
      </c>
      <c r="K61" s="55">
        <v>0</v>
      </c>
      <c r="L61" s="55">
        <v>0</v>
      </c>
      <c r="M61" s="55">
        <v>3.1187712189900598E-3</v>
      </c>
      <c r="N61" s="55">
        <v>4.5235813519725306E-3</v>
      </c>
      <c r="O61" s="55">
        <v>2.2424442583476186E-3</v>
      </c>
      <c r="P61" s="55">
        <v>9.1702485567833473E-4</v>
      </c>
      <c r="Q61" s="55">
        <v>1.4861301073274202E-3</v>
      </c>
      <c r="R61" s="55">
        <v>3.3558392645882272E-4</v>
      </c>
      <c r="S61" s="55">
        <v>2.1506620884604148E-4</v>
      </c>
      <c r="T61" s="55">
        <v>9.6497215179932618E-4</v>
      </c>
      <c r="U61" s="55">
        <v>6.2482377715069246E-3</v>
      </c>
      <c r="V61" s="55">
        <v>1.9593138045860352E-3</v>
      </c>
      <c r="W61" s="55">
        <v>8.9666583494277317E-4</v>
      </c>
      <c r="X61" s="55">
        <v>4.0696387630797587E-3</v>
      </c>
      <c r="Y61" s="55">
        <v>1.5823715029032249E-3</v>
      </c>
      <c r="Z61" s="55">
        <v>9.6663734039119018E-4</v>
      </c>
      <c r="AA61" s="55">
        <v>1.2637723165841986E-3</v>
      </c>
      <c r="AB61" s="55">
        <v>4.0872059850203361E-3</v>
      </c>
      <c r="AC61" s="55">
        <v>1.0013250756114695E-3</v>
      </c>
      <c r="AD61" s="55">
        <v>9.5049111294638806E-4</v>
      </c>
      <c r="AE61" s="55">
        <v>4.5595504695735648E-4</v>
      </c>
      <c r="AF61" s="55">
        <v>2.8930710099181787E-4</v>
      </c>
      <c r="AG61" s="55">
        <v>1.8549288873412593E-3</v>
      </c>
      <c r="AH61" s="55">
        <v>1.3385645721494845E-3</v>
      </c>
      <c r="AI61" s="55">
        <v>1.478819161136517E-3</v>
      </c>
      <c r="AJ61" s="55">
        <v>2.2651984496013682E-3</v>
      </c>
      <c r="AK61" s="55">
        <v>5.6705038004589443E-4</v>
      </c>
      <c r="AL61" s="55">
        <v>0</v>
      </c>
      <c r="AM61" s="55">
        <v>1.0647360904112172E-4</v>
      </c>
      <c r="AN61" s="55">
        <v>9.3899335138977324E-4</v>
      </c>
      <c r="AO61" s="55">
        <v>7.883867243924053E-4</v>
      </c>
      <c r="AP61" s="55">
        <v>2.1225402167263162E-3</v>
      </c>
      <c r="AQ61" s="55">
        <v>3.3491578042462166E-4</v>
      </c>
      <c r="AR61" s="55">
        <v>1.8871606646726549E-4</v>
      </c>
      <c r="AS61" s="55">
        <v>4.5641293159380848E-3</v>
      </c>
      <c r="AT61" s="55">
        <v>2.700651711858959E-3</v>
      </c>
      <c r="AU61" s="55">
        <v>7.0341336762657985E-5</v>
      </c>
      <c r="AV61" s="55">
        <v>6.9736576875927036E-4</v>
      </c>
      <c r="AW61" s="55">
        <v>1.3780147941295146E-2</v>
      </c>
      <c r="AX61" s="55">
        <v>3.6798468204194811E-4</v>
      </c>
      <c r="AY61" s="55">
        <v>4.1903213982479764E-4</v>
      </c>
      <c r="AZ61" s="55">
        <v>1.3293476305472397E-5</v>
      </c>
      <c r="BA61" s="55">
        <v>2.3724530328579946E-3</v>
      </c>
      <c r="BB61" s="55">
        <v>3.8737672274431608E-3</v>
      </c>
      <c r="BC61" s="55">
        <v>5.9176999831132262E-4</v>
      </c>
      <c r="BD61" s="55">
        <v>6.8503407118729147E-4</v>
      </c>
      <c r="BE61" s="55">
        <v>1.9421078369211272E-3</v>
      </c>
      <c r="BF61" s="55">
        <v>1.9213075514122159E-3</v>
      </c>
      <c r="BG61" s="55">
        <v>7.4797917293715414E-4</v>
      </c>
      <c r="BH61" s="55">
        <v>7.8538263007857569E-3</v>
      </c>
      <c r="BI61" s="55">
        <v>1.9000790869768601E-5</v>
      </c>
      <c r="BJ61" s="55">
        <v>0</v>
      </c>
      <c r="BK61" s="55">
        <v>4.2979311031486573E-4</v>
      </c>
      <c r="BL61" s="55">
        <v>1.7328588557293773E-4</v>
      </c>
      <c r="BM61" s="91">
        <v>0</v>
      </c>
    </row>
    <row r="62" spans="1:65" x14ac:dyDescent="0.25">
      <c r="A62" s="53" t="s">
        <v>120</v>
      </c>
      <c r="B62" s="56" t="s">
        <v>22</v>
      </c>
      <c r="C62" s="55">
        <v>9.1612237397591296E-4</v>
      </c>
      <c r="D62" s="55">
        <v>6.2664202250791996E-4</v>
      </c>
      <c r="E62" s="55">
        <v>5.5695545382535678E-4</v>
      </c>
      <c r="F62" s="55">
        <v>4.5585629256142598E-6</v>
      </c>
      <c r="G62" s="55">
        <v>0</v>
      </c>
      <c r="H62" s="55">
        <v>2.8130435561963743E-4</v>
      </c>
      <c r="I62" s="55">
        <v>2.2048573256763803E-4</v>
      </c>
      <c r="J62" s="55">
        <v>5.5584274486683333E-4</v>
      </c>
      <c r="K62" s="55">
        <v>1.6336156528833187E-3</v>
      </c>
      <c r="L62" s="55">
        <v>7.3194417643098061E-4</v>
      </c>
      <c r="M62" s="55">
        <v>8.6383932670886236E-4</v>
      </c>
      <c r="N62" s="55">
        <v>5.301853742264251E-4</v>
      </c>
      <c r="O62" s="55">
        <v>7.9849012537917461E-4</v>
      </c>
      <c r="P62" s="55">
        <v>3.2653444528693451E-4</v>
      </c>
      <c r="Q62" s="55">
        <v>5.2918158893458685E-4</v>
      </c>
      <c r="R62" s="55">
        <v>8.1074785272597014E-4</v>
      </c>
      <c r="S62" s="55">
        <v>7.6580830683764561E-5</v>
      </c>
      <c r="T62" s="55">
        <v>3.7366499610497466E-4</v>
      </c>
      <c r="U62" s="55">
        <v>9.3438962604485299E-4</v>
      </c>
      <c r="V62" s="55">
        <v>6.9767296094747544E-4</v>
      </c>
      <c r="W62" s="55">
        <v>5.4722427069208823E-4</v>
      </c>
      <c r="X62" s="55">
        <v>1.4491180122238557E-3</v>
      </c>
      <c r="Y62" s="55">
        <v>5.6345124970047695E-4</v>
      </c>
      <c r="Z62" s="55">
        <v>3.3456345084195807E-4</v>
      </c>
      <c r="AA62" s="55">
        <v>4.6054425853066472E-4</v>
      </c>
      <c r="AB62" s="55">
        <v>1.7757163106060295E-3</v>
      </c>
      <c r="AC62" s="55">
        <v>3.5655208917410164E-4</v>
      </c>
      <c r="AD62" s="55">
        <v>3.3845111873933534E-4</v>
      </c>
      <c r="AE62" s="55">
        <v>1.4681975992043533E-4</v>
      </c>
      <c r="AF62" s="55">
        <v>1.0301654655811328E-4</v>
      </c>
      <c r="AG62" s="55">
        <v>6.6056942153801127E-4</v>
      </c>
      <c r="AH62" s="55">
        <v>4.7663641540474571E-4</v>
      </c>
      <c r="AI62" s="55">
        <v>2.5648240497860809E-3</v>
      </c>
      <c r="AJ62" s="55">
        <v>6.632558740733911E-4</v>
      </c>
      <c r="AK62" s="55">
        <v>2.0191544444132393E-4</v>
      </c>
      <c r="AL62" s="55">
        <v>4.0098039807381899E-2</v>
      </c>
      <c r="AM62" s="55">
        <v>4.5885690990501264E-3</v>
      </c>
      <c r="AN62" s="55">
        <v>7.5877922651797387E-4</v>
      </c>
      <c r="AO62" s="55">
        <v>2.8072894657869385E-4</v>
      </c>
      <c r="AP62" s="55">
        <v>8.245032693314884E-4</v>
      </c>
      <c r="AQ62" s="55">
        <v>1.1925689680232148E-4</v>
      </c>
      <c r="AR62" s="55">
        <v>9.1695587391088962E-4</v>
      </c>
      <c r="AS62" s="55">
        <v>2.9639718122000851E-3</v>
      </c>
      <c r="AT62" s="55">
        <v>9.6164875268594174E-4</v>
      </c>
      <c r="AU62" s="55">
        <v>7.3642394291100529E-4</v>
      </c>
      <c r="AV62" s="55">
        <v>3.3732538334782936E-4</v>
      </c>
      <c r="AW62" s="55">
        <v>4.9068386054315107E-3</v>
      </c>
      <c r="AX62" s="55">
        <v>3.4013375782314268E-4</v>
      </c>
      <c r="AY62" s="55">
        <v>2.3350620692472767E-4</v>
      </c>
      <c r="AZ62" s="55">
        <v>3.1052217152872778E-5</v>
      </c>
      <c r="BA62" s="55">
        <v>4.9812552986389297E-4</v>
      </c>
      <c r="BB62" s="55">
        <v>4.0000365244428063E-4</v>
      </c>
      <c r="BC62" s="55">
        <v>2.1071761243930621E-4</v>
      </c>
      <c r="BD62" s="55">
        <v>2.4392710737630865E-4</v>
      </c>
      <c r="BE62" s="55">
        <v>1.3421591415067251E-3</v>
      </c>
      <c r="BF62" s="55">
        <v>6.8413968459111378E-4</v>
      </c>
      <c r="BG62" s="55">
        <v>2.2446426342985092E-4</v>
      </c>
      <c r="BH62" s="55">
        <v>8.6384604875115571E-4</v>
      </c>
      <c r="BI62" s="55">
        <v>1.3531612950847362E-4</v>
      </c>
      <c r="BJ62" s="55">
        <v>0</v>
      </c>
      <c r="BK62" s="55">
        <v>1.5304084070981685E-4</v>
      </c>
      <c r="BL62" s="55">
        <v>7.570431239471595E-5</v>
      </c>
      <c r="BM62" s="91">
        <v>0</v>
      </c>
    </row>
    <row r="63" spans="1:65" x14ac:dyDescent="0.25">
      <c r="A63" s="53" t="s">
        <v>121</v>
      </c>
      <c r="B63" s="56" t="s">
        <v>163</v>
      </c>
      <c r="C63" s="55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55">
        <v>0</v>
      </c>
      <c r="T63" s="55">
        <v>0</v>
      </c>
      <c r="U63" s="55">
        <v>0</v>
      </c>
      <c r="V63" s="55">
        <v>0</v>
      </c>
      <c r="W63" s="55">
        <v>0</v>
      </c>
      <c r="X63" s="55">
        <v>0</v>
      </c>
      <c r="Y63" s="55">
        <v>0</v>
      </c>
      <c r="Z63" s="55">
        <v>0</v>
      </c>
      <c r="AA63" s="55">
        <v>0</v>
      </c>
      <c r="AB63" s="55">
        <v>0</v>
      </c>
      <c r="AC63" s="55">
        <v>0</v>
      </c>
      <c r="AD63" s="55">
        <v>0</v>
      </c>
      <c r="AE63" s="55">
        <v>0</v>
      </c>
      <c r="AF63" s="55">
        <v>0</v>
      </c>
      <c r="AG63" s="55">
        <v>0</v>
      </c>
      <c r="AH63" s="55">
        <v>0</v>
      </c>
      <c r="AI63" s="55">
        <v>0</v>
      </c>
      <c r="AJ63" s="55">
        <v>0</v>
      </c>
      <c r="AK63" s="55">
        <v>0</v>
      </c>
      <c r="AL63" s="55">
        <v>0</v>
      </c>
      <c r="AM63" s="55">
        <v>0</v>
      </c>
      <c r="AN63" s="55">
        <v>0</v>
      </c>
      <c r="AO63" s="55">
        <v>0</v>
      </c>
      <c r="AP63" s="55">
        <v>0</v>
      </c>
      <c r="AQ63" s="55">
        <v>0</v>
      </c>
      <c r="AR63" s="55">
        <v>0</v>
      </c>
      <c r="AS63" s="55">
        <v>0</v>
      </c>
      <c r="AT63" s="55">
        <v>0</v>
      </c>
      <c r="AU63" s="55">
        <v>0</v>
      </c>
      <c r="AV63" s="55">
        <v>0</v>
      </c>
      <c r="AW63" s="55">
        <v>0</v>
      </c>
      <c r="AX63" s="55">
        <v>0</v>
      </c>
      <c r="AY63" s="55">
        <v>0</v>
      </c>
      <c r="AZ63" s="55">
        <v>0</v>
      </c>
      <c r="BA63" s="55">
        <v>0</v>
      </c>
      <c r="BB63" s="55">
        <v>0</v>
      </c>
      <c r="BC63" s="55">
        <v>0</v>
      </c>
      <c r="BD63" s="55">
        <v>0</v>
      </c>
      <c r="BE63" s="55">
        <v>0</v>
      </c>
      <c r="BF63" s="55">
        <v>0</v>
      </c>
      <c r="BG63" s="55">
        <v>0</v>
      </c>
      <c r="BH63" s="55">
        <v>0</v>
      </c>
      <c r="BI63" s="55">
        <v>0</v>
      </c>
      <c r="BJ63" s="55">
        <v>0</v>
      </c>
      <c r="BK63" s="55">
        <v>0</v>
      </c>
      <c r="BL63" s="55">
        <v>0</v>
      </c>
      <c r="BM63" s="91">
        <v>0</v>
      </c>
    </row>
    <row r="64" spans="1:65" x14ac:dyDescent="0.25">
      <c r="A64" s="53" t="s">
        <v>122</v>
      </c>
      <c r="B64" s="56" t="s">
        <v>164</v>
      </c>
      <c r="C64" s="55">
        <v>0</v>
      </c>
      <c r="D64" s="55">
        <v>0</v>
      </c>
      <c r="E64" s="55">
        <v>7.8590149301648374E-4</v>
      </c>
      <c r="F64" s="55">
        <v>0</v>
      </c>
      <c r="G64" s="55">
        <v>0</v>
      </c>
      <c r="H64" s="55">
        <v>1.1512759307111616E-3</v>
      </c>
      <c r="I64" s="55">
        <v>8.0114568743616336E-3</v>
      </c>
      <c r="J64" s="55">
        <v>1.3652966378262371E-3</v>
      </c>
      <c r="K64" s="55">
        <v>2.7499634304029063E-3</v>
      </c>
      <c r="L64" s="55">
        <v>4.0544971607637224E-3</v>
      </c>
      <c r="M64" s="55">
        <v>8.9852794348710303E-3</v>
      </c>
      <c r="N64" s="55">
        <v>1.6318430565243236E-3</v>
      </c>
      <c r="O64" s="55">
        <v>5.3214457553072605E-3</v>
      </c>
      <c r="P64" s="55">
        <v>2.2964250566021363E-4</v>
      </c>
      <c r="Q64" s="55">
        <v>3.282383332684487E-3</v>
      </c>
      <c r="R64" s="55">
        <v>6.6965852905024612E-3</v>
      </c>
      <c r="S64" s="55">
        <v>5.8512020875655999E-5</v>
      </c>
      <c r="T64" s="55">
        <v>8.2512533273838059E-4</v>
      </c>
      <c r="U64" s="55">
        <v>1.0238165661349738E-3</v>
      </c>
      <c r="V64" s="55">
        <v>7.0579559487410201E-3</v>
      </c>
      <c r="W64" s="55">
        <v>0</v>
      </c>
      <c r="X64" s="55">
        <v>6.9904443679283052E-3</v>
      </c>
      <c r="Y64" s="55">
        <v>1.7809612638394909E-2</v>
      </c>
      <c r="Z64" s="55">
        <v>2.9268187738265635E-3</v>
      </c>
      <c r="AA64" s="55">
        <v>1.6510311638470161E-3</v>
      </c>
      <c r="AB64" s="55">
        <v>6.3658658481935936E-3</v>
      </c>
      <c r="AC64" s="55">
        <v>5.5927609573575695E-3</v>
      </c>
      <c r="AD64" s="55">
        <v>5.3088349790458515E-3</v>
      </c>
      <c r="AE64" s="55">
        <v>1.25640697622463E-2</v>
      </c>
      <c r="AF64" s="55">
        <v>7.5087692145987773E-3</v>
      </c>
      <c r="AG64" s="55">
        <v>7.6453772841043668E-3</v>
      </c>
      <c r="AH64" s="55">
        <v>7.0979714768683692E-3</v>
      </c>
      <c r="AI64" s="55">
        <v>2.0560369752453032E-2</v>
      </c>
      <c r="AJ64" s="55">
        <v>4.8161773486653679E-3</v>
      </c>
      <c r="AK64" s="55">
        <v>1.3065796588465947E-2</v>
      </c>
      <c r="AL64" s="55">
        <v>0</v>
      </c>
      <c r="AM64" s="55">
        <v>0</v>
      </c>
      <c r="AN64" s="55">
        <v>2.3209347181385931E-3</v>
      </c>
      <c r="AO64" s="55">
        <v>1.6330833248887133E-2</v>
      </c>
      <c r="AP64" s="55">
        <v>4.3169950999665911E-3</v>
      </c>
      <c r="AQ64" s="55">
        <v>1.3778924987978224E-3</v>
      </c>
      <c r="AR64" s="55">
        <v>2.9418398667979888E-3</v>
      </c>
      <c r="AS64" s="55">
        <v>9.4834544307089534E-3</v>
      </c>
      <c r="AT64" s="55">
        <v>4.1412572107849101E-3</v>
      </c>
      <c r="AU64" s="55">
        <v>7.3915708810684295E-4</v>
      </c>
      <c r="AV64" s="55">
        <v>4.1663756789299287E-3</v>
      </c>
      <c r="AW64" s="55">
        <v>4.1479268163174057E-3</v>
      </c>
      <c r="AX64" s="55">
        <v>9.8774413963964146E-4</v>
      </c>
      <c r="AY64" s="55">
        <v>1.8648606531301575E-3</v>
      </c>
      <c r="AZ64" s="55">
        <v>1.0263842373150118E-3</v>
      </c>
      <c r="BA64" s="55">
        <v>1.6469200614350858E-2</v>
      </c>
      <c r="BB64" s="55">
        <v>2.3003647591860912E-3</v>
      </c>
      <c r="BC64" s="55">
        <v>6.5716500643642822E-3</v>
      </c>
      <c r="BD64" s="55">
        <v>2.9729652550544044E-3</v>
      </c>
      <c r="BE64" s="55">
        <v>1.343187326314715E-2</v>
      </c>
      <c r="BF64" s="55">
        <v>7.6287383403972767E-3</v>
      </c>
      <c r="BG64" s="55">
        <v>3.1801932154603713E-3</v>
      </c>
      <c r="BH64" s="55">
        <v>8.2862246028714229E-3</v>
      </c>
      <c r="BI64" s="55">
        <v>3.3872859269066169E-3</v>
      </c>
      <c r="BJ64" s="55">
        <v>0</v>
      </c>
      <c r="BK64" s="55">
        <v>2.2077009330407089E-3</v>
      </c>
      <c r="BL64" s="55">
        <v>2.3151906053434771E-4</v>
      </c>
      <c r="BM64" s="91">
        <v>0</v>
      </c>
    </row>
    <row r="65" spans="1:65" x14ac:dyDescent="0.25">
      <c r="A65" s="53" t="s">
        <v>123</v>
      </c>
      <c r="B65" s="56" t="s">
        <v>13</v>
      </c>
      <c r="C65" s="55">
        <v>1.0805424062329446E-2</v>
      </c>
      <c r="D65" s="55">
        <v>1.6919905864977238E-2</v>
      </c>
      <c r="E65" s="55">
        <v>1.1714924282361504E-3</v>
      </c>
      <c r="F65" s="55">
        <v>0</v>
      </c>
      <c r="G65" s="55">
        <v>0</v>
      </c>
      <c r="H65" s="55">
        <v>1.6841235175948387E-4</v>
      </c>
      <c r="I65" s="55">
        <v>0</v>
      </c>
      <c r="J65" s="55">
        <v>0</v>
      </c>
      <c r="K65" s="55">
        <v>0</v>
      </c>
      <c r="L65" s="55">
        <v>0</v>
      </c>
      <c r="M65" s="55">
        <v>1.47277722257467E-3</v>
      </c>
      <c r="N65" s="55">
        <v>1.5510642938184041E-2</v>
      </c>
      <c r="O65" s="55">
        <v>2.301085678253074E-3</v>
      </c>
      <c r="P65" s="55">
        <v>4.3404014935542407E-3</v>
      </c>
      <c r="Q65" s="55">
        <v>5.0346357463926655E-3</v>
      </c>
      <c r="R65" s="55">
        <v>0.10217967421172333</v>
      </c>
      <c r="S65" s="55">
        <v>2.9089376710589917E-2</v>
      </c>
      <c r="T65" s="55">
        <v>3.2075076981162472E-3</v>
      </c>
      <c r="U65" s="55">
        <v>2.0479806194562692E-2</v>
      </c>
      <c r="V65" s="55">
        <v>2.0111873213452106E-3</v>
      </c>
      <c r="W65" s="55">
        <v>0.10791661031109798</v>
      </c>
      <c r="X65" s="55">
        <v>5.4421015981671282E-3</v>
      </c>
      <c r="Y65" s="55">
        <v>3.1991749625449929E-3</v>
      </c>
      <c r="Z65" s="55">
        <v>1.5345231458452797E-3</v>
      </c>
      <c r="AA65" s="55">
        <v>1.3287595342155467E-3</v>
      </c>
      <c r="AB65" s="55">
        <v>2.5404760140384582E-3</v>
      </c>
      <c r="AC65" s="55">
        <v>2.9034111071383014E-4</v>
      </c>
      <c r="AD65" s="55">
        <v>2.756354992127525E-4</v>
      </c>
      <c r="AE65" s="55">
        <v>1.074719206408823E-3</v>
      </c>
      <c r="AF65" s="55">
        <v>1.2383963122354258E-4</v>
      </c>
      <c r="AG65" s="55">
        <v>1.4196640783468184E-3</v>
      </c>
      <c r="AH65" s="55">
        <v>1.2080802053129308E-2</v>
      </c>
      <c r="AI65" s="55">
        <v>2.5729974897501472E-3</v>
      </c>
      <c r="AJ65" s="55">
        <v>1.4869155234372995E-3</v>
      </c>
      <c r="AK65" s="55">
        <v>1.0934339117096078E-3</v>
      </c>
      <c r="AL65" s="55">
        <v>0</v>
      </c>
      <c r="AM65" s="55">
        <v>9.9840125427146272E-3</v>
      </c>
      <c r="AN65" s="55">
        <v>5.0929073661175016E-2</v>
      </c>
      <c r="AO65" s="55">
        <v>1.9366494616849168E-3</v>
      </c>
      <c r="AP65" s="55">
        <v>0</v>
      </c>
      <c r="AQ65" s="55">
        <v>1.0543705186143363E-4</v>
      </c>
      <c r="AR65" s="55">
        <v>2.2177150186977719E-3</v>
      </c>
      <c r="AS65" s="55">
        <v>2.6661228250200691E-3</v>
      </c>
      <c r="AT65" s="55">
        <v>3.9352051026003126E-3</v>
      </c>
      <c r="AU65" s="55">
        <v>1.8555626697435634E-3</v>
      </c>
      <c r="AV65" s="55">
        <v>2.3471139641491638E-3</v>
      </c>
      <c r="AW65" s="55">
        <v>9.8032456710549304E-2</v>
      </c>
      <c r="AX65" s="55">
        <v>3.8668918288504024E-4</v>
      </c>
      <c r="AY65" s="55">
        <v>1.2645126161808186E-3</v>
      </c>
      <c r="AZ65" s="55">
        <v>1.8315942659707083E-4</v>
      </c>
      <c r="BA65" s="55">
        <v>1.3460131053582016E-2</v>
      </c>
      <c r="BB65" s="55">
        <v>0</v>
      </c>
      <c r="BC65" s="55">
        <v>1.2355619700527218E-3</v>
      </c>
      <c r="BD65" s="55">
        <v>2.5059839345773073E-3</v>
      </c>
      <c r="BE65" s="55">
        <v>1.4824342711914573E-2</v>
      </c>
      <c r="BF65" s="55">
        <v>5.8263177427813192E-3</v>
      </c>
      <c r="BG65" s="55">
        <v>0</v>
      </c>
      <c r="BH65" s="55">
        <v>1.7933052423741277E-3</v>
      </c>
      <c r="BI65" s="55">
        <v>0</v>
      </c>
      <c r="BJ65" s="55">
        <v>0</v>
      </c>
      <c r="BK65" s="55">
        <v>3.1024443683891367E-3</v>
      </c>
      <c r="BL65" s="55">
        <v>5.5284498728578441E-4</v>
      </c>
      <c r="BM65" s="91">
        <v>0</v>
      </c>
    </row>
    <row r="66" spans="1:65" x14ac:dyDescent="0.25">
      <c r="A66" s="76"/>
      <c r="B66" s="72" t="s">
        <v>43</v>
      </c>
      <c r="C66" s="73">
        <v>0.30769254865911277</v>
      </c>
      <c r="D66" s="73">
        <v>0.30769254865911283</v>
      </c>
      <c r="E66" s="73">
        <v>0.37524009534666558</v>
      </c>
      <c r="F66" s="73">
        <v>0.37524009534666564</v>
      </c>
      <c r="G66" s="73">
        <v>0.30769254865911277</v>
      </c>
      <c r="H66" s="73">
        <v>0.20418841624148287</v>
      </c>
      <c r="I66" s="73">
        <v>0.32998527924491033</v>
      </c>
      <c r="J66" s="73">
        <v>0.32998527924491039</v>
      </c>
      <c r="K66" s="73">
        <v>0.32998527924491028</v>
      </c>
      <c r="L66" s="73">
        <v>0.32998527924491039</v>
      </c>
      <c r="M66" s="73">
        <v>0.22877599266545592</v>
      </c>
      <c r="N66" s="73">
        <v>0.16226293571330797</v>
      </c>
      <c r="O66" s="73">
        <v>0.35429438495351318</v>
      </c>
      <c r="P66" s="73">
        <v>1.7891720981358359E-2</v>
      </c>
      <c r="Q66" s="73">
        <v>0.38965768966814818</v>
      </c>
      <c r="R66" s="73">
        <v>0.17615164650800785</v>
      </c>
      <c r="S66" s="73">
        <v>0.31292256230593468</v>
      </c>
      <c r="T66" s="73">
        <v>0.46937431450670913</v>
      </c>
      <c r="U66" s="73">
        <v>0.52789746046529096</v>
      </c>
      <c r="V66" s="73">
        <v>0.29988710693803955</v>
      </c>
      <c r="W66" s="73">
        <v>0.3635707951716835</v>
      </c>
      <c r="X66" s="73">
        <v>0.3635707951716835</v>
      </c>
      <c r="Y66" s="73">
        <v>0.17650512642677535</v>
      </c>
      <c r="Z66" s="73">
        <v>0.21416741589558355</v>
      </c>
      <c r="AA66" s="73">
        <v>0.17650512642677532</v>
      </c>
      <c r="AB66" s="73">
        <v>8.5494943200361953E-2</v>
      </c>
      <c r="AC66" s="73">
        <v>0.17650512642677535</v>
      </c>
      <c r="AD66" s="73">
        <v>0.19902163360386071</v>
      </c>
      <c r="AE66" s="73">
        <v>0.10395696096260398</v>
      </c>
      <c r="AF66" s="73">
        <v>0.10395696096260398</v>
      </c>
      <c r="AG66" s="73">
        <v>0.27379109158872678</v>
      </c>
      <c r="AH66" s="73">
        <v>0.26052228725095594</v>
      </c>
      <c r="AI66" s="73">
        <v>0.15014071762700804</v>
      </c>
      <c r="AJ66" s="73">
        <v>0.24799728657962691</v>
      </c>
      <c r="AK66" s="73">
        <v>0.22670201219698882</v>
      </c>
      <c r="AL66" s="73">
        <v>0</v>
      </c>
      <c r="AM66" s="73">
        <v>0.24289697446797384</v>
      </c>
      <c r="AN66" s="73">
        <v>0.2428969744679739</v>
      </c>
      <c r="AO66" s="73">
        <v>0.40191528677453942</v>
      </c>
      <c r="AP66" s="73">
        <v>0.40191528677453953</v>
      </c>
      <c r="AQ66" s="73">
        <v>0.40191528677453947</v>
      </c>
      <c r="AR66" s="73">
        <v>0.40191528677453942</v>
      </c>
      <c r="AS66" s="73">
        <v>0.4019152867745393</v>
      </c>
      <c r="AT66" s="73">
        <v>0.53068866995104746</v>
      </c>
      <c r="AU66" s="73">
        <v>0.59487622278884766</v>
      </c>
      <c r="AV66" s="73">
        <v>0.59487622278884755</v>
      </c>
      <c r="AW66" s="73">
        <v>0.26542776724975936</v>
      </c>
      <c r="AX66" s="73">
        <v>0.31926114001652195</v>
      </c>
      <c r="AY66" s="73">
        <v>0.42154710110391569</v>
      </c>
      <c r="AZ66" s="73">
        <v>0.4159983907239484</v>
      </c>
      <c r="BA66" s="73">
        <v>0.27168952744286218</v>
      </c>
      <c r="BB66" s="73">
        <v>0.55452792806708895</v>
      </c>
      <c r="BC66" s="73">
        <v>0.35112680119869943</v>
      </c>
      <c r="BD66" s="73">
        <v>0.57850243873526985</v>
      </c>
      <c r="BE66" s="73">
        <v>0.22631370608462681</v>
      </c>
      <c r="BF66" s="73">
        <v>0.34752863414802049</v>
      </c>
      <c r="BG66" s="73">
        <v>0.39080784565138305</v>
      </c>
      <c r="BH66" s="73">
        <v>0.50717849836340467</v>
      </c>
      <c r="BI66" s="73">
        <v>0.15186000965923571</v>
      </c>
      <c r="BJ66" s="73">
        <v>0.60564844347720115</v>
      </c>
      <c r="BK66" s="73">
        <v>0.5450835991294809</v>
      </c>
      <c r="BL66" s="73">
        <v>0.60105475645025064</v>
      </c>
      <c r="BM66" s="131">
        <v>0</v>
      </c>
    </row>
    <row r="67" spans="1:65" x14ac:dyDescent="0.25">
      <c r="A67" s="77"/>
      <c r="B67" s="74" t="s">
        <v>186</v>
      </c>
      <c r="C67" s="75">
        <v>2.6821864340747223E-2</v>
      </c>
      <c r="D67" s="75">
        <v>2.2890080050261136E-2</v>
      </c>
      <c r="E67" s="75">
        <v>3.0768273645138865E-2</v>
      </c>
      <c r="F67" s="75">
        <v>3.0586530690337625E-2</v>
      </c>
      <c r="G67" s="75">
        <v>4.5728451796646453E-2</v>
      </c>
      <c r="H67" s="75">
        <v>2.6367731746651597E-2</v>
      </c>
      <c r="I67" s="75">
        <v>6.3710781664104071E-2</v>
      </c>
      <c r="J67" s="75">
        <v>6.3710781664104099E-2</v>
      </c>
      <c r="K67" s="75">
        <v>6.3812926002639908E-2</v>
      </c>
      <c r="L67" s="75">
        <v>6.3812926002639908E-2</v>
      </c>
      <c r="M67" s="75">
        <v>2.7868779361794056E-2</v>
      </c>
      <c r="N67" s="75">
        <v>2.2793096621558488E-2</v>
      </c>
      <c r="O67" s="75">
        <v>3.962140287723153E-2</v>
      </c>
      <c r="P67" s="75">
        <v>8.3858791566387338E-3</v>
      </c>
      <c r="Q67" s="75">
        <v>4.1029292534950169E-2</v>
      </c>
      <c r="R67" s="75">
        <v>2.5306855888111077E-2</v>
      </c>
      <c r="S67" s="75">
        <v>4.5627906882278392E-2</v>
      </c>
      <c r="T67" s="75">
        <v>6.4942351672767434E-2</v>
      </c>
      <c r="U67" s="75">
        <v>6.2003025255917776E-2</v>
      </c>
      <c r="V67" s="75">
        <v>4.8643051414256233E-2</v>
      </c>
      <c r="W67" s="75">
        <v>5.8071725657094175E-2</v>
      </c>
      <c r="X67" s="75">
        <v>5.6271922880938678E-2</v>
      </c>
      <c r="Y67" s="75">
        <v>4.2412349234112787E-2</v>
      </c>
      <c r="Z67" s="75">
        <v>4.6001158713719785E-2</v>
      </c>
      <c r="AA67" s="75">
        <v>3.8829519637213268E-2</v>
      </c>
      <c r="AB67" s="75">
        <v>3.040074701283059E-2</v>
      </c>
      <c r="AC67" s="75">
        <v>4.3612390456133993E-2</v>
      </c>
      <c r="AD67" s="75">
        <v>4.2380785805479416E-2</v>
      </c>
      <c r="AE67" s="75">
        <v>6.0424134642711416E-2</v>
      </c>
      <c r="AF67" s="75">
        <v>2.9001373174423483E-2</v>
      </c>
      <c r="AG67" s="75">
        <v>5.1549852029263842E-2</v>
      </c>
      <c r="AH67" s="75">
        <v>0.18482458934347784</v>
      </c>
      <c r="AI67" s="75">
        <v>2.4539710356128331E-2</v>
      </c>
      <c r="AJ67" s="75">
        <v>0.11729060294602341</v>
      </c>
      <c r="AK67" s="75">
        <v>3.5952663865056238E-2</v>
      </c>
      <c r="AL67" s="75">
        <v>5.9422807255380778E-3</v>
      </c>
      <c r="AM67" s="75">
        <v>8.8778692046276253E-2</v>
      </c>
      <c r="AN67" s="75">
        <v>7.8080461092477765E-2</v>
      </c>
      <c r="AO67" s="75">
        <v>5.9675366156137478E-2</v>
      </c>
      <c r="AP67" s="75">
        <v>5.9796103488971644E-2</v>
      </c>
      <c r="AQ67" s="75">
        <v>6.0336013373105971E-2</v>
      </c>
      <c r="AR67" s="75">
        <v>5.4650711549909699E-2</v>
      </c>
      <c r="AS67" s="75">
        <v>5.7973335301558467E-2</v>
      </c>
      <c r="AT67" s="75">
        <v>7.3720301637301894E-2</v>
      </c>
      <c r="AU67" s="75">
        <v>6.682805871841245E-2</v>
      </c>
      <c r="AV67" s="75">
        <v>7.210885049041324E-2</v>
      </c>
      <c r="AW67" s="75">
        <v>4.8583060160807566E-2</v>
      </c>
      <c r="AX67" s="75">
        <v>5.8862583883462216E-2</v>
      </c>
      <c r="AY67" s="75">
        <v>6.2152502085350191E-2</v>
      </c>
      <c r="AZ67" s="75">
        <v>5.9679136217535907E-2</v>
      </c>
      <c r="BA67" s="75">
        <v>5.1321601288608104E-2</v>
      </c>
      <c r="BB67" s="75">
        <v>4.7552387666057218E-2</v>
      </c>
      <c r="BC67" s="75">
        <v>5.446937136002581E-2</v>
      </c>
      <c r="BD67" s="75">
        <v>6.4165031091316937E-2</v>
      </c>
      <c r="BE67" s="75">
        <v>0.10669617115653107</v>
      </c>
      <c r="BF67" s="75">
        <v>5.1054084150767814E-2</v>
      </c>
      <c r="BG67" s="75">
        <v>4.5680612126689418E-2</v>
      </c>
      <c r="BH67" s="75">
        <v>6.1113159032266044E-2</v>
      </c>
      <c r="BI67" s="75">
        <v>1.8240429029577648E-2</v>
      </c>
      <c r="BJ67" s="75">
        <v>6.626925566040795E-2</v>
      </c>
      <c r="BK67" s="75">
        <v>6.0628746127826788E-2</v>
      </c>
      <c r="BL67" s="75">
        <v>5.7776606998626384E-2</v>
      </c>
      <c r="BM67" s="132"/>
    </row>
    <row r="68" spans="1:65" ht="13" x14ac:dyDescent="0.3"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93">
        <v>0.80610000000000004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69"/>
  <sheetViews>
    <sheetView zoomScale="75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F26" sqref="F26"/>
    </sheetView>
  </sheetViews>
  <sheetFormatPr defaultRowHeight="12.5" x14ac:dyDescent="0.25"/>
  <cols>
    <col min="2" max="2" width="50.453125" customWidth="1"/>
    <col min="3" max="65" width="15.54296875" customWidth="1"/>
    <col min="66" max="66" width="2.7265625" customWidth="1"/>
  </cols>
  <sheetData>
    <row r="1" spans="1:65" x14ac:dyDescent="0.25">
      <c r="A1" s="48"/>
      <c r="B1" s="48" t="s">
        <v>185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</row>
    <row r="2" spans="1:65" s="13" customFormat="1" x14ac:dyDescent="0.25">
      <c r="A2" s="49"/>
      <c r="B2" s="50" t="s">
        <v>16</v>
      </c>
      <c r="C2" s="51" t="s">
        <v>62</v>
      </c>
      <c r="D2" s="51" t="s">
        <v>63</v>
      </c>
      <c r="E2" s="51" t="s">
        <v>64</v>
      </c>
      <c r="F2" s="51" t="s">
        <v>65</v>
      </c>
      <c r="G2" s="51" t="s">
        <v>66</v>
      </c>
      <c r="H2" s="51" t="s">
        <v>67</v>
      </c>
      <c r="I2" s="51" t="s">
        <v>68</v>
      </c>
      <c r="J2" s="51" t="s">
        <v>69</v>
      </c>
      <c r="K2" s="51" t="s">
        <v>70</v>
      </c>
      <c r="L2" s="51" t="s">
        <v>71</v>
      </c>
      <c r="M2" s="51" t="s">
        <v>72</v>
      </c>
      <c r="N2" s="51" t="s">
        <v>73</v>
      </c>
      <c r="O2" s="51" t="s">
        <v>74</v>
      </c>
      <c r="P2" s="51" t="s">
        <v>75</v>
      </c>
      <c r="Q2" s="51" t="s">
        <v>76</v>
      </c>
      <c r="R2" s="51" t="s">
        <v>77</v>
      </c>
      <c r="S2" s="51" t="s">
        <v>78</v>
      </c>
      <c r="T2" s="51" t="s">
        <v>79</v>
      </c>
      <c r="U2" s="51" t="s">
        <v>80</v>
      </c>
      <c r="V2" s="51" t="s">
        <v>81</v>
      </c>
      <c r="W2" s="51" t="s">
        <v>82</v>
      </c>
      <c r="X2" s="51" t="s">
        <v>83</v>
      </c>
      <c r="Y2" s="51" t="s">
        <v>84</v>
      </c>
      <c r="Z2" s="51" t="s">
        <v>85</v>
      </c>
      <c r="AA2" s="51" t="s">
        <v>86</v>
      </c>
      <c r="AB2" s="51" t="s">
        <v>87</v>
      </c>
      <c r="AC2" s="51" t="s">
        <v>88</v>
      </c>
      <c r="AD2" s="51" t="s">
        <v>89</v>
      </c>
      <c r="AE2" s="51" t="s">
        <v>90</v>
      </c>
      <c r="AF2" s="51" t="s">
        <v>91</v>
      </c>
      <c r="AG2" s="51" t="s">
        <v>92</v>
      </c>
      <c r="AH2" s="51" t="s">
        <v>93</v>
      </c>
      <c r="AI2" s="51" t="s">
        <v>94</v>
      </c>
      <c r="AJ2" s="51" t="s">
        <v>95</v>
      </c>
      <c r="AK2" s="51" t="s">
        <v>96</v>
      </c>
      <c r="AL2" s="51" t="s">
        <v>97</v>
      </c>
      <c r="AM2" s="51" t="s">
        <v>98</v>
      </c>
      <c r="AN2" s="51" t="s">
        <v>99</v>
      </c>
      <c r="AO2" s="51" t="s">
        <v>100</v>
      </c>
      <c r="AP2" s="51" t="s">
        <v>101</v>
      </c>
      <c r="AQ2" s="51" t="s">
        <v>102</v>
      </c>
      <c r="AR2" s="51" t="s">
        <v>103</v>
      </c>
      <c r="AS2" s="51" t="s">
        <v>104</v>
      </c>
      <c r="AT2" s="51" t="s">
        <v>105</v>
      </c>
      <c r="AU2" s="51" t="s">
        <v>106</v>
      </c>
      <c r="AV2" s="51" t="s">
        <v>107</v>
      </c>
      <c r="AW2" s="51" t="s">
        <v>108</v>
      </c>
      <c r="AX2" s="51" t="s">
        <v>109</v>
      </c>
      <c r="AY2" s="51" t="s">
        <v>110</v>
      </c>
      <c r="AZ2" s="51" t="s">
        <v>111</v>
      </c>
      <c r="BA2" s="51" t="s">
        <v>112</v>
      </c>
      <c r="BB2" s="51" t="s">
        <v>113</v>
      </c>
      <c r="BC2" s="51" t="s">
        <v>114</v>
      </c>
      <c r="BD2" s="51" t="s">
        <v>115</v>
      </c>
      <c r="BE2" s="51" t="s">
        <v>116</v>
      </c>
      <c r="BF2" s="51" t="s">
        <v>117</v>
      </c>
      <c r="BG2" s="51" t="s">
        <v>118</v>
      </c>
      <c r="BH2" s="51" t="s">
        <v>119</v>
      </c>
      <c r="BI2" s="51" t="s">
        <v>120</v>
      </c>
      <c r="BJ2" s="51" t="s">
        <v>121</v>
      </c>
      <c r="BK2" s="51" t="s">
        <v>122</v>
      </c>
      <c r="BL2" s="51" t="s">
        <v>123</v>
      </c>
      <c r="BM2" s="57" t="s">
        <v>14</v>
      </c>
    </row>
    <row r="3" spans="1:65" x14ac:dyDescent="0.25">
      <c r="A3" s="53" t="s">
        <v>62</v>
      </c>
      <c r="B3" s="54" t="s">
        <v>182</v>
      </c>
      <c r="C3" s="55">
        <v>1.0185687992155017</v>
      </c>
      <c r="D3" s="55">
        <v>5.6986961837243937E-2</v>
      </c>
      <c r="E3" s="55">
        <v>2.9893351930329316E-4</v>
      </c>
      <c r="F3" s="55">
        <v>2.8142484252380014E-4</v>
      </c>
      <c r="G3" s="55">
        <v>1.1980400194253797E-2</v>
      </c>
      <c r="H3" s="55">
        <v>9.149722263255407E-5</v>
      </c>
      <c r="I3" s="55">
        <v>1.3885232095327865E-3</v>
      </c>
      <c r="J3" s="55">
        <v>6.7279466069632653E-4</v>
      </c>
      <c r="K3" s="55">
        <v>5.5005882163386692E-4</v>
      </c>
      <c r="L3" s="55">
        <v>1.2619441892263378E-3</v>
      </c>
      <c r="M3" s="55">
        <v>5.8439259719842901E-2</v>
      </c>
      <c r="N3" s="55">
        <v>3.2544388011644374E-3</v>
      </c>
      <c r="O3" s="55">
        <v>5.308673323799782E-3</v>
      </c>
      <c r="P3" s="55">
        <v>2.5840209031012145E-5</v>
      </c>
      <c r="Q3" s="55">
        <v>1.512057779235604E-3</v>
      </c>
      <c r="R3" s="55">
        <v>1.5525979249783066E-4</v>
      </c>
      <c r="S3" s="55">
        <v>2.5152883353700489E-5</v>
      </c>
      <c r="T3" s="55">
        <v>2.1732231691838964E-5</v>
      </c>
      <c r="U3" s="55">
        <v>9.5971343241707592E-5</v>
      </c>
      <c r="V3" s="55">
        <v>2.2363623008272754E-4</v>
      </c>
      <c r="W3" s="55">
        <v>2.9676601593589725E-4</v>
      </c>
      <c r="X3" s="55">
        <v>2.1603581110532193E-4</v>
      </c>
      <c r="Y3" s="55">
        <v>2.2021774862899932E-4</v>
      </c>
      <c r="Z3" s="55">
        <v>1.7267427209452911E-4</v>
      </c>
      <c r="AA3" s="55">
        <v>6.9090009780354238E-5</v>
      </c>
      <c r="AB3" s="55">
        <v>1.5910108117284306E-4</v>
      </c>
      <c r="AC3" s="55">
        <v>6.4609697741000086E-5</v>
      </c>
      <c r="AD3" s="55">
        <v>6.1259964698987785E-5</v>
      </c>
      <c r="AE3" s="55">
        <v>1.5889704217781416E-4</v>
      </c>
      <c r="AF3" s="55">
        <v>1.1260049554056671E-4</v>
      </c>
      <c r="AG3" s="55">
        <v>1.3855944946662295E-4</v>
      </c>
      <c r="AH3" s="55">
        <v>8.599502011855372E-5</v>
      </c>
      <c r="AI3" s="55">
        <v>2.4944567468042854E-4</v>
      </c>
      <c r="AJ3" s="55">
        <v>4.4421557340161436E-5</v>
      </c>
      <c r="AK3" s="55">
        <v>1.339052058671875E-4</v>
      </c>
      <c r="AL3" s="55">
        <v>3.549349841519367E-4</v>
      </c>
      <c r="AM3" s="55">
        <v>1.4323477650248176E-4</v>
      </c>
      <c r="AN3" s="55">
        <v>8.7927466669522633E-5</v>
      </c>
      <c r="AO3" s="55">
        <v>1.3274848585520464E-4</v>
      </c>
      <c r="AP3" s="55">
        <v>1.2078879840473382E-4</v>
      </c>
      <c r="AQ3" s="55">
        <v>2.0029465613831776E-5</v>
      </c>
      <c r="AR3" s="55">
        <v>1.8774558879831581E-4</v>
      </c>
      <c r="AS3" s="55">
        <v>2.5142251190944344E-4</v>
      </c>
      <c r="AT3" s="55">
        <v>8.0718568391319399E-5</v>
      </c>
      <c r="AU3" s="55">
        <v>5.7027237893566515E-5</v>
      </c>
      <c r="AV3" s="55">
        <v>1.9702676733389602E-4</v>
      </c>
      <c r="AW3" s="55">
        <v>8.1829209528419888E-5</v>
      </c>
      <c r="AX3" s="55">
        <v>2.6848655307196735E-5</v>
      </c>
      <c r="AY3" s="55">
        <v>1.6680824287097502E-4</v>
      </c>
      <c r="AZ3" s="55">
        <v>1.3674992982656432E-5</v>
      </c>
      <c r="BA3" s="55">
        <v>4.3512409396314082E-4</v>
      </c>
      <c r="BB3" s="55">
        <v>8.4780350176104661E-4</v>
      </c>
      <c r="BC3" s="55">
        <v>3.0569688463077927E-4</v>
      </c>
      <c r="BD3" s="55">
        <v>5.8139546678530373E-5</v>
      </c>
      <c r="BE3" s="55">
        <v>2.2228462766347437E-4</v>
      </c>
      <c r="BF3" s="55">
        <v>3.4762425659627472E-3</v>
      </c>
      <c r="BG3" s="55">
        <v>2.5302293806459718E-5</v>
      </c>
      <c r="BH3" s="55">
        <v>1.7109484268452505E-4</v>
      </c>
      <c r="BI3" s="55">
        <v>6.2167263830373377E-5</v>
      </c>
      <c r="BJ3" s="55">
        <v>0</v>
      </c>
      <c r="BK3" s="55">
        <v>6.0535253695711718E-5</v>
      </c>
      <c r="BL3" s="55">
        <v>8.1000609387351782E-6</v>
      </c>
      <c r="BM3" s="55">
        <v>0</v>
      </c>
    </row>
    <row r="4" spans="1:65" x14ac:dyDescent="0.25">
      <c r="A4" s="53" t="s">
        <v>63</v>
      </c>
      <c r="B4" s="54" t="s">
        <v>125</v>
      </c>
      <c r="C4" s="55">
        <v>2.3454538226356631E-3</v>
      </c>
      <c r="D4" s="55">
        <v>1.0326180625630896</v>
      </c>
      <c r="E4" s="55">
        <v>8.0817282838118509E-5</v>
      </c>
      <c r="F4" s="55">
        <v>1.9480979124558402E-3</v>
      </c>
      <c r="G4" s="55">
        <v>3.8116358546273016E-2</v>
      </c>
      <c r="H4" s="55">
        <v>9.55665334270388E-5</v>
      </c>
      <c r="I4" s="55">
        <v>7.8635623581137703E-5</v>
      </c>
      <c r="J4" s="55">
        <v>7.6857787090446326E-5</v>
      </c>
      <c r="K4" s="55">
        <v>8.8855206692703157E-5</v>
      </c>
      <c r="L4" s="55">
        <v>6.8888352082713199E-5</v>
      </c>
      <c r="M4" s="55">
        <v>2.1284362361382366E-2</v>
      </c>
      <c r="N4" s="55">
        <v>1.2255385970671724E-3</v>
      </c>
      <c r="O4" s="55">
        <v>1.3398659289754275E-4</v>
      </c>
      <c r="P4" s="55">
        <v>1.6636692027689247E-5</v>
      </c>
      <c r="Q4" s="55">
        <v>7.5835785466180197E-5</v>
      </c>
      <c r="R4" s="55">
        <v>8.6197653305328497E-5</v>
      </c>
      <c r="S4" s="55">
        <v>1.5942985427265637E-5</v>
      </c>
      <c r="T4" s="55">
        <v>1.5409671717821364E-5</v>
      </c>
      <c r="U4" s="55">
        <v>7.2740163012329558E-5</v>
      </c>
      <c r="V4" s="55">
        <v>1.2785443298416076E-4</v>
      </c>
      <c r="W4" s="55">
        <v>1.7308095825665435E-4</v>
      </c>
      <c r="X4" s="55">
        <v>1.396060139158945E-4</v>
      </c>
      <c r="Y4" s="55">
        <v>1.4997968621871072E-4</v>
      </c>
      <c r="Z4" s="55">
        <v>8.4807165766248441E-5</v>
      </c>
      <c r="AA4" s="55">
        <v>4.8343220716130161E-5</v>
      </c>
      <c r="AB4" s="55">
        <v>1.1265749079007278E-4</v>
      </c>
      <c r="AC4" s="55">
        <v>5.3935263018891942E-5</v>
      </c>
      <c r="AD4" s="55">
        <v>5.1236458110210352E-5</v>
      </c>
      <c r="AE4" s="55">
        <v>8.8086682464015865E-5</v>
      </c>
      <c r="AF4" s="55">
        <v>5.5607459182250069E-5</v>
      </c>
      <c r="AG4" s="55">
        <v>7.4715265282624419E-5</v>
      </c>
      <c r="AH4" s="55">
        <v>4.5779406954741122E-5</v>
      </c>
      <c r="AI4" s="55">
        <v>1.8186660433067495E-4</v>
      </c>
      <c r="AJ4" s="55">
        <v>3.9050503828994252E-5</v>
      </c>
      <c r="AK4" s="55">
        <v>1.1461112800848304E-4</v>
      </c>
      <c r="AL4" s="55">
        <v>1.0367797726285327E-4</v>
      </c>
      <c r="AM4" s="55">
        <v>5.0850504094916155E-5</v>
      </c>
      <c r="AN4" s="55">
        <v>5.9961829891689668E-5</v>
      </c>
      <c r="AO4" s="55">
        <v>1.1122248223988465E-4</v>
      </c>
      <c r="AP4" s="55">
        <v>1.1299012637931959E-4</v>
      </c>
      <c r="AQ4" s="55">
        <v>1.7007802299400619E-5</v>
      </c>
      <c r="AR4" s="55">
        <v>1.5145957835750296E-3</v>
      </c>
      <c r="AS4" s="55">
        <v>1.5932852456071887E-4</v>
      </c>
      <c r="AT4" s="55">
        <v>1.1849932545406904E-4</v>
      </c>
      <c r="AU4" s="55">
        <v>3.7498314625318609E-5</v>
      </c>
      <c r="AV4" s="55">
        <v>4.4630141778054498E-5</v>
      </c>
      <c r="AW4" s="55">
        <v>8.6979477729166822E-5</v>
      </c>
      <c r="AX4" s="55">
        <v>2.4866604902646475E-5</v>
      </c>
      <c r="AY4" s="55">
        <v>8.5022682001440741E-5</v>
      </c>
      <c r="AZ4" s="55">
        <v>1.0535253898738473E-5</v>
      </c>
      <c r="BA4" s="55">
        <v>8.2497574368042901E-4</v>
      </c>
      <c r="BB4" s="55">
        <v>3.780525170747311E-4</v>
      </c>
      <c r="BC4" s="55">
        <v>1.1514602948215057E-4</v>
      </c>
      <c r="BD4" s="55">
        <v>1.3954496903172847E-4</v>
      </c>
      <c r="BE4" s="55">
        <v>1.2963604535690582E-4</v>
      </c>
      <c r="BF4" s="55">
        <v>2.3618937653499396E-3</v>
      </c>
      <c r="BG4" s="55">
        <v>1.6145005981473697E-5</v>
      </c>
      <c r="BH4" s="55">
        <v>1.2835617636286812E-3</v>
      </c>
      <c r="BI4" s="55">
        <v>3.5605387293922405E-5</v>
      </c>
      <c r="BJ4" s="55">
        <v>0</v>
      </c>
      <c r="BK4" s="55">
        <v>2.7522873902132268E-5</v>
      </c>
      <c r="BL4" s="55">
        <v>5.0334131970917873E-6</v>
      </c>
      <c r="BM4" s="55">
        <v>0</v>
      </c>
    </row>
    <row r="5" spans="1:65" x14ac:dyDescent="0.25">
      <c r="A5" s="53" t="s">
        <v>64</v>
      </c>
      <c r="B5" s="54" t="s">
        <v>2</v>
      </c>
      <c r="C5" s="55">
        <v>3.7449379340736727E-5</v>
      </c>
      <c r="D5" s="55">
        <v>4.565725647981931E-5</v>
      </c>
      <c r="E5" s="55">
        <v>1.0062964272946948</v>
      </c>
      <c r="F5" s="55">
        <v>5.8704006033999642E-6</v>
      </c>
      <c r="G5" s="55">
        <v>5.343954729888052E-5</v>
      </c>
      <c r="H5" s="55">
        <v>1.3861597771308291E-4</v>
      </c>
      <c r="I5" s="55">
        <v>2.0416726989877889E-4</v>
      </c>
      <c r="J5" s="55">
        <v>1.9064557675358269E-4</v>
      </c>
      <c r="K5" s="55">
        <v>2.2736560280355194E-4</v>
      </c>
      <c r="L5" s="55">
        <v>1.7406759080651981E-4</v>
      </c>
      <c r="M5" s="55">
        <v>7.6477231410716957E-4</v>
      </c>
      <c r="N5" s="55">
        <v>2.44136143650767E-4</v>
      </c>
      <c r="O5" s="55">
        <v>1.7948698866888458E-4</v>
      </c>
      <c r="P5" s="55">
        <v>3.6053275205924125E-5</v>
      </c>
      <c r="Q5" s="55">
        <v>1.1468453109309457E-4</v>
      </c>
      <c r="R5" s="55">
        <v>2.4034581277711378E-4</v>
      </c>
      <c r="S5" s="55">
        <v>3.1614830443339724E-5</v>
      </c>
      <c r="T5" s="55">
        <v>3.525736546695709E-5</v>
      </c>
      <c r="U5" s="55">
        <v>1.7447114333483764E-4</v>
      </c>
      <c r="V5" s="55">
        <v>2.4321221962519466E-4</v>
      </c>
      <c r="W5" s="55">
        <v>4.1729255331244267E-4</v>
      </c>
      <c r="X5" s="55">
        <v>3.4438721995997589E-4</v>
      </c>
      <c r="Y5" s="55">
        <v>3.8395462091448366E-4</v>
      </c>
      <c r="Z5" s="55">
        <v>1.2422040957823084E-4</v>
      </c>
      <c r="AA5" s="55">
        <v>1.2213694719224227E-4</v>
      </c>
      <c r="AB5" s="55">
        <v>2.8017788075605554E-4</v>
      </c>
      <c r="AC5" s="55">
        <v>1.0880300996350747E-4</v>
      </c>
      <c r="AD5" s="55">
        <v>1.0345817209556418E-4</v>
      </c>
      <c r="AE5" s="55">
        <v>1.8439109748621919E-4</v>
      </c>
      <c r="AF5" s="55">
        <v>1.2847220796656186E-4</v>
      </c>
      <c r="AG5" s="55">
        <v>1.6215245734965363E-4</v>
      </c>
      <c r="AH5" s="55">
        <v>1.0514689744988447E-4</v>
      </c>
      <c r="AI5" s="55">
        <v>4.341530640958057E-4</v>
      </c>
      <c r="AJ5" s="55">
        <v>7.2867064191127557E-5</v>
      </c>
      <c r="AK5" s="55">
        <v>2.0167127607998304E-4</v>
      </c>
      <c r="AL5" s="55">
        <v>3.2571908520325158E-5</v>
      </c>
      <c r="AM5" s="55">
        <v>8.2007489813409832E-5</v>
      </c>
      <c r="AN5" s="55">
        <v>1.5403769805949645E-4</v>
      </c>
      <c r="AO5" s="55">
        <v>1.9201968871433532E-4</v>
      </c>
      <c r="AP5" s="55">
        <v>1.1862566320320547E-4</v>
      </c>
      <c r="AQ5" s="55">
        <v>3.1532030035335624E-5</v>
      </c>
      <c r="AR5" s="55">
        <v>1.1650801239844813E-4</v>
      </c>
      <c r="AS5" s="55">
        <v>3.6873837147191949E-4</v>
      </c>
      <c r="AT5" s="55">
        <v>1.1093214176340072E-4</v>
      </c>
      <c r="AU5" s="55">
        <v>9.4945296601127495E-5</v>
      </c>
      <c r="AV5" s="55">
        <v>1.057427068278424E-4</v>
      </c>
      <c r="AW5" s="55">
        <v>1.3207704954260578E-4</v>
      </c>
      <c r="AX5" s="55">
        <v>4.6599010433563815E-5</v>
      </c>
      <c r="AY5" s="55">
        <v>2.3333226824587093E-4</v>
      </c>
      <c r="AZ5" s="55">
        <v>2.2457576244118305E-5</v>
      </c>
      <c r="BA5" s="55">
        <v>6.9495727115002882E-4</v>
      </c>
      <c r="BB5" s="55">
        <v>5.4032111454557254E-4</v>
      </c>
      <c r="BC5" s="55">
        <v>1.1160195180869152E-4</v>
      </c>
      <c r="BD5" s="55">
        <v>4.7879713242574702E-5</v>
      </c>
      <c r="BE5" s="55">
        <v>2.5500767113830099E-4</v>
      </c>
      <c r="BF5" s="55">
        <v>7.0510095293998855E-3</v>
      </c>
      <c r="BG5" s="55">
        <v>3.7261476164878761E-5</v>
      </c>
      <c r="BH5" s="55">
        <v>1.0332510560363412E-4</v>
      </c>
      <c r="BI5" s="55">
        <v>4.9555864429911795E-5</v>
      </c>
      <c r="BJ5" s="55">
        <v>0</v>
      </c>
      <c r="BK5" s="55">
        <v>3.4447355605173879E-5</v>
      </c>
      <c r="BL5" s="55">
        <v>9.951180014261664E-6</v>
      </c>
      <c r="BM5" s="55">
        <v>0</v>
      </c>
    </row>
    <row r="6" spans="1:65" x14ac:dyDescent="0.25">
      <c r="A6" s="53" t="s">
        <v>65</v>
      </c>
      <c r="B6" s="54" t="s">
        <v>126</v>
      </c>
      <c r="C6" s="55">
        <v>4.4727273508130723E-3</v>
      </c>
      <c r="D6" s="55">
        <v>3.4634336496105084E-4</v>
      </c>
      <c r="E6" s="55">
        <v>6.3193613664132208E-5</v>
      </c>
      <c r="F6" s="55">
        <v>1.4666557026982765</v>
      </c>
      <c r="G6" s="55">
        <v>2.2380371736099511E-2</v>
      </c>
      <c r="H6" s="55">
        <v>2.8679695388288989E-2</v>
      </c>
      <c r="I6" s="55">
        <v>1.7223526901080442E-5</v>
      </c>
      <c r="J6" s="55">
        <v>1.6921727830559212E-5</v>
      </c>
      <c r="K6" s="55">
        <v>2.122413029673608E-5</v>
      </c>
      <c r="L6" s="55">
        <v>1.5131523936686467E-5</v>
      </c>
      <c r="M6" s="55">
        <v>5.3614834962953742E-4</v>
      </c>
      <c r="N6" s="55">
        <v>2.2047303055639589E-3</v>
      </c>
      <c r="O6" s="55">
        <v>7.8405531192986856E-3</v>
      </c>
      <c r="P6" s="55">
        <v>1.0151486570773696E-4</v>
      </c>
      <c r="Q6" s="55">
        <v>5.2004331272682001E-4</v>
      </c>
      <c r="R6" s="55">
        <v>9.1469670675892164E-6</v>
      </c>
      <c r="S6" s="55">
        <v>7.8310116324276018E-5</v>
      </c>
      <c r="T6" s="55">
        <v>2.1766857759004731E-6</v>
      </c>
      <c r="U6" s="55">
        <v>1.0427685166013122E-5</v>
      </c>
      <c r="V6" s="55">
        <v>1.9253530076197424E-5</v>
      </c>
      <c r="W6" s="55">
        <v>1.028309940843209E-5</v>
      </c>
      <c r="X6" s="55">
        <v>2.9581706512756892E-5</v>
      </c>
      <c r="Y6" s="55">
        <v>2.3898394671441613E-5</v>
      </c>
      <c r="Z6" s="55">
        <v>1.1053934928080076E-5</v>
      </c>
      <c r="AA6" s="55">
        <v>4.6774125536757074E-6</v>
      </c>
      <c r="AB6" s="55">
        <v>1.4152601331279368E-5</v>
      </c>
      <c r="AC6" s="55">
        <v>1.5520055515258132E-5</v>
      </c>
      <c r="AD6" s="55">
        <v>1.4462076756973856E-5</v>
      </c>
      <c r="AE6" s="55">
        <v>6.036712417924018E-5</v>
      </c>
      <c r="AF6" s="55">
        <v>1.8340808337311928E-4</v>
      </c>
      <c r="AG6" s="55">
        <v>1.3367221481114579E-5</v>
      </c>
      <c r="AH6" s="55">
        <v>8.8914604160402289E-6</v>
      </c>
      <c r="AI6" s="55">
        <v>3.6022755436875878E-5</v>
      </c>
      <c r="AJ6" s="55">
        <v>1.0594059252253581E-5</v>
      </c>
      <c r="AK6" s="55">
        <v>3.9225307472228631E-5</v>
      </c>
      <c r="AL6" s="55">
        <v>5.9350130715558582E-5</v>
      </c>
      <c r="AM6" s="55">
        <v>1.9221545454583418E-5</v>
      </c>
      <c r="AN6" s="55">
        <v>8.8263241693352789E-6</v>
      </c>
      <c r="AO6" s="55">
        <v>3.7702856565388828E-5</v>
      </c>
      <c r="AP6" s="55">
        <v>5.544864373902342E-5</v>
      </c>
      <c r="AQ6" s="55">
        <v>4.994578465772171E-6</v>
      </c>
      <c r="AR6" s="55">
        <v>1.0503834891484919E-3</v>
      </c>
      <c r="AS6" s="55">
        <v>2.1452220780960287E-5</v>
      </c>
      <c r="AT6" s="55">
        <v>5.7804127005585422E-5</v>
      </c>
      <c r="AU6" s="55">
        <v>7.6643601391837792E-6</v>
      </c>
      <c r="AV6" s="55">
        <v>2.5878013889854779E-4</v>
      </c>
      <c r="AW6" s="55">
        <v>2.0897435909695499E-5</v>
      </c>
      <c r="AX6" s="55">
        <v>4.2611743828741435E-5</v>
      </c>
      <c r="AY6" s="55">
        <v>1.0968551603831192E-5</v>
      </c>
      <c r="AZ6" s="55">
        <v>3.171915293462906E-6</v>
      </c>
      <c r="BA6" s="55">
        <v>4.6901002969853466E-5</v>
      </c>
      <c r="BB6" s="55">
        <v>2.1522837688111997E-5</v>
      </c>
      <c r="BC6" s="55">
        <v>1.4247403685918699E-5</v>
      </c>
      <c r="BD6" s="55">
        <v>1.810574720950803E-5</v>
      </c>
      <c r="BE6" s="55">
        <v>3.9413966738283396E-5</v>
      </c>
      <c r="BF6" s="55">
        <v>7.7961695302626097E-5</v>
      </c>
      <c r="BG6" s="55">
        <v>7.8671121619944455E-6</v>
      </c>
      <c r="BH6" s="55">
        <v>1.5045039104233915E-5</v>
      </c>
      <c r="BI6" s="55">
        <v>1.7531050219664777E-5</v>
      </c>
      <c r="BJ6" s="55">
        <v>0</v>
      </c>
      <c r="BK6" s="55">
        <v>5.6983559972565941E-6</v>
      </c>
      <c r="BL6" s="55">
        <v>1.1974967813044015E-6</v>
      </c>
      <c r="BM6" s="55">
        <v>0</v>
      </c>
    </row>
    <row r="7" spans="1:65" x14ac:dyDescent="0.25">
      <c r="A7" s="53" t="s">
        <v>66</v>
      </c>
      <c r="B7" s="54" t="s">
        <v>19</v>
      </c>
      <c r="C7" s="55">
        <v>6.1709221862213871E-2</v>
      </c>
      <c r="D7" s="55">
        <v>7.2818330799975153E-3</v>
      </c>
      <c r="E7" s="55">
        <v>2.3693618923660276E-5</v>
      </c>
      <c r="F7" s="55">
        <v>1.1714735660754731E-2</v>
      </c>
      <c r="G7" s="55">
        <v>1.0143418320385598</v>
      </c>
      <c r="H7" s="55">
        <v>2.4593150348347167E-4</v>
      </c>
      <c r="I7" s="55">
        <v>1.0386749547214939E-4</v>
      </c>
      <c r="J7" s="55">
        <v>5.8435560441100617E-5</v>
      </c>
      <c r="K7" s="55">
        <v>4.7029811857183219E-5</v>
      </c>
      <c r="L7" s="55">
        <v>8.9921488829046721E-5</v>
      </c>
      <c r="M7" s="55">
        <v>3.6311471562179261E-3</v>
      </c>
      <c r="N7" s="55">
        <v>2.2918804814383344E-4</v>
      </c>
      <c r="O7" s="55">
        <v>3.9646256822081609E-4</v>
      </c>
      <c r="P7" s="55">
        <v>5.0152948351225945E-6</v>
      </c>
      <c r="Q7" s="55">
        <v>7.1939434215033914E-4</v>
      </c>
      <c r="R7" s="55">
        <v>2.3477058974132688E-5</v>
      </c>
      <c r="S7" s="55">
        <v>8.2231497005302727E-6</v>
      </c>
      <c r="T7" s="55">
        <v>4.1457569606503696E-6</v>
      </c>
      <c r="U7" s="55">
        <v>1.3162005610271457E-5</v>
      </c>
      <c r="V7" s="55">
        <v>5.917690022007694E-5</v>
      </c>
      <c r="W7" s="55">
        <v>2.98633452286108E-5</v>
      </c>
      <c r="X7" s="55">
        <v>6.992009184442968E-5</v>
      </c>
      <c r="Y7" s="55">
        <v>3.3302347560794002E-5</v>
      </c>
      <c r="Z7" s="55">
        <v>2.6073950895918395E-5</v>
      </c>
      <c r="AA7" s="55">
        <v>1.0215244127087033E-5</v>
      </c>
      <c r="AB7" s="55">
        <v>2.6877724335708089E-5</v>
      </c>
      <c r="AC7" s="55">
        <v>1.0354011936419849E-5</v>
      </c>
      <c r="AD7" s="55">
        <v>9.8140734687009711E-6</v>
      </c>
      <c r="AE7" s="55">
        <v>2.7345775979207546E-5</v>
      </c>
      <c r="AF7" s="55">
        <v>2.0131321746102753E-5</v>
      </c>
      <c r="AG7" s="55">
        <v>2.0980357206461505E-5</v>
      </c>
      <c r="AH7" s="55">
        <v>3.4377601917103982E-5</v>
      </c>
      <c r="AI7" s="55">
        <v>4.0223406564088044E-5</v>
      </c>
      <c r="AJ7" s="55">
        <v>1.7772903095477302E-5</v>
      </c>
      <c r="AK7" s="55">
        <v>5.3713964256911743E-5</v>
      </c>
      <c r="AL7" s="55">
        <v>2.3810749292337559E-3</v>
      </c>
      <c r="AM7" s="55">
        <v>4.7127605366184923E-4</v>
      </c>
      <c r="AN7" s="55">
        <v>1.4753287738618338E-5</v>
      </c>
      <c r="AO7" s="55">
        <v>5.236125450799106E-5</v>
      </c>
      <c r="AP7" s="55">
        <v>6.0323764735137681E-5</v>
      </c>
      <c r="AQ7" s="55">
        <v>5.9625889393146669E-6</v>
      </c>
      <c r="AR7" s="55">
        <v>5.1235971119959926E-5</v>
      </c>
      <c r="AS7" s="55">
        <v>4.6417876043545038E-5</v>
      </c>
      <c r="AT7" s="55">
        <v>2.1996307104845488E-5</v>
      </c>
      <c r="AU7" s="55">
        <v>1.2284284962708339E-5</v>
      </c>
      <c r="AV7" s="55">
        <v>2.2396637049670045E-5</v>
      </c>
      <c r="AW7" s="55">
        <v>1.3962784932028308E-5</v>
      </c>
      <c r="AX7" s="55">
        <v>7.6931222421076673E-6</v>
      </c>
      <c r="AY7" s="55">
        <v>3.2864817781081448E-5</v>
      </c>
      <c r="AZ7" s="55">
        <v>3.4554730134597331E-6</v>
      </c>
      <c r="BA7" s="55">
        <v>6.5220177547197012E-5</v>
      </c>
      <c r="BB7" s="55">
        <v>7.307776415907386E-5</v>
      </c>
      <c r="BC7" s="55">
        <v>3.003715000584692E-5</v>
      </c>
      <c r="BD7" s="55">
        <v>7.2342819895052587E-6</v>
      </c>
      <c r="BE7" s="55">
        <v>4.9021620000601637E-5</v>
      </c>
      <c r="BF7" s="55">
        <v>2.4306697862341877E-4</v>
      </c>
      <c r="BG7" s="55">
        <v>9.0721864099953352E-6</v>
      </c>
      <c r="BH7" s="55">
        <v>3.8327390266635348E-5</v>
      </c>
      <c r="BI7" s="55">
        <v>1.4909634412648119E-5</v>
      </c>
      <c r="BJ7" s="55">
        <v>0</v>
      </c>
      <c r="BK7" s="55">
        <v>2.9710105374263424E-5</v>
      </c>
      <c r="BL7" s="55">
        <v>2.1823381958141227E-5</v>
      </c>
      <c r="BM7" s="55">
        <v>0</v>
      </c>
    </row>
    <row r="8" spans="1:65" x14ac:dyDescent="0.25">
      <c r="A8" s="53" t="s">
        <v>67</v>
      </c>
      <c r="B8" s="54" t="s">
        <v>3</v>
      </c>
      <c r="C8" s="55">
        <v>3.1673146985762411E-4</v>
      </c>
      <c r="D8" s="55">
        <v>3.748784548092134E-5</v>
      </c>
      <c r="E8" s="55">
        <v>5.6656320607216232E-6</v>
      </c>
      <c r="F8" s="55">
        <v>6.5444772547410112E-6</v>
      </c>
      <c r="G8" s="55">
        <v>1.571768023431969E-5</v>
      </c>
      <c r="H8" s="55">
        <v>1.0060518250848045</v>
      </c>
      <c r="I8" s="55">
        <v>6.0405746105251856E-5</v>
      </c>
      <c r="J8" s="55">
        <v>1.9120178703822709E-5</v>
      </c>
      <c r="K8" s="55">
        <v>1.9575227433960856E-5</v>
      </c>
      <c r="L8" s="55">
        <v>1.6637174185922864E-5</v>
      </c>
      <c r="M8" s="55">
        <v>5.4392095663174204E-5</v>
      </c>
      <c r="N8" s="55">
        <v>2.3863787458049422E-5</v>
      </c>
      <c r="O8" s="55">
        <v>3.5330620239618843E-5</v>
      </c>
      <c r="P8" s="55">
        <v>1.5893026404019892E-5</v>
      </c>
      <c r="Q8" s="55">
        <v>1.3810941067510449E-5</v>
      </c>
      <c r="R8" s="55">
        <v>6.9450002831807491E-6</v>
      </c>
      <c r="S8" s="55">
        <v>8.172942391232781E-6</v>
      </c>
      <c r="T8" s="55">
        <v>2.209383027715459E-6</v>
      </c>
      <c r="U8" s="55">
        <v>1.1742235362613075E-5</v>
      </c>
      <c r="V8" s="55">
        <v>1.4981745416109801E-5</v>
      </c>
      <c r="W8" s="55">
        <v>7.5395208488603024E-6</v>
      </c>
      <c r="X8" s="55">
        <v>5.7508858191238673E-5</v>
      </c>
      <c r="Y8" s="55">
        <v>2.026326535883011E-5</v>
      </c>
      <c r="Z8" s="55">
        <v>1.6221153404561609E-5</v>
      </c>
      <c r="AA8" s="55">
        <v>5.125703313699952E-6</v>
      </c>
      <c r="AB8" s="55">
        <v>1.7103106454342715E-5</v>
      </c>
      <c r="AC8" s="55">
        <v>6.5404935595343943E-6</v>
      </c>
      <c r="AD8" s="55">
        <v>6.2111192719243821E-6</v>
      </c>
      <c r="AE8" s="55">
        <v>8.7898653376306814E-4</v>
      </c>
      <c r="AF8" s="55">
        <v>5.8289721349054652E-3</v>
      </c>
      <c r="AG8" s="55">
        <v>1.4317226565946895E-5</v>
      </c>
      <c r="AH8" s="55">
        <v>2.1969293672993962E-5</v>
      </c>
      <c r="AI8" s="55">
        <v>2.3057240219635683E-5</v>
      </c>
      <c r="AJ8" s="55">
        <v>3.4193065587041968E-6</v>
      </c>
      <c r="AK8" s="55">
        <v>2.1711743093730706E-5</v>
      </c>
      <c r="AL8" s="55">
        <v>3.9868584998993612E-6</v>
      </c>
      <c r="AM8" s="55">
        <v>2.27055264143254E-5</v>
      </c>
      <c r="AN8" s="55">
        <v>8.7336166362032611E-6</v>
      </c>
      <c r="AO8" s="55">
        <v>2.1904630753121089E-5</v>
      </c>
      <c r="AP8" s="55">
        <v>2.55717510571353E-5</v>
      </c>
      <c r="AQ8" s="55">
        <v>2.6532103442657533E-6</v>
      </c>
      <c r="AR8" s="55">
        <v>3.8087616818510063E-5</v>
      </c>
      <c r="AS8" s="55">
        <v>1.8649993714761489E-5</v>
      </c>
      <c r="AT8" s="55">
        <v>2.2806819794762543E-5</v>
      </c>
      <c r="AU8" s="55">
        <v>2.0309504487826807E-5</v>
      </c>
      <c r="AV8" s="55">
        <v>6.0235209667402425E-6</v>
      </c>
      <c r="AW8" s="55">
        <v>3.6546837083639565E-5</v>
      </c>
      <c r="AX8" s="55">
        <v>1.5342138477207545E-6</v>
      </c>
      <c r="AY8" s="55">
        <v>1.5056749070940265E-5</v>
      </c>
      <c r="AZ8" s="55">
        <v>1.7798518953413528E-6</v>
      </c>
      <c r="BA8" s="55">
        <v>4.3490345567751279E-5</v>
      </c>
      <c r="BB8" s="55">
        <v>4.8649276834455582E-5</v>
      </c>
      <c r="BC8" s="55">
        <v>9.0146753264792545E-6</v>
      </c>
      <c r="BD8" s="55">
        <v>6.6732051645994558E-6</v>
      </c>
      <c r="BE8" s="55">
        <v>7.4062941623029112E-5</v>
      </c>
      <c r="BF8" s="55">
        <v>4.7958180753803768E-5</v>
      </c>
      <c r="BG8" s="55">
        <v>6.9315427771083263E-6</v>
      </c>
      <c r="BH8" s="55">
        <v>2.9792361679204661E-5</v>
      </c>
      <c r="BI8" s="55">
        <v>2.5592738393145139E-5</v>
      </c>
      <c r="BJ8" s="55">
        <v>0</v>
      </c>
      <c r="BK8" s="55">
        <v>5.9258852873275891E-6</v>
      </c>
      <c r="BL8" s="55">
        <v>2.3908275704516756E-6</v>
      </c>
      <c r="BM8" s="55">
        <v>0</v>
      </c>
    </row>
    <row r="9" spans="1:65" x14ac:dyDescent="0.25">
      <c r="A9" s="53" t="s">
        <v>68</v>
      </c>
      <c r="B9" s="54" t="s">
        <v>127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1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  <c r="AS9" s="55">
        <v>0</v>
      </c>
      <c r="AT9" s="55">
        <v>0</v>
      </c>
      <c r="AU9" s="55">
        <v>0</v>
      </c>
      <c r="AV9" s="55">
        <v>0</v>
      </c>
      <c r="AW9" s="55">
        <v>0</v>
      </c>
      <c r="AX9" s="55">
        <v>0</v>
      </c>
      <c r="AY9" s="55">
        <v>0</v>
      </c>
      <c r="AZ9" s="55">
        <v>0</v>
      </c>
      <c r="BA9" s="55">
        <v>0</v>
      </c>
      <c r="BB9" s="55">
        <v>0</v>
      </c>
      <c r="BC9" s="55">
        <v>0</v>
      </c>
      <c r="BD9" s="55">
        <v>0</v>
      </c>
      <c r="BE9" s="55">
        <v>0</v>
      </c>
      <c r="BF9" s="55">
        <v>0</v>
      </c>
      <c r="BG9" s="55">
        <v>0</v>
      </c>
      <c r="BH9" s="55">
        <v>0</v>
      </c>
      <c r="BI9" s="55">
        <v>0</v>
      </c>
      <c r="BJ9" s="55">
        <v>0</v>
      </c>
      <c r="BK9" s="55">
        <v>0</v>
      </c>
      <c r="BL9" s="55">
        <v>0</v>
      </c>
      <c r="BM9" s="55">
        <v>0</v>
      </c>
    </row>
    <row r="10" spans="1:65" x14ac:dyDescent="0.25">
      <c r="A10" s="53" t="s">
        <v>69</v>
      </c>
      <c r="B10" s="54" t="s">
        <v>128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1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  <c r="AS10" s="55">
        <v>0</v>
      </c>
      <c r="AT10" s="55">
        <v>0</v>
      </c>
      <c r="AU10" s="55">
        <v>0</v>
      </c>
      <c r="AV10" s="55">
        <v>0</v>
      </c>
      <c r="AW10" s="55">
        <v>0</v>
      </c>
      <c r="AX10" s="55">
        <v>0</v>
      </c>
      <c r="AY10" s="55">
        <v>0</v>
      </c>
      <c r="AZ10" s="55">
        <v>0</v>
      </c>
      <c r="BA10" s="55">
        <v>0</v>
      </c>
      <c r="BB10" s="55">
        <v>0</v>
      </c>
      <c r="BC10" s="55">
        <v>0</v>
      </c>
      <c r="BD10" s="55">
        <v>0</v>
      </c>
      <c r="BE10" s="55">
        <v>0</v>
      </c>
      <c r="BF10" s="55">
        <v>0</v>
      </c>
      <c r="BG10" s="55">
        <v>0</v>
      </c>
      <c r="BH10" s="55">
        <v>0</v>
      </c>
      <c r="BI10" s="55">
        <v>0</v>
      </c>
      <c r="BJ10" s="55">
        <v>0</v>
      </c>
      <c r="BK10" s="55">
        <v>0</v>
      </c>
      <c r="BL10" s="55">
        <v>0</v>
      </c>
      <c r="BM10" s="55">
        <v>0</v>
      </c>
    </row>
    <row r="11" spans="1:65" x14ac:dyDescent="0.25">
      <c r="A11" s="53" t="s">
        <v>70</v>
      </c>
      <c r="B11" s="54" t="s">
        <v>129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1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  <c r="AS11" s="55">
        <v>0</v>
      </c>
      <c r="AT11" s="55">
        <v>0</v>
      </c>
      <c r="AU11" s="55">
        <v>0</v>
      </c>
      <c r="AV11" s="55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5">
        <v>0</v>
      </c>
      <c r="BC11" s="55">
        <v>0</v>
      </c>
      <c r="BD11" s="55">
        <v>0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55">
        <v>0</v>
      </c>
    </row>
    <row r="12" spans="1:65" x14ac:dyDescent="0.25">
      <c r="A12" s="53" t="s">
        <v>71</v>
      </c>
      <c r="B12" s="54" t="s">
        <v>130</v>
      </c>
      <c r="C12" s="55">
        <v>7.2461512143155594E-3</v>
      </c>
      <c r="D12" s="55">
        <v>5.1007552625819798E-3</v>
      </c>
      <c r="E12" s="55">
        <v>0.12454484419140537</v>
      </c>
      <c r="F12" s="55">
        <v>6.263861657260049E-4</v>
      </c>
      <c r="G12" s="55">
        <v>7.2731014205866433E-3</v>
      </c>
      <c r="H12" s="55">
        <v>5.3256445040705336E-3</v>
      </c>
      <c r="I12" s="55">
        <v>7.4641808836056148E-3</v>
      </c>
      <c r="J12" s="55">
        <v>7.4046540694131082E-3</v>
      </c>
      <c r="K12" s="55">
        <v>8.3134403705927267E-3</v>
      </c>
      <c r="L12" s="55">
        <v>1.0062213628094125</v>
      </c>
      <c r="M12" s="55">
        <v>1.5281371756612941E-2</v>
      </c>
      <c r="N12" s="55">
        <v>8.2931367982437987E-3</v>
      </c>
      <c r="O12" s="55">
        <v>7.8488918199393441E-3</v>
      </c>
      <c r="P12" s="55">
        <v>2.1613110555420549E-3</v>
      </c>
      <c r="Q12" s="55">
        <v>3.9241375134791969E-3</v>
      </c>
      <c r="R12" s="55">
        <v>2.9475651781993163E-2</v>
      </c>
      <c r="S12" s="55">
        <v>1.0705442175453531E-3</v>
      </c>
      <c r="T12" s="55">
        <v>1.3229419242997825E-3</v>
      </c>
      <c r="U12" s="55">
        <v>3.0259963424898351E-3</v>
      </c>
      <c r="V12" s="55">
        <v>7.9954441542510676E-3</v>
      </c>
      <c r="W12" s="55">
        <v>1.2364791178446013E-2</v>
      </c>
      <c r="X12" s="55">
        <v>2.158515614032672E-2</v>
      </c>
      <c r="Y12" s="55">
        <v>1.1816587475311013E-2</v>
      </c>
      <c r="Z12" s="55">
        <v>8.5572688792656254E-3</v>
      </c>
      <c r="AA12" s="55">
        <v>3.1521673509893829E-3</v>
      </c>
      <c r="AB12" s="55">
        <v>1.0475069527378525E-2</v>
      </c>
      <c r="AC12" s="55">
        <v>4.9433582958656238E-3</v>
      </c>
      <c r="AD12" s="55">
        <v>4.6895782484264476E-3</v>
      </c>
      <c r="AE12" s="55">
        <v>5.2703735977640262E-2</v>
      </c>
      <c r="AF12" s="55">
        <v>3.8836805063732049E-2</v>
      </c>
      <c r="AG12" s="55">
        <v>7.0905293649169438E-3</v>
      </c>
      <c r="AH12" s="55">
        <v>8.1845048722257834E-3</v>
      </c>
      <c r="AI12" s="55">
        <v>1.9184346010198906E-2</v>
      </c>
      <c r="AJ12" s="55">
        <v>2.6133594267160874E-3</v>
      </c>
      <c r="AK12" s="55">
        <v>1.4116043426368213E-2</v>
      </c>
      <c r="AL12" s="55">
        <v>8.2280107744866979E-2</v>
      </c>
      <c r="AM12" s="55">
        <v>2.0337121350200934E-2</v>
      </c>
      <c r="AN12" s="55">
        <v>5.4231692674223076E-3</v>
      </c>
      <c r="AO12" s="55">
        <v>1.5876903456884275E-2</v>
      </c>
      <c r="AP12" s="55">
        <v>1.2739919312666206E-2</v>
      </c>
      <c r="AQ12" s="55">
        <v>1.8856179433867336E-3</v>
      </c>
      <c r="AR12" s="55">
        <v>2.0092033445758755E-2</v>
      </c>
      <c r="AS12" s="55">
        <v>1.2838811320028041E-2</v>
      </c>
      <c r="AT12" s="55">
        <v>1.3373190774779163E-2</v>
      </c>
      <c r="AU12" s="55">
        <v>5.0105125807103877E-3</v>
      </c>
      <c r="AV12" s="55">
        <v>3.7865575176357666E-3</v>
      </c>
      <c r="AW12" s="55">
        <v>7.4493368076366364E-3</v>
      </c>
      <c r="AX12" s="55">
        <v>1.3287367385182436E-3</v>
      </c>
      <c r="AY12" s="55">
        <v>3.8219837502903843E-2</v>
      </c>
      <c r="AZ12" s="55">
        <v>1.0762011917936523E-3</v>
      </c>
      <c r="BA12" s="55">
        <v>1.4793948151653007E-2</v>
      </c>
      <c r="BB12" s="55">
        <v>1.1830199586030016E-2</v>
      </c>
      <c r="BC12" s="55">
        <v>6.2644358765830532E-3</v>
      </c>
      <c r="BD12" s="55">
        <v>2.2927835978030727E-3</v>
      </c>
      <c r="BE12" s="55">
        <v>4.836683089073502E-2</v>
      </c>
      <c r="BF12" s="55">
        <v>3.1755821251788281E-2</v>
      </c>
      <c r="BG12" s="55">
        <v>3.0348373392998624E-3</v>
      </c>
      <c r="BH12" s="55">
        <v>1.7105506093646264E-2</v>
      </c>
      <c r="BI12" s="55">
        <v>5.2626753033313683E-3</v>
      </c>
      <c r="BJ12" s="55">
        <v>0</v>
      </c>
      <c r="BK12" s="55">
        <v>1.228498185459783E-2</v>
      </c>
      <c r="BL12" s="55">
        <v>1.7828787597026926E-3</v>
      </c>
      <c r="BM12" s="55">
        <v>0</v>
      </c>
    </row>
    <row r="13" spans="1:65" x14ac:dyDescent="0.25">
      <c r="A13" s="53" t="s">
        <v>72</v>
      </c>
      <c r="B13" s="54" t="s">
        <v>131</v>
      </c>
      <c r="C13" s="55">
        <v>7.6541780700319507E-4</v>
      </c>
      <c r="D13" s="55">
        <v>2.6952883813142699E-2</v>
      </c>
      <c r="E13" s="55">
        <v>1.5157133242505317E-3</v>
      </c>
      <c r="F13" s="55">
        <v>1.1134221201324437E-3</v>
      </c>
      <c r="G13" s="55">
        <v>2.1432872080156804E-3</v>
      </c>
      <c r="H13" s="55">
        <v>8.1534033538051645E-4</v>
      </c>
      <c r="I13" s="55">
        <v>1.1411771442620625E-3</v>
      </c>
      <c r="J13" s="55">
        <v>1.0691047741027671E-3</v>
      </c>
      <c r="K13" s="55">
        <v>1.2647045080431143E-3</v>
      </c>
      <c r="L13" s="55">
        <v>9.7735122005929132E-4</v>
      </c>
      <c r="M13" s="55">
        <v>1.0301660460992947</v>
      </c>
      <c r="N13" s="55">
        <v>5.6367097076391974E-2</v>
      </c>
      <c r="O13" s="55">
        <v>3.0751347472055134E-3</v>
      </c>
      <c r="P13" s="55">
        <v>2.6926597926123209E-4</v>
      </c>
      <c r="Q13" s="55">
        <v>7.8948898992681833E-4</v>
      </c>
      <c r="R13" s="55">
        <v>1.309334867992471E-3</v>
      </c>
      <c r="S13" s="55">
        <v>2.9048509047971697E-4</v>
      </c>
      <c r="T13" s="55">
        <v>2.2327967159795479E-4</v>
      </c>
      <c r="U13" s="55">
        <v>9.6955006978283783E-4</v>
      </c>
      <c r="V13" s="55">
        <v>2.8488716008083191E-3</v>
      </c>
      <c r="W13" s="55">
        <v>3.5811492001611087E-3</v>
      </c>
      <c r="X13" s="55">
        <v>1.9404714236920771E-3</v>
      </c>
      <c r="Y13" s="55">
        <v>2.2211509604343274E-3</v>
      </c>
      <c r="Z13" s="55">
        <v>2.3541091141695419E-3</v>
      </c>
      <c r="AA13" s="55">
        <v>7.20397734008197E-4</v>
      </c>
      <c r="AB13" s="55">
        <v>1.5802417007069016E-3</v>
      </c>
      <c r="AC13" s="55">
        <v>6.1858722420789767E-4</v>
      </c>
      <c r="AD13" s="55">
        <v>5.8795288108502459E-4</v>
      </c>
      <c r="AE13" s="55">
        <v>1.0434426242101429E-3</v>
      </c>
      <c r="AF13" s="55">
        <v>7.2261614056670545E-4</v>
      </c>
      <c r="AG13" s="55">
        <v>1.0852637456744585E-3</v>
      </c>
      <c r="AH13" s="55">
        <v>6.3711119800793274E-4</v>
      </c>
      <c r="AI13" s="55">
        <v>2.4138987012232941E-3</v>
      </c>
      <c r="AJ13" s="55">
        <v>4.1591355700941804E-4</v>
      </c>
      <c r="AK13" s="55">
        <v>1.1864227227106905E-3</v>
      </c>
      <c r="AL13" s="55">
        <v>1.984329727342598E-4</v>
      </c>
      <c r="AM13" s="55">
        <v>4.7312985250497279E-4</v>
      </c>
      <c r="AN13" s="55">
        <v>8.7533852743979174E-4</v>
      </c>
      <c r="AO13" s="55">
        <v>1.1734315103157618E-3</v>
      </c>
      <c r="AP13" s="55">
        <v>7.0676484961298058E-4</v>
      </c>
      <c r="AQ13" s="55">
        <v>1.855397535097866E-4</v>
      </c>
      <c r="AR13" s="55">
        <v>9.9189062412713782E-4</v>
      </c>
      <c r="AS13" s="55">
        <v>2.5928351745548688E-3</v>
      </c>
      <c r="AT13" s="55">
        <v>6.4342892543706198E-4</v>
      </c>
      <c r="AU13" s="55">
        <v>5.3729874937714851E-4</v>
      </c>
      <c r="AV13" s="55">
        <v>6.0282645407956398E-4</v>
      </c>
      <c r="AW13" s="55">
        <v>7.6820249250937167E-4</v>
      </c>
      <c r="AX13" s="55">
        <v>2.657611953477808E-4</v>
      </c>
      <c r="AY13" s="55">
        <v>1.2760276187304736E-3</v>
      </c>
      <c r="AZ13" s="55">
        <v>1.2696892936952782E-4</v>
      </c>
      <c r="BA13" s="55">
        <v>4.2377890949658126E-3</v>
      </c>
      <c r="BB13" s="55">
        <v>1.0740585140117356E-2</v>
      </c>
      <c r="BC13" s="55">
        <v>3.8936708987544659E-3</v>
      </c>
      <c r="BD13" s="55">
        <v>3.1280974029255728E-4</v>
      </c>
      <c r="BE13" s="55">
        <v>1.8842772282175201E-3</v>
      </c>
      <c r="BF13" s="55">
        <v>3.7663318317141141E-2</v>
      </c>
      <c r="BG13" s="55">
        <v>2.1710887570272893E-4</v>
      </c>
      <c r="BH13" s="55">
        <v>1.0051810743546832E-3</v>
      </c>
      <c r="BI13" s="55">
        <v>4.9697384542744414E-4</v>
      </c>
      <c r="BJ13" s="55">
        <v>0</v>
      </c>
      <c r="BK13" s="55">
        <v>6.7902800915314269E-4</v>
      </c>
      <c r="BL13" s="55">
        <v>6.524923239454672E-5</v>
      </c>
      <c r="BM13" s="55">
        <v>0</v>
      </c>
    </row>
    <row r="14" spans="1:65" x14ac:dyDescent="0.25">
      <c r="A14" s="53" t="s">
        <v>73</v>
      </c>
      <c r="B14" s="56" t="s">
        <v>132</v>
      </c>
      <c r="C14" s="55">
        <v>7.0805540376322597E-5</v>
      </c>
      <c r="D14" s="55">
        <v>2.9207173939522373E-4</v>
      </c>
      <c r="E14" s="55">
        <v>6.2281636681750241E-3</v>
      </c>
      <c r="F14" s="55">
        <v>1.6092490198544223E-5</v>
      </c>
      <c r="G14" s="55">
        <v>1.0702394345007079E-4</v>
      </c>
      <c r="H14" s="55">
        <v>2.4522540149113565E-4</v>
      </c>
      <c r="I14" s="55">
        <v>3.5853790356436962E-4</v>
      </c>
      <c r="J14" s="55">
        <v>3.3420720308740192E-4</v>
      </c>
      <c r="K14" s="55">
        <v>3.9781901843343365E-4</v>
      </c>
      <c r="L14" s="55">
        <v>3.0591033452634782E-4</v>
      </c>
      <c r="M14" s="55">
        <v>6.4708857867501928E-3</v>
      </c>
      <c r="N14" s="55">
        <v>1.0273105769170481</v>
      </c>
      <c r="O14" s="55">
        <v>6.2144678454783165E-4</v>
      </c>
      <c r="P14" s="55">
        <v>7.3277325649609299E-5</v>
      </c>
      <c r="Q14" s="55">
        <v>2.1886877619401812E-4</v>
      </c>
      <c r="R14" s="55">
        <v>4.1985606032016106E-4</v>
      </c>
      <c r="S14" s="55">
        <v>6.9601733471924974E-5</v>
      </c>
      <c r="T14" s="55">
        <v>6.5119838104120133E-5</v>
      </c>
      <c r="U14" s="55">
        <v>3.0511198755951019E-4</v>
      </c>
      <c r="V14" s="55">
        <v>6.0537058617312516E-4</v>
      </c>
      <c r="W14" s="55">
        <v>8.8380418837795773E-4</v>
      </c>
      <c r="X14" s="55">
        <v>6.0547261045906808E-4</v>
      </c>
      <c r="Y14" s="55">
        <v>6.8307883220215782E-4</v>
      </c>
      <c r="Z14" s="55">
        <v>4.1672477496490132E-4</v>
      </c>
      <c r="AA14" s="55">
        <v>2.1834225207301511E-4</v>
      </c>
      <c r="AB14" s="55">
        <v>4.9259164537075056E-4</v>
      </c>
      <c r="AC14" s="55">
        <v>1.9232653232545879E-4</v>
      </c>
      <c r="AD14" s="55">
        <v>1.8286243073373758E-4</v>
      </c>
      <c r="AE14" s="55">
        <v>3.2610182691479047E-4</v>
      </c>
      <c r="AF14" s="55">
        <v>2.2656566449215449E-4</v>
      </c>
      <c r="AG14" s="55">
        <v>3.0626146129109446E-4</v>
      </c>
      <c r="AH14" s="55">
        <v>1.9129830420547064E-4</v>
      </c>
      <c r="AI14" s="55">
        <v>7.610302094245144E-4</v>
      </c>
      <c r="AJ14" s="55">
        <v>1.2914737650567115E-4</v>
      </c>
      <c r="AK14" s="55">
        <v>3.6141939416145112E-4</v>
      </c>
      <c r="AL14" s="55">
        <v>6.7903159388856419E-5</v>
      </c>
      <c r="AM14" s="55">
        <v>1.4656432652575513E-4</v>
      </c>
      <c r="AN14" s="55">
        <v>2.7285237872827912E-4</v>
      </c>
      <c r="AO14" s="55">
        <v>3.4988878668663865E-4</v>
      </c>
      <c r="AP14" s="55">
        <v>2.1138184369139749E-4</v>
      </c>
      <c r="AQ14" s="55">
        <v>5.6448924961167188E-5</v>
      </c>
      <c r="AR14" s="55">
        <v>2.1023822797128732E-4</v>
      </c>
      <c r="AS14" s="55">
        <v>6.8096848311159348E-4</v>
      </c>
      <c r="AT14" s="55">
        <v>1.9527044742613804E-4</v>
      </c>
      <c r="AU14" s="55">
        <v>1.6718401829843394E-4</v>
      </c>
      <c r="AV14" s="55">
        <v>1.8674782888845388E-4</v>
      </c>
      <c r="AW14" s="55">
        <v>2.3828389166035836E-4</v>
      </c>
      <c r="AX14" s="55">
        <v>8.4861399223358567E-5</v>
      </c>
      <c r="AY14" s="55">
        <v>4.1825826975072628E-4</v>
      </c>
      <c r="AZ14" s="55">
        <v>3.9592932954670437E-5</v>
      </c>
      <c r="BA14" s="55">
        <v>7.0106135493932793E-4</v>
      </c>
      <c r="BB14" s="55">
        <v>9.0543295926037942E-4</v>
      </c>
      <c r="BC14" s="55">
        <v>5.8850177045431662E-4</v>
      </c>
      <c r="BD14" s="55">
        <v>8.7520129602619329E-5</v>
      </c>
      <c r="BE14" s="55">
        <v>5.0323240474207324E-4</v>
      </c>
      <c r="BF14" s="55">
        <v>1.2122717798782082E-2</v>
      </c>
      <c r="BG14" s="55">
        <v>6.6785474650491361E-5</v>
      </c>
      <c r="BH14" s="55">
        <v>1.8755304351505056E-4</v>
      </c>
      <c r="BI14" s="55">
        <v>3.4379283422069425E-4</v>
      </c>
      <c r="BJ14" s="55">
        <v>0</v>
      </c>
      <c r="BK14" s="55">
        <v>2.7219399961913936E-4</v>
      </c>
      <c r="BL14" s="55">
        <v>4.1854617061846758E-5</v>
      </c>
      <c r="BM14" s="55">
        <v>0</v>
      </c>
    </row>
    <row r="15" spans="1:65" x14ac:dyDescent="0.25">
      <c r="A15" s="53" t="s">
        <v>74</v>
      </c>
      <c r="B15" s="56" t="s">
        <v>133</v>
      </c>
      <c r="C15" s="55">
        <v>1.1570685685478169E-3</v>
      </c>
      <c r="D15" s="55">
        <v>3.4160927605796592E-4</v>
      </c>
      <c r="E15" s="55">
        <v>5.5154858406975685E-3</v>
      </c>
      <c r="F15" s="55">
        <v>4.2091112934918554E-6</v>
      </c>
      <c r="G15" s="55">
        <v>4.6866274652909399E-5</v>
      </c>
      <c r="H15" s="55">
        <v>4.9230593204628158E-4</v>
      </c>
      <c r="I15" s="55">
        <v>4.5172167367292179E-5</v>
      </c>
      <c r="J15" s="55">
        <v>2.4302105428632823E-4</v>
      </c>
      <c r="K15" s="55">
        <v>5.0639917033324874E-4</v>
      </c>
      <c r="L15" s="55">
        <v>4.7104059320657566E-5</v>
      </c>
      <c r="M15" s="55">
        <v>2.6125019509211616E-4</v>
      </c>
      <c r="N15" s="55">
        <v>5.1852876193953098E-4</v>
      </c>
      <c r="O15" s="55">
        <v>1.0159690225022748</v>
      </c>
      <c r="P15" s="55">
        <v>9.1890736092917013E-6</v>
      </c>
      <c r="Q15" s="55">
        <v>3.627388612880419E-4</v>
      </c>
      <c r="R15" s="55">
        <v>2.4685648781826824E-5</v>
      </c>
      <c r="S15" s="55">
        <v>8.8163597514970867E-5</v>
      </c>
      <c r="T15" s="55">
        <v>1.5118616847648559E-5</v>
      </c>
      <c r="U15" s="55">
        <v>1.0903295398992235E-4</v>
      </c>
      <c r="V15" s="55">
        <v>1.3821568969424856E-4</v>
      </c>
      <c r="W15" s="55">
        <v>3.6948071103265493E-5</v>
      </c>
      <c r="X15" s="55">
        <v>3.3754471284222541E-4</v>
      </c>
      <c r="Y15" s="55">
        <v>7.2979721524734538E-5</v>
      </c>
      <c r="Z15" s="55">
        <v>3.1847925280050187E-4</v>
      </c>
      <c r="AA15" s="55">
        <v>2.8428631047803266E-5</v>
      </c>
      <c r="AB15" s="55">
        <v>7.1163311999021965E-5</v>
      </c>
      <c r="AC15" s="55">
        <v>2.3556193906668797E-5</v>
      </c>
      <c r="AD15" s="55">
        <v>2.2385337475433358E-5</v>
      </c>
      <c r="AE15" s="55">
        <v>3.3717396983536887E-5</v>
      </c>
      <c r="AF15" s="55">
        <v>2.4869401186647066E-5</v>
      </c>
      <c r="AG15" s="55">
        <v>2.8946969862868788E-4</v>
      </c>
      <c r="AH15" s="55">
        <v>1.0746187768600255E-4</v>
      </c>
      <c r="AI15" s="55">
        <v>1.4482954345662632E-4</v>
      </c>
      <c r="AJ15" s="55">
        <v>1.7239293700523414E-5</v>
      </c>
      <c r="AK15" s="55">
        <v>7.4937941069205856E-5</v>
      </c>
      <c r="AL15" s="55">
        <v>1.2339836276292903E-4</v>
      </c>
      <c r="AM15" s="55">
        <v>4.2178503847618943E-5</v>
      </c>
      <c r="AN15" s="55">
        <v>1.8265129220183937E-4</v>
      </c>
      <c r="AO15" s="55">
        <v>7.316165477817302E-5</v>
      </c>
      <c r="AP15" s="55">
        <v>3.8835574456322697E-5</v>
      </c>
      <c r="AQ15" s="55">
        <v>9.2629973380673488E-6</v>
      </c>
      <c r="AR15" s="55">
        <v>1.0354927313313131E-4</v>
      </c>
      <c r="AS15" s="55">
        <v>1.6777158565074905E-4</v>
      </c>
      <c r="AT15" s="55">
        <v>3.2602232017285983E-5</v>
      </c>
      <c r="AU15" s="55">
        <v>2.5540991348701191E-5</v>
      </c>
      <c r="AV15" s="55">
        <v>9.9312032528852049E-5</v>
      </c>
      <c r="AW15" s="55">
        <v>4.1788674162866341E-5</v>
      </c>
      <c r="AX15" s="55">
        <v>1.2284708236284443E-5</v>
      </c>
      <c r="AY15" s="55">
        <v>2.7067673308446087E-5</v>
      </c>
      <c r="AZ15" s="55">
        <v>7.0856332301908077E-6</v>
      </c>
      <c r="BA15" s="55">
        <v>3.3090102482768172E-4</v>
      </c>
      <c r="BB15" s="55">
        <v>4.0257064017354372E-4</v>
      </c>
      <c r="BC15" s="55">
        <v>2.3446414522269076E-4</v>
      </c>
      <c r="BD15" s="55">
        <v>5.6940489242058135E-5</v>
      </c>
      <c r="BE15" s="55">
        <v>2.1174202870237677E-4</v>
      </c>
      <c r="BF15" s="55">
        <v>2.3543091080033805E-4</v>
      </c>
      <c r="BG15" s="55">
        <v>5.5286472140771025E-5</v>
      </c>
      <c r="BH15" s="55">
        <v>5.9257066396224516E-4</v>
      </c>
      <c r="BI15" s="55">
        <v>4.0562764046397292E-5</v>
      </c>
      <c r="BJ15" s="55">
        <v>0</v>
      </c>
      <c r="BK15" s="55">
        <v>1.9378435245640124E-5</v>
      </c>
      <c r="BL15" s="55">
        <v>1.173511420506097E-5</v>
      </c>
      <c r="BM15" s="55">
        <v>0</v>
      </c>
    </row>
    <row r="16" spans="1:65" x14ac:dyDescent="0.25">
      <c r="A16" s="53" t="s">
        <v>75</v>
      </c>
      <c r="B16" s="54" t="s">
        <v>134</v>
      </c>
      <c r="C16" s="55">
        <v>6.9589934717700875E-3</v>
      </c>
      <c r="D16" s="55">
        <v>4.4282180438848205E-3</v>
      </c>
      <c r="E16" s="55">
        <v>1.9133566972930335E-2</v>
      </c>
      <c r="F16" s="55">
        <v>2.41370189720014E-3</v>
      </c>
      <c r="G16" s="55">
        <v>3.650187816693812E-3</v>
      </c>
      <c r="H16" s="55">
        <v>7.1614325912973884E-3</v>
      </c>
      <c r="I16" s="55">
        <v>6.9896755761571271E-3</v>
      </c>
      <c r="J16" s="55">
        <v>3.2727040587316857E-3</v>
      </c>
      <c r="K16" s="55">
        <v>4.6304484794378303E-3</v>
      </c>
      <c r="L16" s="55">
        <v>3.1402349706948431E-3</v>
      </c>
      <c r="M16" s="55">
        <v>7.3548761219742395E-3</v>
      </c>
      <c r="N16" s="55">
        <v>3.6446698608572966E-3</v>
      </c>
      <c r="O16" s="55">
        <v>1.2901903607311378E-2</v>
      </c>
      <c r="P16" s="55">
        <v>1.0035588790033421</v>
      </c>
      <c r="Q16" s="55">
        <v>2.1713072310304039E-3</v>
      </c>
      <c r="R16" s="55">
        <v>1.6008766201137465E-2</v>
      </c>
      <c r="S16" s="55">
        <v>1.8829520295440506E-3</v>
      </c>
      <c r="T16" s="55">
        <v>2.0137556851097548E-3</v>
      </c>
      <c r="U16" s="55">
        <v>8.1109909314353613E-3</v>
      </c>
      <c r="V16" s="55">
        <v>1.1770407804598133E-2</v>
      </c>
      <c r="W16" s="55">
        <v>6.569197509323537E-3</v>
      </c>
      <c r="X16" s="55">
        <v>1.1865316178603322E-2</v>
      </c>
      <c r="Y16" s="55">
        <v>3.1787723040889956E-3</v>
      </c>
      <c r="Z16" s="55">
        <v>2.1707201029323099E-3</v>
      </c>
      <c r="AA16" s="55">
        <v>7.0320208561015839E-4</v>
      </c>
      <c r="AB16" s="55">
        <v>2.3495953015712679E-3</v>
      </c>
      <c r="AC16" s="55">
        <v>1.0955001740378643E-3</v>
      </c>
      <c r="AD16" s="55">
        <v>1.0501362031739689E-3</v>
      </c>
      <c r="AE16" s="55">
        <v>0.14004719226922738</v>
      </c>
      <c r="AF16" s="55">
        <v>6.5551569901722076E-2</v>
      </c>
      <c r="AG16" s="55">
        <v>2.2798106753590007E-3</v>
      </c>
      <c r="AH16" s="55">
        <v>2.9793664683809835E-3</v>
      </c>
      <c r="AI16" s="55">
        <v>3.1891280992473892E-3</v>
      </c>
      <c r="AJ16" s="55">
        <v>5.5655357647436704E-4</v>
      </c>
      <c r="AK16" s="55">
        <v>3.2862421640868426E-3</v>
      </c>
      <c r="AL16" s="55">
        <v>1.8169610149726134E-3</v>
      </c>
      <c r="AM16" s="55">
        <v>2.7309515298032582E-3</v>
      </c>
      <c r="AN16" s="55">
        <v>1.7398082718503753E-3</v>
      </c>
      <c r="AO16" s="55">
        <v>3.4136431440559543E-3</v>
      </c>
      <c r="AP16" s="55">
        <v>3.7698282265358051E-3</v>
      </c>
      <c r="AQ16" s="55">
        <v>4.3433490033193604E-4</v>
      </c>
      <c r="AR16" s="55">
        <v>4.9149405488108627E-3</v>
      </c>
      <c r="AS16" s="55">
        <v>2.9757358086261185E-3</v>
      </c>
      <c r="AT16" s="55">
        <v>2.5814252490831109E-3</v>
      </c>
      <c r="AU16" s="55">
        <v>2.7152817783442505E-3</v>
      </c>
      <c r="AV16" s="55">
        <v>1.6068696007314625E-3</v>
      </c>
      <c r="AW16" s="55">
        <v>8.9903209439736141E-3</v>
      </c>
      <c r="AX16" s="55">
        <v>2.5725110186503551E-4</v>
      </c>
      <c r="AY16" s="55">
        <v>1.9156623176153978E-3</v>
      </c>
      <c r="AZ16" s="55">
        <v>2.750857376536588E-4</v>
      </c>
      <c r="BA16" s="55">
        <v>5.7628059838453899E-3</v>
      </c>
      <c r="BB16" s="55">
        <v>5.4671152659964894E-3</v>
      </c>
      <c r="BC16" s="55">
        <v>1.7603107060587583E-3</v>
      </c>
      <c r="BD16" s="55">
        <v>7.5713819176607283E-4</v>
      </c>
      <c r="BE16" s="55">
        <v>8.588678727021808E-3</v>
      </c>
      <c r="BF16" s="55">
        <v>5.7227931894827137E-3</v>
      </c>
      <c r="BG16" s="55">
        <v>1.0525120418708289E-3</v>
      </c>
      <c r="BH16" s="55">
        <v>4.0595798085162381E-3</v>
      </c>
      <c r="BI16" s="55">
        <v>2.8337564743136151E-3</v>
      </c>
      <c r="BJ16" s="55">
        <v>0</v>
      </c>
      <c r="BK16" s="55">
        <v>1.1538453663534644E-3</v>
      </c>
      <c r="BL16" s="55">
        <v>3.7281408542990361E-4</v>
      </c>
      <c r="BM16" s="55">
        <v>0</v>
      </c>
    </row>
    <row r="17" spans="1:65" x14ac:dyDescent="0.25">
      <c r="A17" s="53" t="s">
        <v>76</v>
      </c>
      <c r="B17" s="54" t="s">
        <v>135</v>
      </c>
      <c r="C17" s="55">
        <v>2.238492056827165E-4</v>
      </c>
      <c r="D17" s="55">
        <v>3.3349645875904817E-5</v>
      </c>
      <c r="E17" s="55">
        <v>7.0684676286376431E-5</v>
      </c>
      <c r="F17" s="55">
        <v>9.5242251533265459E-6</v>
      </c>
      <c r="G17" s="55">
        <v>3.0189130587371008E-4</v>
      </c>
      <c r="H17" s="55">
        <v>1.226017114415584E-4</v>
      </c>
      <c r="I17" s="55">
        <v>3.8362519234463985E-4</v>
      </c>
      <c r="J17" s="55">
        <v>4.278745123217843E-4</v>
      </c>
      <c r="K17" s="55">
        <v>5.4570215282703641E-4</v>
      </c>
      <c r="L17" s="55">
        <v>4.2455893415305397E-4</v>
      </c>
      <c r="M17" s="55">
        <v>1.3542176603009099E-4</v>
      </c>
      <c r="N17" s="55">
        <v>6.0624046927377985E-4</v>
      </c>
      <c r="O17" s="55">
        <v>1.2226164198718688E-4</v>
      </c>
      <c r="P17" s="55">
        <v>1.5953689572336584E-5</v>
      </c>
      <c r="Q17" s="55">
        <v>1.0001309409518999</v>
      </c>
      <c r="R17" s="55">
        <v>4.1373931198262541E-5</v>
      </c>
      <c r="S17" s="55">
        <v>5.8513447047630816E-6</v>
      </c>
      <c r="T17" s="55">
        <v>1.7013258038978027E-5</v>
      </c>
      <c r="U17" s="55">
        <v>3.731899351432439E-5</v>
      </c>
      <c r="V17" s="55">
        <v>3.6290830247058522E-5</v>
      </c>
      <c r="W17" s="55">
        <v>3.0469010554277466E-5</v>
      </c>
      <c r="X17" s="55">
        <v>4.1141865186233079E-5</v>
      </c>
      <c r="Y17" s="55">
        <v>7.5182179118897963E-5</v>
      </c>
      <c r="Z17" s="55">
        <v>2.6186922599463359E-5</v>
      </c>
      <c r="AA17" s="55">
        <v>1.2099096982434464E-5</v>
      </c>
      <c r="AB17" s="55">
        <v>4.3305076739620212E-5</v>
      </c>
      <c r="AC17" s="55">
        <v>1.7771280596820762E-5</v>
      </c>
      <c r="AD17" s="55">
        <v>1.6825380557963833E-5</v>
      </c>
      <c r="AE17" s="55">
        <v>6.3666076105610607E-5</v>
      </c>
      <c r="AF17" s="55">
        <v>4.5024550080573303E-5</v>
      </c>
      <c r="AG17" s="55">
        <v>8.0917748029043951E-5</v>
      </c>
      <c r="AH17" s="55">
        <v>5.4790446788684109E-5</v>
      </c>
      <c r="AI17" s="55">
        <v>7.1546373060177187E-5</v>
      </c>
      <c r="AJ17" s="55">
        <v>1.4089016463606076E-5</v>
      </c>
      <c r="AK17" s="55">
        <v>4.8866238977293903E-5</v>
      </c>
      <c r="AL17" s="55">
        <v>6.78863048244366E-5</v>
      </c>
      <c r="AM17" s="55">
        <v>5.0390880434190089E-5</v>
      </c>
      <c r="AN17" s="55">
        <v>5.6315761688637868E-5</v>
      </c>
      <c r="AO17" s="55">
        <v>6.0893385194428472E-5</v>
      </c>
      <c r="AP17" s="55">
        <v>7.4918984335963816E-5</v>
      </c>
      <c r="AQ17" s="55">
        <v>2.2888315205444558E-5</v>
      </c>
      <c r="AR17" s="55">
        <v>1.3174446728476944E-4</v>
      </c>
      <c r="AS17" s="55">
        <v>1.1012259320562399E-4</v>
      </c>
      <c r="AT17" s="55">
        <v>5.7075482299497694E-5</v>
      </c>
      <c r="AU17" s="55">
        <v>3.8709639705479992E-5</v>
      </c>
      <c r="AV17" s="55">
        <v>5.2762339057424661E-5</v>
      </c>
      <c r="AW17" s="55">
        <v>1.1827991700456642E-4</v>
      </c>
      <c r="AX17" s="55">
        <v>1.9887030677011049E-5</v>
      </c>
      <c r="AY17" s="55">
        <v>7.7401847134439365E-5</v>
      </c>
      <c r="AZ17" s="55">
        <v>9.6126402686154669E-6</v>
      </c>
      <c r="BA17" s="55">
        <v>4.5073580381917554E-5</v>
      </c>
      <c r="BB17" s="55">
        <v>7.4365243721510622E-5</v>
      </c>
      <c r="BC17" s="55">
        <v>4.2604849161303909E-5</v>
      </c>
      <c r="BD17" s="55">
        <v>7.3091760140648961E-6</v>
      </c>
      <c r="BE17" s="55">
        <v>4.5706740450006057E-5</v>
      </c>
      <c r="BF17" s="55">
        <v>6.8085620928998996E-5</v>
      </c>
      <c r="BG17" s="55">
        <v>2.5360559723832127E-5</v>
      </c>
      <c r="BH17" s="55">
        <v>3.4458059642798331E-5</v>
      </c>
      <c r="BI17" s="55">
        <v>6.0445264945679214E-5</v>
      </c>
      <c r="BJ17" s="55">
        <v>0</v>
      </c>
      <c r="BK17" s="55">
        <v>1.2871261861662907E-5</v>
      </c>
      <c r="BL17" s="55">
        <v>2.2839470231315504E-6</v>
      </c>
      <c r="BM17" s="55">
        <v>0</v>
      </c>
    </row>
    <row r="18" spans="1:65" x14ac:dyDescent="0.25">
      <c r="A18" s="53" t="s">
        <v>77</v>
      </c>
      <c r="B18" s="56" t="s">
        <v>4</v>
      </c>
      <c r="C18" s="55">
        <v>2.1947536219436892E-2</v>
      </c>
      <c r="D18" s="55">
        <v>3.7946146110843931E-2</v>
      </c>
      <c r="E18" s="55">
        <v>1.3937645284166198E-2</v>
      </c>
      <c r="F18" s="55">
        <v>2.6987410300494141E-3</v>
      </c>
      <c r="G18" s="55">
        <v>0.1436172737411168</v>
      </c>
      <c r="H18" s="55">
        <v>1.3452649130143482E-2</v>
      </c>
      <c r="I18" s="55">
        <v>2.0826430655984312E-2</v>
      </c>
      <c r="J18" s="55">
        <v>2.3864594674921243E-2</v>
      </c>
      <c r="K18" s="55">
        <v>3.183814769360211E-2</v>
      </c>
      <c r="L18" s="55">
        <v>2.3281271059510729E-2</v>
      </c>
      <c r="M18" s="55">
        <v>1.3918016082920374E-2</v>
      </c>
      <c r="N18" s="55">
        <v>4.7626135935202991E-2</v>
      </c>
      <c r="O18" s="55">
        <v>2.0098657493082452E-2</v>
      </c>
      <c r="P18" s="55">
        <v>5.6502004894198026E-3</v>
      </c>
      <c r="Q18" s="55">
        <v>1.039280833971036E-2</v>
      </c>
      <c r="R18" s="55">
        <v>1.0057902140719084</v>
      </c>
      <c r="S18" s="55">
        <v>1.680947715639515E-3</v>
      </c>
      <c r="T18" s="55">
        <v>4.2748028432719664E-3</v>
      </c>
      <c r="U18" s="55">
        <v>9.5243905266280821E-3</v>
      </c>
      <c r="V18" s="55">
        <v>1.6012735049577037E-2</v>
      </c>
      <c r="W18" s="55">
        <v>0.12554520791831056</v>
      </c>
      <c r="X18" s="55">
        <v>1.0681584012305007E-2</v>
      </c>
      <c r="Y18" s="55">
        <v>3.0822183101154269E-2</v>
      </c>
      <c r="Z18" s="55">
        <v>1.8364845592450153E-2</v>
      </c>
      <c r="AA18" s="55">
        <v>3.9313735500085328E-3</v>
      </c>
      <c r="AB18" s="55">
        <v>1.3146545517000811E-2</v>
      </c>
      <c r="AC18" s="55">
        <v>1.7931169369420054E-2</v>
      </c>
      <c r="AD18" s="55">
        <v>1.7030747059872127E-2</v>
      </c>
      <c r="AE18" s="55">
        <v>9.7484149949278766E-3</v>
      </c>
      <c r="AF18" s="55">
        <v>6.3550813477700309E-3</v>
      </c>
      <c r="AG18" s="55">
        <v>1.4039534315744943E-2</v>
      </c>
      <c r="AH18" s="55">
        <v>8.8220364599036084E-3</v>
      </c>
      <c r="AI18" s="55">
        <v>3.0032281215209032E-2</v>
      </c>
      <c r="AJ18" s="55">
        <v>8.1160910095612326E-3</v>
      </c>
      <c r="AK18" s="55">
        <v>3.8544942914491093E-2</v>
      </c>
      <c r="AL18" s="55">
        <v>4.7678618177059992E-3</v>
      </c>
      <c r="AM18" s="55">
        <v>7.8252557917563807E-3</v>
      </c>
      <c r="AN18" s="55">
        <v>1.2624891738439944E-2</v>
      </c>
      <c r="AO18" s="55">
        <v>4.294210122870766E-2</v>
      </c>
      <c r="AP18" s="55">
        <v>6.6148456767296665E-2</v>
      </c>
      <c r="AQ18" s="55">
        <v>6.6502268398796853E-3</v>
      </c>
      <c r="AR18" s="55">
        <v>4.4203608050425197E-2</v>
      </c>
      <c r="AS18" s="55">
        <v>4.7805353823987505E-2</v>
      </c>
      <c r="AT18" s="55">
        <v>6.8375770574851842E-3</v>
      </c>
      <c r="AU18" s="55">
        <v>1.5825705820792197E-2</v>
      </c>
      <c r="AV18" s="55">
        <v>2.0531203490821787E-2</v>
      </c>
      <c r="AW18" s="55">
        <v>2.5564819736983418E-2</v>
      </c>
      <c r="AX18" s="55">
        <v>3.7771464345903449E-3</v>
      </c>
      <c r="AY18" s="55">
        <v>1.243204148335798E-2</v>
      </c>
      <c r="AZ18" s="55">
        <v>2.5341866450885528E-3</v>
      </c>
      <c r="BA18" s="55">
        <v>1.1857567800121989E-2</v>
      </c>
      <c r="BB18" s="55">
        <v>1.7296008419494292E-2</v>
      </c>
      <c r="BC18" s="55">
        <v>7.6582058661945228E-3</v>
      </c>
      <c r="BD18" s="55">
        <v>1.6783011508171742E-3</v>
      </c>
      <c r="BE18" s="55">
        <v>1.6048809857908405E-2</v>
      </c>
      <c r="BF18" s="55">
        <v>1.0925005536173007E-2</v>
      </c>
      <c r="BG18" s="55">
        <v>1.125937793146548E-2</v>
      </c>
      <c r="BH18" s="55">
        <v>1.6153637351359044E-2</v>
      </c>
      <c r="BI18" s="55">
        <v>6.7210230780838454E-3</v>
      </c>
      <c r="BJ18" s="55">
        <v>0</v>
      </c>
      <c r="BK18" s="55">
        <v>2.2554323662461396E-2</v>
      </c>
      <c r="BL18" s="55">
        <v>6.9345699522786535E-4</v>
      </c>
      <c r="BM18" s="55">
        <v>0</v>
      </c>
    </row>
    <row r="19" spans="1:65" x14ac:dyDescent="0.25">
      <c r="A19" s="53" t="s">
        <v>78</v>
      </c>
      <c r="B19" s="56" t="s">
        <v>18</v>
      </c>
      <c r="C19" s="55">
        <v>2.6055166783532619E-4</v>
      </c>
      <c r="D19" s="55">
        <v>3.4351030336491614E-4</v>
      </c>
      <c r="E19" s="55">
        <v>6.5830281765419927E-4</v>
      </c>
      <c r="F19" s="55">
        <v>6.7218088027950557E-6</v>
      </c>
      <c r="G19" s="55">
        <v>1.5994703463995119E-4</v>
      </c>
      <c r="H19" s="55">
        <v>8.856933971818227E-4</v>
      </c>
      <c r="I19" s="55">
        <v>5.6785626780854329E-4</v>
      </c>
      <c r="J19" s="55">
        <v>9.5300788747563082E-4</v>
      </c>
      <c r="K19" s="55">
        <v>5.3930356323938144E-4</v>
      </c>
      <c r="L19" s="55">
        <v>6.047976439733934E-4</v>
      </c>
      <c r="M19" s="55">
        <v>8.8857494251421527E-4</v>
      </c>
      <c r="N19" s="55">
        <v>6.4212787944102536E-4</v>
      </c>
      <c r="O19" s="55">
        <v>1.0037897777140228E-4</v>
      </c>
      <c r="P19" s="55">
        <v>2.3235907961975774E-4</v>
      </c>
      <c r="Q19" s="55">
        <v>2.4592164468917077E-4</v>
      </c>
      <c r="R19" s="55">
        <v>2.8923033871657835E-4</v>
      </c>
      <c r="S19" s="55">
        <v>1.000187611712106</v>
      </c>
      <c r="T19" s="55">
        <v>1.509846838515289E-5</v>
      </c>
      <c r="U19" s="55">
        <v>3.681521675208278E-5</v>
      </c>
      <c r="V19" s="55">
        <v>6.104411192793237E-5</v>
      </c>
      <c r="W19" s="55">
        <v>8.6857924730630271E-5</v>
      </c>
      <c r="X19" s="55">
        <v>6.1884415954209545E-5</v>
      </c>
      <c r="Y19" s="55">
        <v>5.1147767798452567E-5</v>
      </c>
      <c r="Z19" s="55">
        <v>2.7110389422711535E-5</v>
      </c>
      <c r="AA19" s="55">
        <v>1.1585389597259325E-5</v>
      </c>
      <c r="AB19" s="55">
        <v>3.4364073887962817E-5</v>
      </c>
      <c r="AC19" s="55">
        <v>2.1779874481276738E-5</v>
      </c>
      <c r="AD19" s="55">
        <v>2.0570553720471389E-5</v>
      </c>
      <c r="AE19" s="55">
        <v>2.7146842729452731E-4</v>
      </c>
      <c r="AF19" s="55">
        <v>1.7942409336572972E-4</v>
      </c>
      <c r="AG19" s="55">
        <v>2.6966693700002893E-5</v>
      </c>
      <c r="AH19" s="55">
        <v>7.0582598100344231E-5</v>
      </c>
      <c r="AI19" s="55">
        <v>5.6492354580882567E-5</v>
      </c>
      <c r="AJ19" s="55">
        <v>1.1516969289215566E-5</v>
      </c>
      <c r="AK19" s="55">
        <v>4.4982488731858183E-5</v>
      </c>
      <c r="AL19" s="55">
        <v>1.0228796794153533E-4</v>
      </c>
      <c r="AM19" s="55">
        <v>2.8781283460364204E-5</v>
      </c>
      <c r="AN19" s="55">
        <v>2.8569345985734705E-5</v>
      </c>
      <c r="AO19" s="55">
        <v>5.2567000135632621E-5</v>
      </c>
      <c r="AP19" s="55">
        <v>2.0096166843711665E-4</v>
      </c>
      <c r="AQ19" s="55">
        <v>1.6290851929256559E-5</v>
      </c>
      <c r="AR19" s="55">
        <v>5.2371001697060777E-5</v>
      </c>
      <c r="AS19" s="55">
        <v>2.0563735283638383E-4</v>
      </c>
      <c r="AT19" s="55">
        <v>2.6762037528112215E-5</v>
      </c>
      <c r="AU19" s="55">
        <v>1.9126030207801273E-5</v>
      </c>
      <c r="AV19" s="55">
        <v>1.0306707159473963E-4</v>
      </c>
      <c r="AW19" s="55">
        <v>5.9574377123006505E-5</v>
      </c>
      <c r="AX19" s="55">
        <v>4.8551699430741209E-6</v>
      </c>
      <c r="AY19" s="55">
        <v>4.2172497378642452E-5</v>
      </c>
      <c r="AZ19" s="55">
        <v>3.8487206371544356E-6</v>
      </c>
      <c r="BA19" s="55">
        <v>6.4697921742771982E-4</v>
      </c>
      <c r="BB19" s="55">
        <v>5.0503914736916551E-5</v>
      </c>
      <c r="BC19" s="55">
        <v>1.9938705833844908E-5</v>
      </c>
      <c r="BD19" s="55">
        <v>6.3473626297663067E-6</v>
      </c>
      <c r="BE19" s="55">
        <v>1.2282884330578313E-4</v>
      </c>
      <c r="BF19" s="55">
        <v>2.9403947772279921E-4</v>
      </c>
      <c r="BG19" s="55">
        <v>1.2597112797522609E-5</v>
      </c>
      <c r="BH19" s="55">
        <v>4.3121671723664115E-5</v>
      </c>
      <c r="BI19" s="55">
        <v>1.5388612168588318E-5</v>
      </c>
      <c r="BJ19" s="55">
        <v>0</v>
      </c>
      <c r="BK19" s="55">
        <v>1.0279111866158324E-4</v>
      </c>
      <c r="BL19" s="55">
        <v>3.0991498309745875E-6</v>
      </c>
      <c r="BM19" s="55">
        <v>0</v>
      </c>
    </row>
    <row r="20" spans="1:65" x14ac:dyDescent="0.25">
      <c r="A20" s="53" t="s">
        <v>79</v>
      </c>
      <c r="B20" s="54" t="s">
        <v>136</v>
      </c>
      <c r="C20" s="55">
        <v>9.6303432190080265E-3</v>
      </c>
      <c r="D20" s="55">
        <v>1.2686720980858485E-2</v>
      </c>
      <c r="E20" s="55">
        <v>1.5631211825265893E-2</v>
      </c>
      <c r="F20" s="55">
        <v>7.2132839175176051E-4</v>
      </c>
      <c r="G20" s="55">
        <v>9.3627777015201537E-3</v>
      </c>
      <c r="H20" s="55">
        <v>3.0606836080376679E-2</v>
      </c>
      <c r="I20" s="55">
        <v>5.9372386747933732E-3</v>
      </c>
      <c r="J20" s="55">
        <v>6.0919882604293296E-3</v>
      </c>
      <c r="K20" s="55">
        <v>7.0591435253278085E-3</v>
      </c>
      <c r="L20" s="55">
        <v>5.0838631999027507E-3</v>
      </c>
      <c r="M20" s="55">
        <v>4.7591995045886968E-3</v>
      </c>
      <c r="N20" s="55">
        <v>7.5554372949728048E-3</v>
      </c>
      <c r="O20" s="55">
        <v>1.1352316975871992E-2</v>
      </c>
      <c r="P20" s="55">
        <v>4.896865915819318E-4</v>
      </c>
      <c r="Q20" s="55">
        <v>3.9419820256605962E-3</v>
      </c>
      <c r="R20" s="55">
        <v>1.9889460986368822E-3</v>
      </c>
      <c r="S20" s="55">
        <v>3.2624494480863828E-4</v>
      </c>
      <c r="T20" s="55">
        <v>1.0183057507654476</v>
      </c>
      <c r="U20" s="55">
        <v>2.4373418768005289E-3</v>
      </c>
      <c r="V20" s="55">
        <v>2.6746321790054386E-3</v>
      </c>
      <c r="W20" s="55">
        <v>4.1459195033176199E-3</v>
      </c>
      <c r="X20" s="55">
        <v>4.1406681821438002E-3</v>
      </c>
      <c r="Y20" s="55">
        <v>5.4602002632181375E-3</v>
      </c>
      <c r="Z20" s="55">
        <v>1.8042860570187469E-3</v>
      </c>
      <c r="AA20" s="55">
        <v>5.2324691044045154E-4</v>
      </c>
      <c r="AB20" s="55">
        <v>1.7925583416566163E-3</v>
      </c>
      <c r="AC20" s="55">
        <v>5.413160120186682E-4</v>
      </c>
      <c r="AD20" s="55">
        <v>5.1588240798800455E-4</v>
      </c>
      <c r="AE20" s="55">
        <v>3.7807192809230306E-3</v>
      </c>
      <c r="AF20" s="55">
        <v>2.6442571159273937E-3</v>
      </c>
      <c r="AG20" s="55">
        <v>1.7786811321492488E-3</v>
      </c>
      <c r="AH20" s="55">
        <v>1.8942594278610889E-3</v>
      </c>
      <c r="AI20" s="55">
        <v>1.8302956570975255E-3</v>
      </c>
      <c r="AJ20" s="55">
        <v>3.2070952083659078E-4</v>
      </c>
      <c r="AK20" s="55">
        <v>1.6258129329798478E-3</v>
      </c>
      <c r="AL20" s="55">
        <v>6.0199297798569696E-4</v>
      </c>
      <c r="AM20" s="55">
        <v>5.7140070393959445E-4</v>
      </c>
      <c r="AN20" s="55">
        <v>1.3612828694303178E-3</v>
      </c>
      <c r="AO20" s="55">
        <v>1.5885026770996228E-3</v>
      </c>
      <c r="AP20" s="55">
        <v>1.6897752381702055E-3</v>
      </c>
      <c r="AQ20" s="55">
        <v>2.6421479944653477E-4</v>
      </c>
      <c r="AR20" s="55">
        <v>3.7642896520052849E-3</v>
      </c>
      <c r="AS20" s="55">
        <v>2.4737686803757253E-3</v>
      </c>
      <c r="AT20" s="55">
        <v>1.1848427510637704E-3</v>
      </c>
      <c r="AU20" s="55">
        <v>7.2743109330968188E-4</v>
      </c>
      <c r="AV20" s="55">
        <v>1.0247603410180636E-3</v>
      </c>
      <c r="AW20" s="55">
        <v>1.5190169859389479E-3</v>
      </c>
      <c r="AX20" s="55">
        <v>3.935838220195782E-4</v>
      </c>
      <c r="AY20" s="55">
        <v>1.518088977094556E-3</v>
      </c>
      <c r="AZ20" s="55">
        <v>1.7860640293423181E-4</v>
      </c>
      <c r="BA20" s="55">
        <v>1.81984589139566E-3</v>
      </c>
      <c r="BB20" s="55">
        <v>1.4732307213590117E-3</v>
      </c>
      <c r="BC20" s="55">
        <v>8.7399768916350139E-4</v>
      </c>
      <c r="BD20" s="55">
        <v>2.9018196492585887E-4</v>
      </c>
      <c r="BE20" s="55">
        <v>2.3530552696360684E-3</v>
      </c>
      <c r="BF20" s="55">
        <v>3.224050981294157E-3</v>
      </c>
      <c r="BG20" s="55">
        <v>6.7416257784293134E-4</v>
      </c>
      <c r="BH20" s="55">
        <v>1.888755009019407E-3</v>
      </c>
      <c r="BI20" s="55">
        <v>9.0971323833354315E-4</v>
      </c>
      <c r="BJ20" s="55">
        <v>0</v>
      </c>
      <c r="BK20" s="55">
        <v>8.9378069862293657E-4</v>
      </c>
      <c r="BL20" s="55">
        <v>1.6958010003278808E-4</v>
      </c>
      <c r="BM20" s="55">
        <v>0</v>
      </c>
    </row>
    <row r="21" spans="1:65" x14ac:dyDescent="0.25">
      <c r="A21" s="53" t="s">
        <v>80</v>
      </c>
      <c r="B21" s="54" t="s">
        <v>137</v>
      </c>
      <c r="C21" s="55">
        <v>2.0464427590642214E-4</v>
      </c>
      <c r="D21" s="55">
        <v>1.6920121597289417E-4</v>
      </c>
      <c r="E21" s="55">
        <v>5.5643899605546643E-4</v>
      </c>
      <c r="F21" s="55">
        <v>3.5131667808695136E-5</v>
      </c>
      <c r="G21" s="55">
        <v>2.7587322094665398E-4</v>
      </c>
      <c r="H21" s="55">
        <v>5.0336624515595315E-4</v>
      </c>
      <c r="I21" s="55">
        <v>1.3881994696498424E-3</v>
      </c>
      <c r="J21" s="55">
        <v>1.7817747435074252E-3</v>
      </c>
      <c r="K21" s="55">
        <v>1.6708143026229506E-3</v>
      </c>
      <c r="L21" s="55">
        <v>1.5197545873843754E-3</v>
      </c>
      <c r="M21" s="55">
        <v>1.4181135425278947E-3</v>
      </c>
      <c r="N21" s="55">
        <v>2.7815969287933733E-3</v>
      </c>
      <c r="O21" s="55">
        <v>1.0035502913417583E-2</v>
      </c>
      <c r="P21" s="55">
        <v>3.2611811532613533E-4</v>
      </c>
      <c r="Q21" s="55">
        <v>1.172028729966592E-3</v>
      </c>
      <c r="R21" s="55">
        <v>9.4005379353659824E-4</v>
      </c>
      <c r="S21" s="55">
        <v>5.835666573010403E-4</v>
      </c>
      <c r="T21" s="55">
        <v>3.818069635619158E-4</v>
      </c>
      <c r="U21" s="55">
        <v>1.0183302868445672</v>
      </c>
      <c r="V21" s="55">
        <v>6.2734130980756546E-3</v>
      </c>
      <c r="W21" s="55">
        <v>1.9311216134573399E-3</v>
      </c>
      <c r="X21" s="55">
        <v>1.14003771486143E-3</v>
      </c>
      <c r="Y21" s="55">
        <v>4.9338323146911186E-3</v>
      </c>
      <c r="Z21" s="55">
        <v>2.240330960627571E-3</v>
      </c>
      <c r="AA21" s="55">
        <v>1.8587054772536457E-3</v>
      </c>
      <c r="AB21" s="55">
        <v>2.8026130787498979E-3</v>
      </c>
      <c r="AC21" s="55">
        <v>1.8222896658043643E-3</v>
      </c>
      <c r="AD21" s="55">
        <v>3.2998763595615808E-3</v>
      </c>
      <c r="AE21" s="55">
        <v>1.3727187130967552E-3</v>
      </c>
      <c r="AF21" s="55">
        <v>9.0440360178733732E-4</v>
      </c>
      <c r="AG21" s="55">
        <v>4.5232400910334372E-4</v>
      </c>
      <c r="AH21" s="55">
        <v>3.2914185748627017E-4</v>
      </c>
      <c r="AI21" s="55">
        <v>1.3846959524048195E-3</v>
      </c>
      <c r="AJ21" s="55">
        <v>3.6572436184403168E-4</v>
      </c>
      <c r="AK21" s="55">
        <v>5.187112434690797E-3</v>
      </c>
      <c r="AL21" s="55">
        <v>2.7349034761457323E-4</v>
      </c>
      <c r="AM21" s="55">
        <v>4.2504000819395583E-4</v>
      </c>
      <c r="AN21" s="55">
        <v>4.4322007919581037E-4</v>
      </c>
      <c r="AO21" s="55">
        <v>8.3403594911508686E-3</v>
      </c>
      <c r="AP21" s="55">
        <v>4.2057119971974791E-3</v>
      </c>
      <c r="AQ21" s="55">
        <v>9.276678436733409E-4</v>
      </c>
      <c r="AR21" s="55">
        <v>3.609113198479006E-3</v>
      </c>
      <c r="AS21" s="55">
        <v>5.2580904071831804E-3</v>
      </c>
      <c r="AT21" s="55">
        <v>6.971460952890599E-4</v>
      </c>
      <c r="AU21" s="55">
        <v>2.5834781899799781E-3</v>
      </c>
      <c r="AV21" s="55">
        <v>1.5171552491817575E-3</v>
      </c>
      <c r="AW21" s="55">
        <v>1.0235369826480428E-3</v>
      </c>
      <c r="AX21" s="55">
        <v>1.6006455706372411E-4</v>
      </c>
      <c r="AY21" s="55">
        <v>8.8079823122677451E-4</v>
      </c>
      <c r="AZ21" s="55">
        <v>1.4085173518963914E-4</v>
      </c>
      <c r="BA21" s="55">
        <v>1.7696360627024242E-3</v>
      </c>
      <c r="BB21" s="55">
        <v>1.1670005188186075E-3</v>
      </c>
      <c r="BC21" s="55">
        <v>5.8727923627552487E-4</v>
      </c>
      <c r="BD21" s="55">
        <v>5.0535135633113725E-4</v>
      </c>
      <c r="BE21" s="55">
        <v>4.1755068579254883E-3</v>
      </c>
      <c r="BF21" s="55">
        <v>4.6200315515311265E-3</v>
      </c>
      <c r="BG21" s="55">
        <v>8.0919148560834706E-4</v>
      </c>
      <c r="BH21" s="55">
        <v>2.2503895255522655E-3</v>
      </c>
      <c r="BI21" s="55">
        <v>7.7930219020125042E-4</v>
      </c>
      <c r="BJ21" s="55">
        <v>0</v>
      </c>
      <c r="BK21" s="55">
        <v>4.4062122595986652E-4</v>
      </c>
      <c r="BL21" s="55">
        <v>1.3203495022628704E-4</v>
      </c>
      <c r="BM21" s="55">
        <v>0</v>
      </c>
    </row>
    <row r="22" spans="1:65" x14ac:dyDescent="0.25">
      <c r="A22" s="53" t="s">
        <v>81</v>
      </c>
      <c r="B22" s="54" t="s">
        <v>138</v>
      </c>
      <c r="C22" s="55">
        <v>1.8524353033387072E-3</v>
      </c>
      <c r="D22" s="55">
        <v>1.4069365938579141E-3</v>
      </c>
      <c r="E22" s="55">
        <v>2.1378017182957541E-2</v>
      </c>
      <c r="F22" s="55">
        <v>8.8541249901052086E-4</v>
      </c>
      <c r="G22" s="55">
        <v>2.4315086130733861E-3</v>
      </c>
      <c r="H22" s="55">
        <v>1.0602943322728944E-2</v>
      </c>
      <c r="I22" s="55">
        <v>2.7013718822822465E-3</v>
      </c>
      <c r="J22" s="55">
        <v>2.9516133666635472E-3</v>
      </c>
      <c r="K22" s="55">
        <v>3.9795707234810667E-3</v>
      </c>
      <c r="L22" s="55">
        <v>3.139052365108187E-3</v>
      </c>
      <c r="M22" s="55">
        <v>3.2604419794216447E-3</v>
      </c>
      <c r="N22" s="55">
        <v>1.0308389364074152E-2</v>
      </c>
      <c r="O22" s="55">
        <v>1.0051186387306893E-2</v>
      </c>
      <c r="P22" s="55">
        <v>6.7301642584048475E-4</v>
      </c>
      <c r="Q22" s="55">
        <v>3.3872187150835128E-3</v>
      </c>
      <c r="R22" s="55">
        <v>6.6815285170726928E-3</v>
      </c>
      <c r="S22" s="55">
        <v>3.0603714240791894E-2</v>
      </c>
      <c r="T22" s="55">
        <v>2.3360750746957547E-2</v>
      </c>
      <c r="U22" s="55">
        <v>1.0684897140833503E-2</v>
      </c>
      <c r="V22" s="55">
        <v>1.2135519883693746</v>
      </c>
      <c r="W22" s="55">
        <v>3.3911312129179576E-2</v>
      </c>
      <c r="X22" s="55">
        <v>5.0679516381384251E-2</v>
      </c>
      <c r="Y22" s="55">
        <v>2.4322619477693087E-2</v>
      </c>
      <c r="Z22" s="55">
        <v>1.29635829681456E-2</v>
      </c>
      <c r="AA22" s="55">
        <v>3.2999904688736053E-3</v>
      </c>
      <c r="AB22" s="55">
        <v>1.1523450099456269E-2</v>
      </c>
      <c r="AC22" s="55">
        <v>7.0400609554014913E-3</v>
      </c>
      <c r="AD22" s="55">
        <v>6.7074737484156014E-3</v>
      </c>
      <c r="AE22" s="55">
        <v>9.2711223301420627E-3</v>
      </c>
      <c r="AF22" s="55">
        <v>6.4761780309167977E-3</v>
      </c>
      <c r="AG22" s="55">
        <v>1.9473460885975624E-3</v>
      </c>
      <c r="AH22" s="55">
        <v>1.615709450785356E-3</v>
      </c>
      <c r="AI22" s="55">
        <v>5.4482206208059996E-3</v>
      </c>
      <c r="AJ22" s="55">
        <v>4.2404061543705645E-3</v>
      </c>
      <c r="AK22" s="55">
        <v>2.9059418221447725E-2</v>
      </c>
      <c r="AL22" s="55">
        <v>8.7033135842826364E-4</v>
      </c>
      <c r="AM22" s="55">
        <v>3.4325493977133059E-3</v>
      </c>
      <c r="AN22" s="55">
        <v>2.1506095654474068E-2</v>
      </c>
      <c r="AO22" s="55">
        <v>2.1267719046649838E-2</v>
      </c>
      <c r="AP22" s="55">
        <v>4.2648760280656608E-3</v>
      </c>
      <c r="AQ22" s="55">
        <v>3.0514727095780391E-3</v>
      </c>
      <c r="AR22" s="55">
        <v>9.5651909404438733E-3</v>
      </c>
      <c r="AS22" s="55">
        <v>7.3214914155036821E-3</v>
      </c>
      <c r="AT22" s="55">
        <v>2.8134298220967328E-3</v>
      </c>
      <c r="AU22" s="55">
        <v>6.2545065128554456E-3</v>
      </c>
      <c r="AV22" s="55">
        <v>2.7645719496026625E-3</v>
      </c>
      <c r="AW22" s="55">
        <v>1.4726829453593134E-2</v>
      </c>
      <c r="AX22" s="55">
        <v>4.2780439286003758E-4</v>
      </c>
      <c r="AY22" s="55">
        <v>2.7535902770715768E-3</v>
      </c>
      <c r="AZ22" s="55">
        <v>1.2176106414834176E-3</v>
      </c>
      <c r="BA22" s="55">
        <v>7.046120373981864E-3</v>
      </c>
      <c r="BB22" s="55">
        <v>7.6651229427689245E-3</v>
      </c>
      <c r="BC22" s="55">
        <v>3.1840871499018639E-3</v>
      </c>
      <c r="BD22" s="55">
        <v>1.5798236927976131E-3</v>
      </c>
      <c r="BE22" s="55">
        <v>1.4249382847921554E-2</v>
      </c>
      <c r="BF22" s="55">
        <v>1.056133271911049E-2</v>
      </c>
      <c r="BG22" s="55">
        <v>1.5026679677310893E-3</v>
      </c>
      <c r="BH22" s="55">
        <v>9.3814084630451586E-3</v>
      </c>
      <c r="BI22" s="55">
        <v>2.5141542741519787E-3</v>
      </c>
      <c r="BJ22" s="55">
        <v>0</v>
      </c>
      <c r="BK22" s="55">
        <v>4.2204067884191324E-3</v>
      </c>
      <c r="BL22" s="55">
        <v>3.2959967650368898E-4</v>
      </c>
      <c r="BM22" s="55">
        <v>0</v>
      </c>
    </row>
    <row r="23" spans="1:65" x14ac:dyDescent="0.25">
      <c r="A23" s="53" t="s">
        <v>82</v>
      </c>
      <c r="B23" s="56" t="s">
        <v>139</v>
      </c>
      <c r="C23" s="55">
        <v>7.497289517664602E-4</v>
      </c>
      <c r="D23" s="55">
        <v>4.40846242739697E-4</v>
      </c>
      <c r="E23" s="55">
        <v>2.0550423631755868E-3</v>
      </c>
      <c r="F23" s="55">
        <v>2.6280615221558657E-4</v>
      </c>
      <c r="G23" s="55">
        <v>6.8217043691873964E-4</v>
      </c>
      <c r="H23" s="55">
        <v>3.2688063457161611E-4</v>
      </c>
      <c r="I23" s="55">
        <v>6.3653850803789174E-3</v>
      </c>
      <c r="J23" s="55">
        <v>5.4969594040537731E-3</v>
      </c>
      <c r="K23" s="55">
        <v>5.4278768650438437E-3</v>
      </c>
      <c r="L23" s="55">
        <v>4.4455638256757635E-3</v>
      </c>
      <c r="M23" s="55">
        <v>4.4438778967779931E-4</v>
      </c>
      <c r="N23" s="55">
        <v>1.0693137808384511E-2</v>
      </c>
      <c r="O23" s="55">
        <v>2.8712752180571287E-4</v>
      </c>
      <c r="P23" s="55">
        <v>7.7293411185422998E-5</v>
      </c>
      <c r="Q23" s="55">
        <v>1.3210949980846395E-4</v>
      </c>
      <c r="R23" s="55">
        <v>3.0693621513904618E-4</v>
      </c>
      <c r="S23" s="55">
        <v>8.7672838435403974E-5</v>
      </c>
      <c r="T23" s="55">
        <v>5.2563988869655152E-5</v>
      </c>
      <c r="U23" s="55">
        <v>2.1885224015369086E-4</v>
      </c>
      <c r="V23" s="55">
        <v>4.7340354262299868E-4</v>
      </c>
      <c r="W23" s="55">
        <v>1.0026761544191451</v>
      </c>
      <c r="X23" s="55">
        <v>7.2908837125241664E-4</v>
      </c>
      <c r="Y23" s="55">
        <v>7.0348219303483894E-4</v>
      </c>
      <c r="Z23" s="55">
        <v>4.2505866585994706E-4</v>
      </c>
      <c r="AA23" s="55">
        <v>1.7872097923803617E-4</v>
      </c>
      <c r="AB23" s="55">
        <v>5.7357691239214254E-4</v>
      </c>
      <c r="AC23" s="55">
        <v>1.8089247838570585E-4</v>
      </c>
      <c r="AD23" s="55">
        <v>1.6385439033927087E-4</v>
      </c>
      <c r="AE23" s="55">
        <v>5.0589854363977205E-4</v>
      </c>
      <c r="AF23" s="55">
        <v>3.4450865498191375E-4</v>
      </c>
      <c r="AG23" s="55">
        <v>3.4260444629973262E-4</v>
      </c>
      <c r="AH23" s="55">
        <v>3.2480358512675502E-4</v>
      </c>
      <c r="AI23" s="55">
        <v>7.9178903203799746E-4</v>
      </c>
      <c r="AJ23" s="55">
        <v>2.8425356990687038E-4</v>
      </c>
      <c r="AK23" s="55">
        <v>8.0886348764581169E-4</v>
      </c>
      <c r="AL23" s="55">
        <v>4.9987010224300315E-4</v>
      </c>
      <c r="AM23" s="55">
        <v>2.2276439353988054E-3</v>
      </c>
      <c r="AN23" s="55">
        <v>1.7861369206923495E-4</v>
      </c>
      <c r="AO23" s="55">
        <v>7.4490802068684044E-4</v>
      </c>
      <c r="AP23" s="55">
        <v>5.3985095285333361E-3</v>
      </c>
      <c r="AQ23" s="55">
        <v>8.1769529410580501E-5</v>
      </c>
      <c r="AR23" s="55">
        <v>4.4249020089863894E-3</v>
      </c>
      <c r="AS23" s="55">
        <v>1.2926623860947501E-2</v>
      </c>
      <c r="AT23" s="55">
        <v>7.8991050078385688E-4</v>
      </c>
      <c r="AU23" s="55">
        <v>1.4202008205521622E-3</v>
      </c>
      <c r="AV23" s="55">
        <v>2.6436337136173664E-3</v>
      </c>
      <c r="AW23" s="55">
        <v>2.4372911820535632E-4</v>
      </c>
      <c r="AX23" s="55">
        <v>8.1540582312790324E-4</v>
      </c>
      <c r="AY23" s="55">
        <v>2.1130515309550095E-3</v>
      </c>
      <c r="AZ23" s="55">
        <v>5.0056693352124626E-5</v>
      </c>
      <c r="BA23" s="55">
        <v>3.4807865433880265E-3</v>
      </c>
      <c r="BB23" s="55">
        <v>2.363136171586414E-3</v>
      </c>
      <c r="BC23" s="55">
        <v>2.0243286534685494E-4</v>
      </c>
      <c r="BD23" s="55">
        <v>7.6276729671142599E-5</v>
      </c>
      <c r="BE23" s="55">
        <v>7.4745641208342247E-4</v>
      </c>
      <c r="BF23" s="55">
        <v>6.9079691343928464E-4</v>
      </c>
      <c r="BG23" s="55">
        <v>4.9105451002560681E-4</v>
      </c>
      <c r="BH23" s="55">
        <v>1.7416698352957967E-3</v>
      </c>
      <c r="BI23" s="55">
        <v>8.7674425067452459E-4</v>
      </c>
      <c r="BJ23" s="55">
        <v>0</v>
      </c>
      <c r="BK23" s="55">
        <v>1.118411161480777E-4</v>
      </c>
      <c r="BL23" s="55">
        <v>2.0320786005068251E-5</v>
      </c>
      <c r="BM23" s="55">
        <v>0</v>
      </c>
    </row>
    <row r="24" spans="1:65" x14ac:dyDescent="0.25">
      <c r="A24" s="53" t="s">
        <v>83</v>
      </c>
      <c r="B24" s="54" t="s">
        <v>140</v>
      </c>
      <c r="C24" s="55">
        <v>7.5947944373801861E-3</v>
      </c>
      <c r="D24" s="55">
        <v>5.6929681003333159E-3</v>
      </c>
      <c r="E24" s="55">
        <v>5.4791129876297995E-4</v>
      </c>
      <c r="F24" s="55">
        <v>2.4930671183787594E-4</v>
      </c>
      <c r="G24" s="55">
        <v>5.7095737504114753E-4</v>
      </c>
      <c r="H24" s="55">
        <v>1.3348736755920423E-2</v>
      </c>
      <c r="I24" s="55">
        <v>4.8842580537681072E-4</v>
      </c>
      <c r="J24" s="55">
        <v>4.8320336513521327E-4</v>
      </c>
      <c r="K24" s="55">
        <v>1.0583666299260296E-3</v>
      </c>
      <c r="L24" s="55">
        <v>5.4177939804388533E-4</v>
      </c>
      <c r="M24" s="55">
        <v>5.4820529762193452E-3</v>
      </c>
      <c r="N24" s="55">
        <v>3.5455889226851814E-3</v>
      </c>
      <c r="O24" s="55">
        <v>6.8488736606222254E-3</v>
      </c>
      <c r="P24" s="55">
        <v>8.6474992228612209E-4</v>
      </c>
      <c r="Q24" s="55">
        <v>2.7981354103883433E-3</v>
      </c>
      <c r="R24" s="55">
        <v>2.415512617878783E-4</v>
      </c>
      <c r="S24" s="55">
        <v>8.7826638284181212E-4</v>
      </c>
      <c r="T24" s="55">
        <v>6.1506720133183545E-3</v>
      </c>
      <c r="U24" s="55">
        <v>2.1470956811971242E-3</v>
      </c>
      <c r="V24" s="55">
        <v>8.7395890515213365E-3</v>
      </c>
      <c r="W24" s="55">
        <v>1.0233097577429207E-2</v>
      </c>
      <c r="X24" s="55">
        <v>1.0028495547010958</v>
      </c>
      <c r="Y24" s="55">
        <v>6.2864088592588744E-3</v>
      </c>
      <c r="Z24" s="55">
        <v>3.5903862569196753E-4</v>
      </c>
      <c r="AA24" s="55">
        <v>1.9383235862415824E-4</v>
      </c>
      <c r="AB24" s="55">
        <v>6.9903811502699024E-4</v>
      </c>
      <c r="AC24" s="55">
        <v>3.5227054879699191E-4</v>
      </c>
      <c r="AD24" s="55">
        <v>3.3683679171243359E-4</v>
      </c>
      <c r="AE24" s="55">
        <v>4.4748636794795968E-4</v>
      </c>
      <c r="AF24" s="55">
        <v>3.4846346968809671E-4</v>
      </c>
      <c r="AG24" s="55">
        <v>2.9028519031392211E-3</v>
      </c>
      <c r="AH24" s="55">
        <v>6.9970581673090015E-4</v>
      </c>
      <c r="AI24" s="55">
        <v>5.4182356275955584E-3</v>
      </c>
      <c r="AJ24" s="55">
        <v>2.4326420948689179E-4</v>
      </c>
      <c r="AK24" s="55">
        <v>2.8975292701564079E-3</v>
      </c>
      <c r="AL24" s="55">
        <v>2.051777528297126E-4</v>
      </c>
      <c r="AM24" s="55">
        <v>2.2274053107151893E-4</v>
      </c>
      <c r="AN24" s="55">
        <v>7.3334116224222008E-4</v>
      </c>
      <c r="AO24" s="55">
        <v>4.9136567552866405E-4</v>
      </c>
      <c r="AP24" s="55">
        <v>1.3604513852571404E-3</v>
      </c>
      <c r="AQ24" s="55">
        <v>1.1549512552121321E-4</v>
      </c>
      <c r="AR24" s="55">
        <v>7.374610032718173E-4</v>
      </c>
      <c r="AS24" s="55">
        <v>1.4701835598963247E-3</v>
      </c>
      <c r="AT24" s="55">
        <v>1.8143475882194531E-4</v>
      </c>
      <c r="AU24" s="55">
        <v>4.1927629256655226E-4</v>
      </c>
      <c r="AV24" s="55">
        <v>9.0369759754722868E-4</v>
      </c>
      <c r="AW24" s="55">
        <v>1.0453167056536268E-3</v>
      </c>
      <c r="AX24" s="55">
        <v>6.3546108382608868E-5</v>
      </c>
      <c r="AY24" s="55">
        <v>4.5408628327763873E-4</v>
      </c>
      <c r="AZ24" s="55">
        <v>1.0468717718106261E-4</v>
      </c>
      <c r="BA24" s="55">
        <v>5.3742680039985038E-4</v>
      </c>
      <c r="BB24" s="55">
        <v>4.8598860440778751E-4</v>
      </c>
      <c r="BC24" s="55">
        <v>7.8806217074800164E-4</v>
      </c>
      <c r="BD24" s="55">
        <v>2.9125579297635892E-4</v>
      </c>
      <c r="BE24" s="55">
        <v>7.8154777727042722E-4</v>
      </c>
      <c r="BF24" s="55">
        <v>7.5831460717308162E-4</v>
      </c>
      <c r="BG24" s="55">
        <v>3.0871646159815841E-4</v>
      </c>
      <c r="BH24" s="55">
        <v>9.2407697101024922E-4</v>
      </c>
      <c r="BI24" s="55">
        <v>3.1400606097576169E-4</v>
      </c>
      <c r="BJ24" s="55">
        <v>0</v>
      </c>
      <c r="BK24" s="55">
        <v>8.7374365565878195E-5</v>
      </c>
      <c r="BL24" s="55">
        <v>4.1637886173583056E-5</v>
      </c>
      <c r="BM24" s="55">
        <v>0</v>
      </c>
    </row>
    <row r="25" spans="1:65" x14ac:dyDescent="0.25">
      <c r="A25" s="53" t="s">
        <v>84</v>
      </c>
      <c r="B25" s="54" t="s">
        <v>141</v>
      </c>
      <c r="C25" s="55">
        <v>7.6380263970008853E-4</v>
      </c>
      <c r="D25" s="55">
        <v>4.0297516526842321E-4</v>
      </c>
      <c r="E25" s="55">
        <v>4.15479715318454E-4</v>
      </c>
      <c r="F25" s="55">
        <v>1.0957864125980056E-4</v>
      </c>
      <c r="G25" s="55">
        <v>4.69223602558151E-4</v>
      </c>
      <c r="H25" s="55">
        <v>2.590108383632321E-3</v>
      </c>
      <c r="I25" s="55">
        <v>8.0578724072632112E-4</v>
      </c>
      <c r="J25" s="55">
        <v>9.3011678260353063E-4</v>
      </c>
      <c r="K25" s="55">
        <v>8.9627418636037469E-4</v>
      </c>
      <c r="L25" s="55">
        <v>7.669314746790452E-4</v>
      </c>
      <c r="M25" s="55">
        <v>7.0919762561610792E-4</v>
      </c>
      <c r="N25" s="55">
        <v>1.0200358260200972E-3</v>
      </c>
      <c r="O25" s="55">
        <v>6.5677777576223385E-4</v>
      </c>
      <c r="P25" s="55">
        <v>8.6148970373437579E-4</v>
      </c>
      <c r="Q25" s="55">
        <v>2.5997010693383405E-3</v>
      </c>
      <c r="R25" s="55">
        <v>4.4676104299233002E-4</v>
      </c>
      <c r="S25" s="55">
        <v>3.8130138843678302E-4</v>
      </c>
      <c r="T25" s="55">
        <v>2.5050307386184146E-4</v>
      </c>
      <c r="U25" s="55">
        <v>5.7773753071786629E-4</v>
      </c>
      <c r="V25" s="55">
        <v>1.5742398552988227E-3</v>
      </c>
      <c r="W25" s="55">
        <v>5.2091589392141264E-4</v>
      </c>
      <c r="X25" s="55">
        <v>2.435768893219802E-3</v>
      </c>
      <c r="Y25" s="55">
        <v>1.0682491113601091</v>
      </c>
      <c r="Z25" s="55">
        <v>8.4132721116140933E-4</v>
      </c>
      <c r="AA25" s="55">
        <v>4.302386880509251E-4</v>
      </c>
      <c r="AB25" s="55">
        <v>1.3774911140590946E-3</v>
      </c>
      <c r="AC25" s="55">
        <v>9.0134195845844114E-4</v>
      </c>
      <c r="AD25" s="55">
        <v>8.539264274192394E-4</v>
      </c>
      <c r="AE25" s="55">
        <v>1.9360440042156832E-3</v>
      </c>
      <c r="AF25" s="55">
        <v>1.3173919492329407E-3</v>
      </c>
      <c r="AG25" s="55">
        <v>1.6909904689720308E-3</v>
      </c>
      <c r="AH25" s="55">
        <v>1.5718111957828882E-3</v>
      </c>
      <c r="AI25" s="55">
        <v>1.9834349360740518E-2</v>
      </c>
      <c r="AJ25" s="55">
        <v>8.2424553523509879E-3</v>
      </c>
      <c r="AK25" s="55">
        <v>1.6195943317693452E-2</v>
      </c>
      <c r="AL25" s="55">
        <v>9.8111209056101259E-4</v>
      </c>
      <c r="AM25" s="55">
        <v>3.9541267769076455E-3</v>
      </c>
      <c r="AN25" s="55">
        <v>1.6340499588233884E-3</v>
      </c>
      <c r="AO25" s="55">
        <v>6.3690604637483775E-3</v>
      </c>
      <c r="AP25" s="55">
        <v>2.4773813880904802E-3</v>
      </c>
      <c r="AQ25" s="55">
        <v>3.3519312366213697E-4</v>
      </c>
      <c r="AR25" s="55">
        <v>6.0091268742951459E-3</v>
      </c>
      <c r="AS25" s="55">
        <v>6.0512265677494237E-3</v>
      </c>
      <c r="AT25" s="55">
        <v>1.2418058919215051E-3</v>
      </c>
      <c r="AU25" s="55">
        <v>1.5700934168285676E-3</v>
      </c>
      <c r="AV25" s="55">
        <v>1.2023509814377553E-3</v>
      </c>
      <c r="AW25" s="55">
        <v>6.9649715685002214E-4</v>
      </c>
      <c r="AX25" s="55">
        <v>2.3990050517440323E-3</v>
      </c>
      <c r="AY25" s="55">
        <v>1.0676362644294647E-2</v>
      </c>
      <c r="AZ25" s="55">
        <v>3.3874508618494915E-4</v>
      </c>
      <c r="BA25" s="55">
        <v>3.585939190481145E-3</v>
      </c>
      <c r="BB25" s="55">
        <v>1.0502788474865507E-3</v>
      </c>
      <c r="BC25" s="55">
        <v>4.6267961896355953E-3</v>
      </c>
      <c r="BD25" s="55">
        <v>3.6275811497613362E-4</v>
      </c>
      <c r="BE25" s="55">
        <v>2.7691166566649428E-3</v>
      </c>
      <c r="BF25" s="55">
        <v>1.130873790626364E-3</v>
      </c>
      <c r="BG25" s="55">
        <v>3.5307097969868213E-4</v>
      </c>
      <c r="BH25" s="55">
        <v>7.2222449590501952E-3</v>
      </c>
      <c r="BI25" s="55">
        <v>2.4255820118675698E-3</v>
      </c>
      <c r="BJ25" s="55">
        <v>0</v>
      </c>
      <c r="BK25" s="55">
        <v>1.3051986958506918E-3</v>
      </c>
      <c r="BL25" s="55">
        <v>1.3981331190523409E-4</v>
      </c>
      <c r="BM25" s="55">
        <v>0</v>
      </c>
    </row>
    <row r="26" spans="1:65" x14ac:dyDescent="0.25">
      <c r="A26" s="53" t="s">
        <v>85</v>
      </c>
      <c r="B26" s="54" t="s">
        <v>142</v>
      </c>
      <c r="C26" s="55">
        <v>3.2411079171088485E-4</v>
      </c>
      <c r="D26" s="55">
        <v>1.8453584001021085E-4</v>
      </c>
      <c r="E26" s="55">
        <v>5.007443665863159E-4</v>
      </c>
      <c r="F26" s="55">
        <v>4.1643795797840095E-5</v>
      </c>
      <c r="G26" s="55">
        <v>4.4155225339871868E-4</v>
      </c>
      <c r="H26" s="55">
        <v>9.961039675070425E-4</v>
      </c>
      <c r="I26" s="55">
        <v>7.722072182473049E-4</v>
      </c>
      <c r="J26" s="55">
        <v>8.223106162098475E-4</v>
      </c>
      <c r="K26" s="55">
        <v>7.6001993541200807E-4</v>
      </c>
      <c r="L26" s="55">
        <v>7.6597657497516104E-4</v>
      </c>
      <c r="M26" s="55">
        <v>8.3495990527246292E-4</v>
      </c>
      <c r="N26" s="55">
        <v>1.1784656824720765E-3</v>
      </c>
      <c r="O26" s="55">
        <v>6.5641908204659618E-4</v>
      </c>
      <c r="P26" s="55">
        <v>1.4050390760296698E-4</v>
      </c>
      <c r="Q26" s="55">
        <v>3.1937152414389608E-4</v>
      </c>
      <c r="R26" s="55">
        <v>4.1436703015796365E-4</v>
      </c>
      <c r="S26" s="55">
        <v>1.3043839247509878E-4</v>
      </c>
      <c r="T26" s="55">
        <v>1.3116420209733213E-4</v>
      </c>
      <c r="U26" s="55">
        <v>6.3917850963325369E-4</v>
      </c>
      <c r="V26" s="55">
        <v>1.0428476578752464E-3</v>
      </c>
      <c r="W26" s="55">
        <v>5.1113861901912444E-4</v>
      </c>
      <c r="X26" s="55">
        <v>8.6466279130268612E-4</v>
      </c>
      <c r="Y26" s="55">
        <v>1.7681717444745601E-3</v>
      </c>
      <c r="Z26" s="55">
        <v>1.1366680415435459</v>
      </c>
      <c r="AA26" s="55">
        <v>3.6045557103881812E-2</v>
      </c>
      <c r="AB26" s="55">
        <v>2.1548158209424854E-2</v>
      </c>
      <c r="AC26" s="55">
        <v>3.8172763503297076E-4</v>
      </c>
      <c r="AD26" s="55">
        <v>3.5390041385210339E-4</v>
      </c>
      <c r="AE26" s="55">
        <v>4.6539561611724729E-4</v>
      </c>
      <c r="AF26" s="55">
        <v>3.2141807074815323E-4</v>
      </c>
      <c r="AG26" s="55">
        <v>6.3547341131879667E-3</v>
      </c>
      <c r="AH26" s="55">
        <v>4.7115721331633296E-4</v>
      </c>
      <c r="AI26" s="55">
        <v>1.32107435536476E-3</v>
      </c>
      <c r="AJ26" s="55">
        <v>4.0344852280019489E-4</v>
      </c>
      <c r="AK26" s="55">
        <v>1.3761373439806432E-3</v>
      </c>
      <c r="AL26" s="55">
        <v>1.8207029008880275E-4</v>
      </c>
      <c r="AM26" s="55">
        <v>3.7684214941625542E-4</v>
      </c>
      <c r="AN26" s="55">
        <v>4.2505948734765077E-4</v>
      </c>
      <c r="AO26" s="55">
        <v>1.1687539822595973E-3</v>
      </c>
      <c r="AP26" s="55">
        <v>1.2297088048518986E-3</v>
      </c>
      <c r="AQ26" s="55">
        <v>1.5475705262731475E-4</v>
      </c>
      <c r="AR26" s="55">
        <v>7.403876709018341E-4</v>
      </c>
      <c r="AS26" s="55">
        <v>1.629208770615909E-2</v>
      </c>
      <c r="AT26" s="55">
        <v>7.8931024293975023E-4</v>
      </c>
      <c r="AU26" s="55">
        <v>4.7164230464320967E-4</v>
      </c>
      <c r="AV26" s="55">
        <v>3.0081786562021558E-3</v>
      </c>
      <c r="AW26" s="55">
        <v>4.430813264025878E-4</v>
      </c>
      <c r="AX26" s="55">
        <v>7.330767100649819E-5</v>
      </c>
      <c r="AY26" s="55">
        <v>4.1404577894775448E-4</v>
      </c>
      <c r="AZ26" s="55">
        <v>7.3561970843846121E-5</v>
      </c>
      <c r="BA26" s="55">
        <v>1.1262960775873317E-3</v>
      </c>
      <c r="BB26" s="55">
        <v>5.5789641856935919E-4</v>
      </c>
      <c r="BC26" s="55">
        <v>2.8414541076692213E-4</v>
      </c>
      <c r="BD26" s="55">
        <v>6.6869118138366082E-4</v>
      </c>
      <c r="BE26" s="55">
        <v>2.6577074754028994E-3</v>
      </c>
      <c r="BF26" s="55">
        <v>3.7169480209654536E-3</v>
      </c>
      <c r="BG26" s="55">
        <v>1.7637673751717776E-4</v>
      </c>
      <c r="BH26" s="55">
        <v>5.0688883399413616E-4</v>
      </c>
      <c r="BI26" s="55">
        <v>2.7221801353257725E-4</v>
      </c>
      <c r="BJ26" s="55">
        <v>0</v>
      </c>
      <c r="BK26" s="55">
        <v>1.2147836019092684E-4</v>
      </c>
      <c r="BL26" s="55">
        <v>2.4761964145128625E-5</v>
      </c>
      <c r="BM26" s="55">
        <v>0</v>
      </c>
    </row>
    <row r="27" spans="1:65" x14ac:dyDescent="0.25">
      <c r="A27" s="53" t="s">
        <v>86</v>
      </c>
      <c r="B27" s="54" t="s">
        <v>143</v>
      </c>
      <c r="C27" s="55">
        <v>3.617300134903236E-4</v>
      </c>
      <c r="D27" s="55">
        <v>2.5701160714396409E-4</v>
      </c>
      <c r="E27" s="55">
        <v>4.6171981652458777E-4</v>
      </c>
      <c r="F27" s="55">
        <v>1.2385146669739762E-4</v>
      </c>
      <c r="G27" s="55">
        <v>1.052954849811E-3</v>
      </c>
      <c r="H27" s="55">
        <v>2.4616182184496373E-3</v>
      </c>
      <c r="I27" s="55">
        <v>7.4366123168485994E-4</v>
      </c>
      <c r="J27" s="55">
        <v>1.614096600256756E-3</v>
      </c>
      <c r="K27" s="55">
        <v>8.9781963545425888E-4</v>
      </c>
      <c r="L27" s="55">
        <v>9.1686645048785764E-4</v>
      </c>
      <c r="M27" s="55">
        <v>1.5332029374561578E-3</v>
      </c>
      <c r="N27" s="55">
        <v>3.4452936925767567E-3</v>
      </c>
      <c r="O27" s="55">
        <v>1.4059907205928538E-3</v>
      </c>
      <c r="P27" s="55">
        <v>2.4800466141668809E-4</v>
      </c>
      <c r="Q27" s="55">
        <v>6.586065529558525E-4</v>
      </c>
      <c r="R27" s="55">
        <v>1.3942013867650222E-3</v>
      </c>
      <c r="S27" s="55">
        <v>3.9595720588028169E-4</v>
      </c>
      <c r="T27" s="55">
        <v>2.6547318842588564E-4</v>
      </c>
      <c r="U27" s="55">
        <v>1.2501420654464908E-3</v>
      </c>
      <c r="V27" s="55">
        <v>4.8566352520723003E-3</v>
      </c>
      <c r="W27" s="55">
        <v>5.8326611494131095E-4</v>
      </c>
      <c r="X27" s="55">
        <v>7.796103298841826E-4</v>
      </c>
      <c r="Y27" s="55">
        <v>1.36082395992057E-2</v>
      </c>
      <c r="Z27" s="55">
        <v>5.8079999612113097E-3</v>
      </c>
      <c r="AA27" s="55">
        <v>1.0019792930967133</v>
      </c>
      <c r="AB27" s="55">
        <v>5.9646166709512033E-3</v>
      </c>
      <c r="AC27" s="55">
        <v>5.4353433493197021E-4</v>
      </c>
      <c r="AD27" s="55">
        <v>5.1710815255287697E-4</v>
      </c>
      <c r="AE27" s="55">
        <v>7.1396253407711246E-4</v>
      </c>
      <c r="AF27" s="55">
        <v>4.8028824959936E-4</v>
      </c>
      <c r="AG27" s="55">
        <v>1.1177123817633274E-3</v>
      </c>
      <c r="AH27" s="55">
        <v>2.876425685438771E-3</v>
      </c>
      <c r="AI27" s="55">
        <v>4.8280293210047898E-3</v>
      </c>
      <c r="AJ27" s="55">
        <v>1.5163575651457187E-3</v>
      </c>
      <c r="AK27" s="55">
        <v>2.2348160423598393E-3</v>
      </c>
      <c r="AL27" s="55">
        <v>3.1938396262198854E-4</v>
      </c>
      <c r="AM27" s="55">
        <v>1.2672163244778374E-3</v>
      </c>
      <c r="AN27" s="55">
        <v>2.1152741646242382E-3</v>
      </c>
      <c r="AO27" s="55">
        <v>2.0268500539849525E-3</v>
      </c>
      <c r="AP27" s="55">
        <v>3.5403755938094197E-3</v>
      </c>
      <c r="AQ27" s="55">
        <v>5.28258672418719E-4</v>
      </c>
      <c r="AR27" s="55">
        <v>1.9897364333682625E-3</v>
      </c>
      <c r="AS27" s="55">
        <v>3.480381532965403E-3</v>
      </c>
      <c r="AT27" s="55">
        <v>4.4670943600324847E-4</v>
      </c>
      <c r="AU27" s="55">
        <v>3.1573407547165751E-3</v>
      </c>
      <c r="AV27" s="55">
        <v>2.7896360793591268E-4</v>
      </c>
      <c r="AW27" s="55">
        <v>3.0644629550727098E-4</v>
      </c>
      <c r="AX27" s="55">
        <v>6.6637469742714418E-5</v>
      </c>
      <c r="AY27" s="55">
        <v>3.382596860292423E-4</v>
      </c>
      <c r="AZ27" s="55">
        <v>4.4379143953749125E-5</v>
      </c>
      <c r="BA27" s="55">
        <v>6.3286497590861216E-3</v>
      </c>
      <c r="BB27" s="55">
        <v>1.245441751933176E-3</v>
      </c>
      <c r="BC27" s="55">
        <v>1.939484004826044E-4</v>
      </c>
      <c r="BD27" s="55">
        <v>5.7023399382250571E-5</v>
      </c>
      <c r="BE27" s="55">
        <v>5.8123541154539991E-4</v>
      </c>
      <c r="BF27" s="55">
        <v>4.9372318170381774E-4</v>
      </c>
      <c r="BG27" s="55">
        <v>1.0598907513938651E-4</v>
      </c>
      <c r="BH27" s="55">
        <v>3.9907738968676746E-4</v>
      </c>
      <c r="BI27" s="55">
        <v>1.9785467952254841E-4</v>
      </c>
      <c r="BJ27" s="55">
        <v>0</v>
      </c>
      <c r="BK27" s="55">
        <v>1.0828942899664433E-4</v>
      </c>
      <c r="BL27" s="55">
        <v>1.4752210518817829E-5</v>
      </c>
      <c r="BM27" s="55">
        <v>0</v>
      </c>
    </row>
    <row r="28" spans="1:65" x14ac:dyDescent="0.25">
      <c r="A28" s="53" t="s">
        <v>87</v>
      </c>
      <c r="B28" s="54" t="s">
        <v>17</v>
      </c>
      <c r="C28" s="55">
        <v>1.7433198504825239E-3</v>
      </c>
      <c r="D28" s="55">
        <v>1.0862153037094003E-3</v>
      </c>
      <c r="E28" s="55">
        <v>2.3638386502450883E-3</v>
      </c>
      <c r="F28" s="55">
        <v>3.0190803329850944E-4</v>
      </c>
      <c r="G28" s="55">
        <v>1.6230460775465074E-3</v>
      </c>
      <c r="H28" s="55">
        <v>2.752507254399442E-3</v>
      </c>
      <c r="I28" s="55">
        <v>3.3136676526591994E-3</v>
      </c>
      <c r="J28" s="55">
        <v>4.4182262024982837E-3</v>
      </c>
      <c r="K28" s="55">
        <v>5.0332483903361459E-3</v>
      </c>
      <c r="L28" s="55">
        <v>5.8705405989047631E-3</v>
      </c>
      <c r="M28" s="55">
        <v>3.158826342926226E-3</v>
      </c>
      <c r="N28" s="55">
        <v>2.5234207000219421E-3</v>
      </c>
      <c r="O28" s="55">
        <v>2.4212502890661961E-3</v>
      </c>
      <c r="P28" s="55">
        <v>4.6933582629083326E-4</v>
      </c>
      <c r="Q28" s="55">
        <v>1.5648429506857225E-3</v>
      </c>
      <c r="R28" s="55">
        <v>2.4240654950096218E-3</v>
      </c>
      <c r="S28" s="55">
        <v>5.7452159741104689E-4</v>
      </c>
      <c r="T28" s="55">
        <v>1.5531373180121969E-3</v>
      </c>
      <c r="U28" s="55">
        <v>6.3632523789260388E-3</v>
      </c>
      <c r="V28" s="55">
        <v>1.2951749028745196E-2</v>
      </c>
      <c r="W28" s="55">
        <v>4.0127785451603325E-3</v>
      </c>
      <c r="X28" s="55">
        <v>8.6368214549594636E-3</v>
      </c>
      <c r="Y28" s="55">
        <v>1.1724360237172927E-2</v>
      </c>
      <c r="Z28" s="55">
        <v>6.6811427885559464E-3</v>
      </c>
      <c r="AA28" s="55">
        <v>5.2642230639403055E-3</v>
      </c>
      <c r="AB28" s="55">
        <v>1.0617284613350881</v>
      </c>
      <c r="AC28" s="55">
        <v>5.8939402957142607E-3</v>
      </c>
      <c r="AD28" s="55">
        <v>5.6055223037846744E-3</v>
      </c>
      <c r="AE28" s="55">
        <v>1.7657304546311061E-3</v>
      </c>
      <c r="AF28" s="55">
        <v>1.1938147073690499E-3</v>
      </c>
      <c r="AG28" s="55">
        <v>8.3258795043492997E-3</v>
      </c>
      <c r="AH28" s="55">
        <v>3.7048205054707726E-3</v>
      </c>
      <c r="AI28" s="55">
        <v>6.7299543426274939E-3</v>
      </c>
      <c r="AJ28" s="55">
        <v>3.8314059346081677E-3</v>
      </c>
      <c r="AK28" s="55">
        <v>2.6761329091485639E-2</v>
      </c>
      <c r="AL28" s="55">
        <v>1.035803124751134E-3</v>
      </c>
      <c r="AM28" s="55">
        <v>2.4411244343598912E-3</v>
      </c>
      <c r="AN28" s="55">
        <v>2.6481809417666946E-3</v>
      </c>
      <c r="AO28" s="55">
        <v>8.4980702954319427E-3</v>
      </c>
      <c r="AP28" s="55">
        <v>8.8411004202777737E-3</v>
      </c>
      <c r="AQ28" s="55">
        <v>1.2780286851355267E-3</v>
      </c>
      <c r="AR28" s="55">
        <v>6.8782906770841687E-3</v>
      </c>
      <c r="AS28" s="55">
        <v>6.9123224759938765E-3</v>
      </c>
      <c r="AT28" s="55">
        <v>6.6624934289193612E-3</v>
      </c>
      <c r="AU28" s="55">
        <v>3.9912643804395085E-3</v>
      </c>
      <c r="AV28" s="55">
        <v>4.7900873788738188E-3</v>
      </c>
      <c r="AW28" s="55">
        <v>4.0831923844634622E-3</v>
      </c>
      <c r="AX28" s="55">
        <v>4.6134202827028455E-4</v>
      </c>
      <c r="AY28" s="55">
        <v>2.6742890490633834E-3</v>
      </c>
      <c r="AZ28" s="55">
        <v>7.0542762742598173E-4</v>
      </c>
      <c r="BA28" s="55">
        <v>3.4393068149548116E-3</v>
      </c>
      <c r="BB28" s="55">
        <v>2.5810947740540244E-3</v>
      </c>
      <c r="BC28" s="55">
        <v>2.6907235514874021E-3</v>
      </c>
      <c r="BD28" s="55">
        <v>7.2223999935958386E-4</v>
      </c>
      <c r="BE28" s="55">
        <v>7.7233857813470488E-3</v>
      </c>
      <c r="BF28" s="55">
        <v>4.6834192768302066E-3</v>
      </c>
      <c r="BG28" s="55">
        <v>1.1066382176522802E-3</v>
      </c>
      <c r="BH28" s="55">
        <v>3.8144070538116462E-3</v>
      </c>
      <c r="BI28" s="55">
        <v>1.6578179730545356E-3</v>
      </c>
      <c r="BJ28" s="55">
        <v>0</v>
      </c>
      <c r="BK28" s="55">
        <v>1.015163315514288E-3</v>
      </c>
      <c r="BL28" s="55">
        <v>2.0073099438000063E-4</v>
      </c>
      <c r="BM28" s="55">
        <v>0</v>
      </c>
    </row>
    <row r="29" spans="1:65" x14ac:dyDescent="0.25">
      <c r="A29" s="53" t="s">
        <v>88</v>
      </c>
      <c r="B29" s="54" t="s">
        <v>144</v>
      </c>
      <c r="C29" s="55">
        <v>2.0244093633346765E-4</v>
      </c>
      <c r="D29" s="55">
        <v>1.5072181277235754E-4</v>
      </c>
      <c r="E29" s="55">
        <v>2.4361006890510971E-4</v>
      </c>
      <c r="F29" s="55">
        <v>6.4664167407131956E-5</v>
      </c>
      <c r="G29" s="55">
        <v>1.6298335297425221E-4</v>
      </c>
      <c r="H29" s="55">
        <v>1.5448532649969518E-3</v>
      </c>
      <c r="I29" s="55">
        <v>6.8658675563651808E-4</v>
      </c>
      <c r="J29" s="55">
        <v>8.0239461248348819E-4</v>
      </c>
      <c r="K29" s="55">
        <v>7.3799494009018426E-4</v>
      </c>
      <c r="L29" s="55">
        <v>3.6254528456715492E-4</v>
      </c>
      <c r="M29" s="55">
        <v>1.1073749257476445E-3</v>
      </c>
      <c r="N29" s="55">
        <v>6.2561639007162339E-4</v>
      </c>
      <c r="O29" s="55">
        <v>3.7356119641098498E-4</v>
      </c>
      <c r="P29" s="55">
        <v>1.9681910015303532E-4</v>
      </c>
      <c r="Q29" s="55">
        <v>3.508888876916951E-4</v>
      </c>
      <c r="R29" s="55">
        <v>4.819383142408167E-4</v>
      </c>
      <c r="S29" s="55">
        <v>2.0016426362589199E-4</v>
      </c>
      <c r="T29" s="55">
        <v>3.3893734495649738E-4</v>
      </c>
      <c r="U29" s="55">
        <v>4.8259202513634364E-4</v>
      </c>
      <c r="V29" s="55">
        <v>2.0470515213965867E-3</v>
      </c>
      <c r="W29" s="55">
        <v>3.8015933911431495E-4</v>
      </c>
      <c r="X29" s="55">
        <v>2.9540912402971154E-3</v>
      </c>
      <c r="Y29" s="55">
        <v>2.4248176507190803E-3</v>
      </c>
      <c r="Z29" s="55">
        <v>2.8868654218389914E-4</v>
      </c>
      <c r="AA29" s="55">
        <v>1.9623483029140905E-4</v>
      </c>
      <c r="AB29" s="55">
        <v>1.3890400221051088E-3</v>
      </c>
      <c r="AC29" s="55">
        <v>1.0008367976093409</v>
      </c>
      <c r="AD29" s="55">
        <v>3.1024962900622465E-3</v>
      </c>
      <c r="AE29" s="55">
        <v>8.4058766273922359E-4</v>
      </c>
      <c r="AF29" s="55">
        <v>5.5529443761907055E-4</v>
      </c>
      <c r="AG29" s="55">
        <v>5.3845759188211884E-4</v>
      </c>
      <c r="AH29" s="55">
        <v>6.9936675939052896E-4</v>
      </c>
      <c r="AI29" s="55">
        <v>2.5693810857476494E-3</v>
      </c>
      <c r="AJ29" s="55">
        <v>1.2749750958814007E-3</v>
      </c>
      <c r="AK29" s="55">
        <v>7.5333761768114791E-3</v>
      </c>
      <c r="AL29" s="55">
        <v>1.8937818916377761E-4</v>
      </c>
      <c r="AM29" s="55">
        <v>3.7245901154672392E-4</v>
      </c>
      <c r="AN29" s="55">
        <v>9.1501436900509744E-4</v>
      </c>
      <c r="AO29" s="55">
        <v>1.2088769256543637E-3</v>
      </c>
      <c r="AP29" s="55">
        <v>1.5430860389659838E-3</v>
      </c>
      <c r="AQ29" s="55">
        <v>8.8323365363538267E-4</v>
      </c>
      <c r="AR29" s="55">
        <v>3.1269600978613642E-3</v>
      </c>
      <c r="AS29" s="55">
        <v>1.7597884254782906E-3</v>
      </c>
      <c r="AT29" s="55">
        <v>5.7552949851004606E-3</v>
      </c>
      <c r="AU29" s="55">
        <v>1.8848283836240998E-3</v>
      </c>
      <c r="AV29" s="55">
        <v>6.9514468556904356E-4</v>
      </c>
      <c r="AW29" s="55">
        <v>2.2909446517498967E-3</v>
      </c>
      <c r="AX29" s="55">
        <v>1.6072828759916365E-4</v>
      </c>
      <c r="AY29" s="55">
        <v>7.8361697638797915E-4</v>
      </c>
      <c r="AZ29" s="55">
        <v>2.5505335470137676E-4</v>
      </c>
      <c r="BA29" s="55">
        <v>1.8319163182192314E-3</v>
      </c>
      <c r="BB29" s="55">
        <v>5.6631537581511911E-4</v>
      </c>
      <c r="BC29" s="55">
        <v>4.411650013651358E-4</v>
      </c>
      <c r="BD29" s="55">
        <v>3.9842292936779599E-4</v>
      </c>
      <c r="BE29" s="55">
        <v>2.4416624831796003E-3</v>
      </c>
      <c r="BF29" s="55">
        <v>1.8389744874463901E-3</v>
      </c>
      <c r="BG29" s="55">
        <v>4.8093065794214675E-4</v>
      </c>
      <c r="BH29" s="55">
        <v>1.01553461753011E-3</v>
      </c>
      <c r="BI29" s="55">
        <v>6.4931918721719496E-4</v>
      </c>
      <c r="BJ29" s="55">
        <v>0</v>
      </c>
      <c r="BK29" s="55">
        <v>3.4213843016371435E-4</v>
      </c>
      <c r="BL29" s="55">
        <v>1.0690907783799907E-4</v>
      </c>
      <c r="BM29" s="55">
        <v>0</v>
      </c>
    </row>
    <row r="30" spans="1:65" x14ac:dyDescent="0.25">
      <c r="A30" s="53" t="s">
        <v>89</v>
      </c>
      <c r="B30" s="56" t="s">
        <v>145</v>
      </c>
      <c r="C30" s="55">
        <v>1.0037211776433991E-4</v>
      </c>
      <c r="D30" s="55">
        <v>8.3759910430717004E-5</v>
      </c>
      <c r="E30" s="55">
        <v>6.1903751053874102E-5</v>
      </c>
      <c r="F30" s="55">
        <v>2.7820822870541598E-5</v>
      </c>
      <c r="G30" s="55">
        <v>4.5530851744273404E-5</v>
      </c>
      <c r="H30" s="55">
        <v>1.005262656911549E-4</v>
      </c>
      <c r="I30" s="55">
        <v>1.9440537710624809E-4</v>
      </c>
      <c r="J30" s="55">
        <v>5.0377113242094148E-4</v>
      </c>
      <c r="K30" s="55">
        <v>6.7365320444077352E-4</v>
      </c>
      <c r="L30" s="55">
        <v>2.9206923281443038E-4</v>
      </c>
      <c r="M30" s="55">
        <v>9.0697808177252824E-5</v>
      </c>
      <c r="N30" s="55">
        <v>1.5016283068880267E-4</v>
      </c>
      <c r="O30" s="55">
        <v>8.3645140013227781E-5</v>
      </c>
      <c r="P30" s="55">
        <v>2.0648821915148496E-5</v>
      </c>
      <c r="Q30" s="55">
        <v>3.2453324638780934E-5</v>
      </c>
      <c r="R30" s="55">
        <v>6.649816082178544E-5</v>
      </c>
      <c r="S30" s="55">
        <v>2.4008501438460058E-5</v>
      </c>
      <c r="T30" s="55">
        <v>1.6290124486461187E-5</v>
      </c>
      <c r="U30" s="55">
        <v>6.928865081474463E-5</v>
      </c>
      <c r="V30" s="55">
        <v>1.3737430756415283E-4</v>
      </c>
      <c r="W30" s="55">
        <v>2.55823738914604E-4</v>
      </c>
      <c r="X30" s="55">
        <v>3.12277795255374E-4</v>
      </c>
      <c r="Y30" s="55">
        <v>1.5876790161362694E-4</v>
      </c>
      <c r="Z30" s="55">
        <v>1.0979210490776997E-4</v>
      </c>
      <c r="AA30" s="55">
        <v>4.337861499059996E-5</v>
      </c>
      <c r="AB30" s="55">
        <v>1.5259049189935504E-4</v>
      </c>
      <c r="AC30" s="55">
        <v>4.8912110590131672E-5</v>
      </c>
      <c r="AD30" s="55">
        <v>1.0000453298093026</v>
      </c>
      <c r="AE30" s="55">
        <v>9.1490017669135299E-5</v>
      </c>
      <c r="AF30" s="55">
        <v>6.0356483102147922E-5</v>
      </c>
      <c r="AG30" s="55">
        <v>9.224673157726468E-5</v>
      </c>
      <c r="AH30" s="55">
        <v>1.5538018995971367E-4</v>
      </c>
      <c r="AI30" s="55">
        <v>1.8921155609848042E-4</v>
      </c>
      <c r="AJ30" s="55">
        <v>9.5553805290537038E-5</v>
      </c>
      <c r="AK30" s="55">
        <v>2.7518672358388911E-4</v>
      </c>
      <c r="AL30" s="55">
        <v>1.0958124713337939E-4</v>
      </c>
      <c r="AM30" s="55">
        <v>2.0931379451844092E-3</v>
      </c>
      <c r="AN30" s="55">
        <v>5.6047270374439763E-5</v>
      </c>
      <c r="AO30" s="55">
        <v>2.5620728135422941E-4</v>
      </c>
      <c r="AP30" s="55">
        <v>6.5530205104331199E-3</v>
      </c>
      <c r="AQ30" s="55">
        <v>2.7548826728350428E-5</v>
      </c>
      <c r="AR30" s="55">
        <v>9.9995000397148817E-4</v>
      </c>
      <c r="AS30" s="55">
        <v>1.3641854541928441E-3</v>
      </c>
      <c r="AT30" s="55">
        <v>1.7408024714079685E-4</v>
      </c>
      <c r="AU30" s="55">
        <v>7.7169052850717943E-4</v>
      </c>
      <c r="AV30" s="55">
        <v>5.9372874337195835E-4</v>
      </c>
      <c r="AW30" s="55">
        <v>7.2823216885183428E-5</v>
      </c>
      <c r="AX30" s="55">
        <v>6.3161254290055227E-5</v>
      </c>
      <c r="AY30" s="55">
        <v>3.5852234668382098E-4</v>
      </c>
      <c r="AZ30" s="55">
        <v>1.624251882301182E-5</v>
      </c>
      <c r="BA30" s="55">
        <v>6.855179343423709E-4</v>
      </c>
      <c r="BB30" s="55">
        <v>3.0145787446711486E-4</v>
      </c>
      <c r="BC30" s="55">
        <v>6.8189456711619838E-5</v>
      </c>
      <c r="BD30" s="55">
        <v>2.2060300313963766E-5</v>
      </c>
      <c r="BE30" s="55">
        <v>1.7754055543759637E-4</v>
      </c>
      <c r="BF30" s="55">
        <v>1.6377722057078821E-4</v>
      </c>
      <c r="BG30" s="55">
        <v>4.7022922809272522E-4</v>
      </c>
      <c r="BH30" s="55">
        <v>1.0784965930876931E-3</v>
      </c>
      <c r="BI30" s="55">
        <v>6.0769572216392989E-4</v>
      </c>
      <c r="BJ30" s="55">
        <v>0</v>
      </c>
      <c r="BK30" s="55">
        <v>1.8910382135711343E-5</v>
      </c>
      <c r="BL30" s="55">
        <v>7.1363997047244662E-6</v>
      </c>
      <c r="BM30" s="55">
        <v>0</v>
      </c>
    </row>
    <row r="31" spans="1:65" x14ac:dyDescent="0.25">
      <c r="A31" s="53" t="s">
        <v>90</v>
      </c>
      <c r="B31" s="54" t="s">
        <v>169</v>
      </c>
      <c r="C31" s="55">
        <v>2.1747951897752495E-2</v>
      </c>
      <c r="D31" s="55">
        <v>1.5318276603656941E-2</v>
      </c>
      <c r="E31" s="55">
        <v>3.9500329806974608E-3</v>
      </c>
      <c r="F31" s="55">
        <v>2.5286710326642876E-3</v>
      </c>
      <c r="G31" s="55">
        <v>6.3119971022090673E-3</v>
      </c>
      <c r="H31" s="55">
        <v>3.4750419836426391E-2</v>
      </c>
      <c r="I31" s="55">
        <v>4.2604612113988798E-2</v>
      </c>
      <c r="J31" s="55">
        <v>1.3300571454788725E-2</v>
      </c>
      <c r="K31" s="55">
        <v>1.3760000316765041E-2</v>
      </c>
      <c r="L31" s="55">
        <v>1.1547976961686133E-2</v>
      </c>
      <c r="M31" s="55">
        <v>2.577675775473192E-2</v>
      </c>
      <c r="N31" s="55">
        <v>1.6269243330992049E-2</v>
      </c>
      <c r="O31" s="55">
        <v>2.4097607108717396E-2</v>
      </c>
      <c r="P31" s="55">
        <v>1.1141746359070698E-2</v>
      </c>
      <c r="Q31" s="55">
        <v>9.5310968223429396E-3</v>
      </c>
      <c r="R31" s="55">
        <v>4.9031185277733699E-3</v>
      </c>
      <c r="S31" s="55">
        <v>5.6821244500744961E-3</v>
      </c>
      <c r="T31" s="55">
        <v>1.5680576939303323E-3</v>
      </c>
      <c r="U31" s="55">
        <v>8.3371260391518921E-3</v>
      </c>
      <c r="V31" s="55">
        <v>1.0624471729184886E-2</v>
      </c>
      <c r="W31" s="55">
        <v>5.2949845927639239E-3</v>
      </c>
      <c r="X31" s="55">
        <v>4.098351506210992E-2</v>
      </c>
      <c r="Y31" s="55">
        <v>1.4373805599409087E-2</v>
      </c>
      <c r="Z31" s="55">
        <v>1.1518991064102225E-2</v>
      </c>
      <c r="AA31" s="55">
        <v>3.63467706280711E-3</v>
      </c>
      <c r="AB31" s="55">
        <v>1.2139845894639867E-2</v>
      </c>
      <c r="AC31" s="55">
        <v>4.6373205685570117E-3</v>
      </c>
      <c r="AD31" s="55">
        <v>4.4040324012757388E-3</v>
      </c>
      <c r="AE31" s="55">
        <v>1.0456473625211351</v>
      </c>
      <c r="AF31" s="55">
        <v>5.0125672051357685E-3</v>
      </c>
      <c r="AG31" s="55">
        <v>1.0007534450519282E-2</v>
      </c>
      <c r="AH31" s="55">
        <v>1.5332944091121757E-2</v>
      </c>
      <c r="AI31" s="55">
        <v>1.635849519011737E-2</v>
      </c>
      <c r="AJ31" s="55">
        <v>2.4304661940824637E-3</v>
      </c>
      <c r="AK31" s="55">
        <v>1.5450491451941701E-2</v>
      </c>
      <c r="AL31" s="55">
        <v>2.7578858825248642E-3</v>
      </c>
      <c r="AM31" s="55">
        <v>1.6557505454150016E-2</v>
      </c>
      <c r="AN31" s="55">
        <v>6.1975944768004046E-3</v>
      </c>
      <c r="AO31" s="55">
        <v>1.5563768941490195E-2</v>
      </c>
      <c r="AP31" s="55">
        <v>1.7534870597596963E-2</v>
      </c>
      <c r="AQ31" s="55">
        <v>1.8727156194487465E-3</v>
      </c>
      <c r="AR31" s="55">
        <v>2.7094970431341889E-2</v>
      </c>
      <c r="AS31" s="55">
        <v>1.300440281380774E-2</v>
      </c>
      <c r="AT31" s="55">
        <v>1.6121993635524658E-2</v>
      </c>
      <c r="AU31" s="55">
        <v>1.4441544270133827E-2</v>
      </c>
      <c r="AV31" s="55">
        <v>4.1719965592059366E-3</v>
      </c>
      <c r="AW31" s="55">
        <v>2.6027337242938479E-2</v>
      </c>
      <c r="AX31" s="55">
        <v>1.0897725862063781E-3</v>
      </c>
      <c r="AY31" s="55">
        <v>1.0705084174384967E-2</v>
      </c>
      <c r="AZ31" s="55">
        <v>1.2653097234913814E-3</v>
      </c>
      <c r="BA31" s="55">
        <v>3.0854582329293927E-2</v>
      </c>
      <c r="BB31" s="55">
        <v>3.4509833391124851E-2</v>
      </c>
      <c r="BC31" s="55">
        <v>6.3620297889200421E-3</v>
      </c>
      <c r="BD31" s="55">
        <v>4.7466631139624054E-3</v>
      </c>
      <c r="BE31" s="55">
        <v>5.252928961654707E-2</v>
      </c>
      <c r="BF31" s="55">
        <v>3.3268117877197467E-2</v>
      </c>
      <c r="BG31" s="55">
        <v>4.9342553594762953E-3</v>
      </c>
      <c r="BH31" s="55">
        <v>2.1207571023823764E-2</v>
      </c>
      <c r="BI31" s="55">
        <v>1.8242154276565604E-2</v>
      </c>
      <c r="BJ31" s="55">
        <v>0</v>
      </c>
      <c r="BK31" s="55">
        <v>4.2106495532376834E-3</v>
      </c>
      <c r="BL31" s="55">
        <v>1.6953008772294528E-3</v>
      </c>
      <c r="BM31" s="55">
        <v>0</v>
      </c>
    </row>
    <row r="32" spans="1:65" x14ac:dyDescent="0.25">
      <c r="A32" s="53" t="s">
        <v>91</v>
      </c>
      <c r="B32" s="54" t="s">
        <v>170</v>
      </c>
      <c r="C32" s="55">
        <v>3.0224853299175031E-3</v>
      </c>
      <c r="D32" s="55">
        <v>2.0874936564810962E-3</v>
      </c>
      <c r="E32" s="55">
        <v>5.4641263283579193E-4</v>
      </c>
      <c r="F32" s="55">
        <v>3.4529415452996511E-4</v>
      </c>
      <c r="G32" s="55">
        <v>8.6439756929210785E-4</v>
      </c>
      <c r="H32" s="55">
        <v>8.5964703517500442E-3</v>
      </c>
      <c r="I32" s="55">
        <v>5.8585448854671556E-3</v>
      </c>
      <c r="J32" s="55">
        <v>1.8655939677532272E-3</v>
      </c>
      <c r="K32" s="55">
        <v>1.8991600830678406E-3</v>
      </c>
      <c r="L32" s="55">
        <v>1.5908811163511938E-3</v>
      </c>
      <c r="M32" s="55">
        <v>3.859207395479475E-3</v>
      </c>
      <c r="N32" s="55">
        <v>2.2423997260351573E-3</v>
      </c>
      <c r="O32" s="55">
        <v>3.2909723345668409E-3</v>
      </c>
      <c r="P32" s="55">
        <v>1.5678722723251723E-3</v>
      </c>
      <c r="Q32" s="55">
        <v>1.3025748972885522E-3</v>
      </c>
      <c r="R32" s="55">
        <v>6.7318792758682669E-4</v>
      </c>
      <c r="S32" s="55">
        <v>8.1166724078189482E-4</v>
      </c>
      <c r="T32" s="55">
        <v>2.1456984144155333E-4</v>
      </c>
      <c r="U32" s="55">
        <v>1.1409861839874616E-3</v>
      </c>
      <c r="V32" s="55">
        <v>1.452027180511988E-3</v>
      </c>
      <c r="W32" s="55">
        <v>7.2759795664599513E-4</v>
      </c>
      <c r="X32" s="55">
        <v>5.5822363686071526E-3</v>
      </c>
      <c r="Y32" s="55">
        <v>1.9677807034479172E-3</v>
      </c>
      <c r="Z32" s="55">
        <v>1.573858117703609E-3</v>
      </c>
      <c r="AA32" s="55">
        <v>4.9721463257909485E-4</v>
      </c>
      <c r="AB32" s="55">
        <v>1.6613294687708592E-3</v>
      </c>
      <c r="AC32" s="55">
        <v>6.3576952589396152E-4</v>
      </c>
      <c r="AD32" s="55">
        <v>6.0372686361808987E-4</v>
      </c>
      <c r="AE32" s="55">
        <v>3.2235473428015964E-2</v>
      </c>
      <c r="AF32" s="55">
        <v>1.0939600926386575</v>
      </c>
      <c r="AG32" s="55">
        <v>1.4101105802487759E-3</v>
      </c>
      <c r="AH32" s="55">
        <v>2.1733951741551055E-3</v>
      </c>
      <c r="AI32" s="55">
        <v>2.2388082591168887E-3</v>
      </c>
      <c r="AJ32" s="55">
        <v>3.3102731507272368E-4</v>
      </c>
      <c r="AK32" s="55">
        <v>2.1075526685979461E-3</v>
      </c>
      <c r="AL32" s="55">
        <v>3.781378204156766E-4</v>
      </c>
      <c r="AM32" s="55">
        <v>2.1528090251736981E-3</v>
      </c>
      <c r="AN32" s="55">
        <v>8.4819425118444057E-4</v>
      </c>
      <c r="AO32" s="55">
        <v>2.1294482428679037E-3</v>
      </c>
      <c r="AP32" s="55">
        <v>2.5683335227507987E-3</v>
      </c>
      <c r="AQ32" s="55">
        <v>2.5930454330776116E-4</v>
      </c>
      <c r="AR32" s="55">
        <v>3.7004350126367993E-3</v>
      </c>
      <c r="AS32" s="55">
        <v>1.8371201660887452E-3</v>
      </c>
      <c r="AT32" s="55">
        <v>2.2307141743177603E-3</v>
      </c>
      <c r="AU32" s="55">
        <v>1.9764748932425895E-3</v>
      </c>
      <c r="AV32" s="55">
        <v>5.9072220462776115E-4</v>
      </c>
      <c r="AW32" s="55">
        <v>3.5526898335132007E-3</v>
      </c>
      <c r="AX32" s="55">
        <v>1.4824718492768515E-4</v>
      </c>
      <c r="AY32" s="55">
        <v>1.458885645631542E-3</v>
      </c>
      <c r="AZ32" s="55">
        <v>1.7278914512661658E-4</v>
      </c>
      <c r="BA32" s="55">
        <v>4.2247798582598275E-3</v>
      </c>
      <c r="BB32" s="55">
        <v>4.7075353030185969E-3</v>
      </c>
      <c r="BC32" s="55">
        <v>8.686042393020681E-4</v>
      </c>
      <c r="BD32" s="55">
        <v>6.4714415222489187E-4</v>
      </c>
      <c r="BE32" s="55">
        <v>7.224008904994284E-3</v>
      </c>
      <c r="BF32" s="55">
        <v>4.5968998984820351E-3</v>
      </c>
      <c r="BG32" s="55">
        <v>6.7356081600791534E-4</v>
      </c>
      <c r="BH32" s="55">
        <v>2.89178071074407E-3</v>
      </c>
      <c r="BI32" s="55">
        <v>2.4855662988317916E-3</v>
      </c>
      <c r="BJ32" s="55">
        <v>0</v>
      </c>
      <c r="BK32" s="55">
        <v>5.7475593985881885E-4</v>
      </c>
      <c r="BL32" s="55">
        <v>2.3318744041156509E-4</v>
      </c>
      <c r="BM32" s="55">
        <v>0</v>
      </c>
    </row>
    <row r="33" spans="1:65" x14ac:dyDescent="0.25">
      <c r="A33" s="53" t="s">
        <v>92</v>
      </c>
      <c r="B33" s="54" t="s">
        <v>5</v>
      </c>
      <c r="C33" s="55">
        <v>2.6715157186731942E-2</v>
      </c>
      <c r="D33" s="55">
        <v>1.2083929289870799E-2</v>
      </c>
      <c r="E33" s="55">
        <v>3.9168891258778052E-2</v>
      </c>
      <c r="F33" s="55">
        <v>1.5508433094345367E-3</v>
      </c>
      <c r="G33" s="55">
        <v>4.7740498090936792E-2</v>
      </c>
      <c r="H33" s="55">
        <v>8.730279238552667E-2</v>
      </c>
      <c r="I33" s="55">
        <v>5.7095996207860267E-2</v>
      </c>
      <c r="J33" s="55">
        <v>4.3245323784513706E-2</v>
      </c>
      <c r="K33" s="55">
        <v>3.3541633861160478E-2</v>
      </c>
      <c r="L33" s="55">
        <v>4.762431270694864E-2</v>
      </c>
      <c r="M33" s="55">
        <v>4.1721906896568267E-2</v>
      </c>
      <c r="N33" s="55">
        <v>7.662873068819305E-2</v>
      </c>
      <c r="O33" s="55">
        <v>3.7853632753041641E-2</v>
      </c>
      <c r="P33" s="55">
        <v>4.4399750441411695E-3</v>
      </c>
      <c r="Q33" s="55">
        <v>1.5375394762008806E-2</v>
      </c>
      <c r="R33" s="55">
        <v>1.2042073158450892E-2</v>
      </c>
      <c r="S33" s="55">
        <v>2.3639639511860715E-3</v>
      </c>
      <c r="T33" s="55">
        <v>5.7160673465219127E-3</v>
      </c>
      <c r="U33" s="55">
        <v>3.7221045930350562E-2</v>
      </c>
      <c r="V33" s="55">
        <v>1.8518664288151947E-2</v>
      </c>
      <c r="W33" s="55">
        <v>1.1994213185775338E-2</v>
      </c>
      <c r="X33" s="55">
        <v>1.1634495283163486E-2</v>
      </c>
      <c r="Y33" s="55">
        <v>2.610435594466444E-2</v>
      </c>
      <c r="Z33" s="55">
        <v>1.5432241504392458E-2</v>
      </c>
      <c r="AA33" s="55">
        <v>3.20580753535435E-3</v>
      </c>
      <c r="AB33" s="55">
        <v>1.1724652438240434E-2</v>
      </c>
      <c r="AC33" s="55">
        <v>5.3731099497948452E-3</v>
      </c>
      <c r="AD33" s="55">
        <v>5.1544447146561435E-3</v>
      </c>
      <c r="AE33" s="55">
        <v>1.2477869158260092E-2</v>
      </c>
      <c r="AF33" s="55">
        <v>9.0701076370203523E-3</v>
      </c>
      <c r="AG33" s="55">
        <v>1.0166076396214987</v>
      </c>
      <c r="AH33" s="55">
        <v>3.96589823799493E-3</v>
      </c>
      <c r="AI33" s="55">
        <v>7.574860366619288E-3</v>
      </c>
      <c r="AJ33" s="55">
        <v>1.4831091057625921E-3</v>
      </c>
      <c r="AK33" s="55">
        <v>5.7123064268729228E-3</v>
      </c>
      <c r="AL33" s="55">
        <v>7.2428368359599531E-3</v>
      </c>
      <c r="AM33" s="55">
        <v>3.6600803700666948E-3</v>
      </c>
      <c r="AN33" s="55">
        <v>9.5194680348108067E-3</v>
      </c>
      <c r="AO33" s="55">
        <v>9.954814353946944E-3</v>
      </c>
      <c r="AP33" s="55">
        <v>6.1547912865446862E-3</v>
      </c>
      <c r="AQ33" s="55">
        <v>3.0463615888512577E-3</v>
      </c>
      <c r="AR33" s="55">
        <v>1.4706761391065012E-2</v>
      </c>
      <c r="AS33" s="55">
        <v>1.2460369705452798E-2</v>
      </c>
      <c r="AT33" s="55">
        <v>3.9761994742818193E-3</v>
      </c>
      <c r="AU33" s="55">
        <v>3.2965863106992851E-3</v>
      </c>
      <c r="AV33" s="55">
        <v>7.2234424557891651E-3</v>
      </c>
      <c r="AW33" s="55">
        <v>1.7521809078762419E-2</v>
      </c>
      <c r="AX33" s="55">
        <v>1.0042728762995614E-3</v>
      </c>
      <c r="AY33" s="55">
        <v>7.1072012135221553E-3</v>
      </c>
      <c r="AZ33" s="55">
        <v>1.4269898030225383E-3</v>
      </c>
      <c r="BA33" s="55">
        <v>1.8132190773936466E-2</v>
      </c>
      <c r="BB33" s="55">
        <v>9.7817939027590225E-3</v>
      </c>
      <c r="BC33" s="55">
        <v>6.690589860071549E-3</v>
      </c>
      <c r="BD33" s="55">
        <v>1.3308930408019672E-3</v>
      </c>
      <c r="BE33" s="55">
        <v>1.6144793285675061E-2</v>
      </c>
      <c r="BF33" s="55">
        <v>3.5099255970737077E-2</v>
      </c>
      <c r="BG33" s="55">
        <v>5.5016112661987497E-3</v>
      </c>
      <c r="BH33" s="55">
        <v>8.8031952997912766E-3</v>
      </c>
      <c r="BI33" s="55">
        <v>3.6029040655061791E-3</v>
      </c>
      <c r="BJ33" s="55">
        <v>0</v>
      </c>
      <c r="BK33" s="55">
        <v>5.4291916742859074E-3</v>
      </c>
      <c r="BL33" s="55">
        <v>6.6470572520241681E-4</v>
      </c>
      <c r="BM33" s="55">
        <v>0</v>
      </c>
    </row>
    <row r="34" spans="1:65" x14ac:dyDescent="0.25">
      <c r="A34" s="53" t="s">
        <v>93</v>
      </c>
      <c r="B34" s="54" t="s">
        <v>146</v>
      </c>
      <c r="C34" s="55">
        <v>1.2071754118541167E-2</v>
      </c>
      <c r="D34" s="55">
        <v>2.4018763690071749E-3</v>
      </c>
      <c r="E34" s="55">
        <v>2.8746306478907222E-2</v>
      </c>
      <c r="F34" s="55">
        <v>1.6211462795394248E-3</v>
      </c>
      <c r="G34" s="55">
        <v>8.3960580927044028E-3</v>
      </c>
      <c r="H34" s="55">
        <v>8.306109614606122E-3</v>
      </c>
      <c r="I34" s="55">
        <v>6.844043035744439E-2</v>
      </c>
      <c r="J34" s="55">
        <v>6.2032277794246082E-2</v>
      </c>
      <c r="K34" s="55">
        <v>3.042189858365002E-2</v>
      </c>
      <c r="L34" s="55">
        <v>8.5784012847376481E-2</v>
      </c>
      <c r="M34" s="55">
        <v>1.6161682517356821E-2</v>
      </c>
      <c r="N34" s="55">
        <v>1.8926720174559257E-2</v>
      </c>
      <c r="O34" s="55">
        <v>1.970704671637594E-2</v>
      </c>
      <c r="P34" s="55">
        <v>1.3290762912397632E-3</v>
      </c>
      <c r="Q34" s="55">
        <v>9.044960699029431E-3</v>
      </c>
      <c r="R34" s="55">
        <v>3.8919246624429422E-3</v>
      </c>
      <c r="S34" s="55">
        <v>5.986789300677039E-4</v>
      </c>
      <c r="T34" s="55">
        <v>1.7547575129459754E-3</v>
      </c>
      <c r="U34" s="55">
        <v>4.889523666591007E-3</v>
      </c>
      <c r="V34" s="55">
        <v>4.8147959690407853E-3</v>
      </c>
      <c r="W34" s="55">
        <v>3.5085088717409238E-3</v>
      </c>
      <c r="X34" s="55">
        <v>3.0232247615031221E-2</v>
      </c>
      <c r="Y34" s="55">
        <v>7.8667357954598054E-3</v>
      </c>
      <c r="Z34" s="55">
        <v>1.5360230863061304E-2</v>
      </c>
      <c r="AA34" s="55">
        <v>6.4893853229241807E-3</v>
      </c>
      <c r="AB34" s="55">
        <v>2.0593267218877154E-2</v>
      </c>
      <c r="AC34" s="55">
        <v>6.924775208553371E-3</v>
      </c>
      <c r="AD34" s="55">
        <v>6.5698496601892149E-3</v>
      </c>
      <c r="AE34" s="55">
        <v>1.0611361816108309E-2</v>
      </c>
      <c r="AF34" s="55">
        <v>7.3078227038294013E-3</v>
      </c>
      <c r="AG34" s="55">
        <v>9.8003364135135929E-3</v>
      </c>
      <c r="AH34" s="55">
        <v>1.0099118330126955</v>
      </c>
      <c r="AI34" s="55">
        <v>6.6999646184599847E-3</v>
      </c>
      <c r="AJ34" s="55">
        <v>1.3714841919123544E-3</v>
      </c>
      <c r="AK34" s="55">
        <v>1.6580935180863086E-2</v>
      </c>
      <c r="AL34" s="55">
        <v>2.2270719866450888E-2</v>
      </c>
      <c r="AM34" s="55">
        <v>6.01094592353397E-3</v>
      </c>
      <c r="AN34" s="55">
        <v>4.609980367280388E-3</v>
      </c>
      <c r="AO34" s="55">
        <v>1.9452825299459867E-2</v>
      </c>
      <c r="AP34" s="55">
        <v>2.033591855600117E-2</v>
      </c>
      <c r="AQ34" s="55">
        <v>3.7426012936740299E-3</v>
      </c>
      <c r="AR34" s="55">
        <v>2.0901529666556059E-2</v>
      </c>
      <c r="AS34" s="55">
        <v>1.583418827628174E-2</v>
      </c>
      <c r="AT34" s="55">
        <v>3.6875468653299352E-3</v>
      </c>
      <c r="AU34" s="55">
        <v>4.2484715587859778E-3</v>
      </c>
      <c r="AV34" s="55">
        <v>1.6889969636605235E-2</v>
      </c>
      <c r="AW34" s="55">
        <v>1.8353719974679588E-2</v>
      </c>
      <c r="AX34" s="55">
        <v>3.5207185887154943E-4</v>
      </c>
      <c r="AY34" s="55">
        <v>5.1586461323297195E-3</v>
      </c>
      <c r="AZ34" s="55">
        <v>1.0183672272495389E-3</v>
      </c>
      <c r="BA34" s="55">
        <v>1.2077946153209411E-2</v>
      </c>
      <c r="BB34" s="55">
        <v>4.1289956441889755E-3</v>
      </c>
      <c r="BC34" s="55">
        <v>2.0027960053924285E-3</v>
      </c>
      <c r="BD34" s="55">
        <v>7.0250542872579095E-4</v>
      </c>
      <c r="BE34" s="55">
        <v>1.0149027956982682E-2</v>
      </c>
      <c r="BF34" s="55">
        <v>9.5966390749756148E-3</v>
      </c>
      <c r="BG34" s="55">
        <v>5.3009376454495544E-3</v>
      </c>
      <c r="BH34" s="55">
        <v>1.3879480179140605E-2</v>
      </c>
      <c r="BI34" s="55">
        <v>3.3954640386657728E-3</v>
      </c>
      <c r="BJ34" s="55">
        <v>0</v>
      </c>
      <c r="BK34" s="55">
        <v>1.4797754624028003E-3</v>
      </c>
      <c r="BL34" s="55">
        <v>2.5396006219897754E-4</v>
      </c>
      <c r="BM34" s="55">
        <v>0</v>
      </c>
    </row>
    <row r="35" spans="1:65" x14ac:dyDescent="0.25">
      <c r="A35" s="53" t="s">
        <v>94</v>
      </c>
      <c r="B35" s="54" t="s">
        <v>147</v>
      </c>
      <c r="C35" s="55">
        <v>8.412168360365381E-3</v>
      </c>
      <c r="D35" s="55">
        <v>4.1554384092108224E-3</v>
      </c>
      <c r="E35" s="55">
        <v>6.7298165429912054E-3</v>
      </c>
      <c r="F35" s="55">
        <v>2.5398284763619439E-3</v>
      </c>
      <c r="G35" s="55">
        <v>7.6540746475732254E-3</v>
      </c>
      <c r="H35" s="55">
        <v>1.8893853331319849E-2</v>
      </c>
      <c r="I35" s="55">
        <v>1.1459838565286368E-2</v>
      </c>
      <c r="J35" s="55">
        <v>1.2620952551201931E-2</v>
      </c>
      <c r="K35" s="55">
        <v>1.2396902222518581E-2</v>
      </c>
      <c r="L35" s="55">
        <v>1.1191212675872642E-2</v>
      </c>
      <c r="M35" s="55">
        <v>7.0191709902136055E-3</v>
      </c>
      <c r="N35" s="55">
        <v>1.4276776898906884E-2</v>
      </c>
      <c r="O35" s="55">
        <v>8.827094822605068E-3</v>
      </c>
      <c r="P35" s="55">
        <v>2.7411683437489794E-3</v>
      </c>
      <c r="Q35" s="55">
        <v>4.1695023988027151E-3</v>
      </c>
      <c r="R35" s="55">
        <v>4.9052514262759479E-3</v>
      </c>
      <c r="S35" s="55">
        <v>1.4650538808989476E-3</v>
      </c>
      <c r="T35" s="55">
        <v>1.8610005334191001E-3</v>
      </c>
      <c r="U35" s="55">
        <v>8.2804234599925929E-3</v>
      </c>
      <c r="V35" s="55">
        <v>1.0771145615235421E-2</v>
      </c>
      <c r="W35" s="55">
        <v>5.1213186733030476E-3</v>
      </c>
      <c r="X35" s="55">
        <v>1.0034312101944633E-2</v>
      </c>
      <c r="Y35" s="55">
        <v>1.6922118936273198E-2</v>
      </c>
      <c r="Z35" s="55">
        <v>1.312695171350557E-2</v>
      </c>
      <c r="AA35" s="55">
        <v>5.1201970966873074E-3</v>
      </c>
      <c r="AB35" s="55">
        <v>1.8586508166979321E-2</v>
      </c>
      <c r="AC35" s="55">
        <v>4.9086468500647703E-3</v>
      </c>
      <c r="AD35" s="55">
        <v>4.6698436623695523E-3</v>
      </c>
      <c r="AE35" s="55">
        <v>1.1804175833573244E-2</v>
      </c>
      <c r="AF35" s="55">
        <v>8.2365227883129839E-3</v>
      </c>
      <c r="AG35" s="55">
        <v>1.1867781368346654E-2</v>
      </c>
      <c r="AH35" s="55">
        <v>1.1984838511079081E-2</v>
      </c>
      <c r="AI35" s="55">
        <v>1.0678656406678875</v>
      </c>
      <c r="AJ35" s="55">
        <v>4.8238611152410221E-3</v>
      </c>
      <c r="AK35" s="55">
        <v>2.0515651771042559E-2</v>
      </c>
      <c r="AL35" s="55">
        <v>2.1227847275199517E-2</v>
      </c>
      <c r="AM35" s="55">
        <v>9.5858778735173553E-3</v>
      </c>
      <c r="AN35" s="55">
        <v>1.3568062478438125E-2</v>
      </c>
      <c r="AO35" s="55">
        <v>1.5774303039784332E-2</v>
      </c>
      <c r="AP35" s="55">
        <v>1.6433395862017305E-2</v>
      </c>
      <c r="AQ35" s="55">
        <v>2.102232614772779E-3</v>
      </c>
      <c r="AR35" s="55">
        <v>1.0003986210809911E-2</v>
      </c>
      <c r="AS35" s="55">
        <v>1.374333174545478E-2</v>
      </c>
      <c r="AT35" s="55">
        <v>2.6939547301678174E-3</v>
      </c>
      <c r="AU35" s="55">
        <v>4.94418718936856E-3</v>
      </c>
      <c r="AV35" s="55">
        <v>7.500773069533004E-3</v>
      </c>
      <c r="AW35" s="55">
        <v>6.9480444603093891E-3</v>
      </c>
      <c r="AX35" s="55">
        <v>8.0712028020840914E-4</v>
      </c>
      <c r="AY35" s="55">
        <v>4.2050699537828128E-3</v>
      </c>
      <c r="AZ35" s="55">
        <v>1.2198897499514313E-3</v>
      </c>
      <c r="BA35" s="55">
        <v>8.8166843467439703E-3</v>
      </c>
      <c r="BB35" s="55">
        <v>6.9010153764956107E-3</v>
      </c>
      <c r="BC35" s="55">
        <v>3.2714081110846341E-3</v>
      </c>
      <c r="BD35" s="55">
        <v>1.2943717437230078E-3</v>
      </c>
      <c r="BE35" s="55">
        <v>2.8543384423332863E-2</v>
      </c>
      <c r="BF35" s="55">
        <v>1.3539686422123522E-2</v>
      </c>
      <c r="BG35" s="55">
        <v>3.6940154593726703E-3</v>
      </c>
      <c r="BH35" s="55">
        <v>7.7731895062387096E-3</v>
      </c>
      <c r="BI35" s="55">
        <v>2.507911659865616E-3</v>
      </c>
      <c r="BJ35" s="55">
        <v>0</v>
      </c>
      <c r="BK35" s="55">
        <v>1.2690145615031332E-3</v>
      </c>
      <c r="BL35" s="55">
        <v>2.4181615447325667E-4</v>
      </c>
      <c r="BM35" s="55">
        <v>0</v>
      </c>
    </row>
    <row r="36" spans="1:65" x14ac:dyDescent="0.25">
      <c r="A36" s="53" t="s">
        <v>95</v>
      </c>
      <c r="B36" s="56" t="s">
        <v>148</v>
      </c>
      <c r="C36" s="55">
        <v>1.3328352673438364E-2</v>
      </c>
      <c r="D36" s="55">
        <v>3.3317170602302701E-3</v>
      </c>
      <c r="E36" s="55">
        <v>6.7020456433520923E-3</v>
      </c>
      <c r="F36" s="55">
        <v>7.469144543074609E-4</v>
      </c>
      <c r="G36" s="55">
        <v>3.8815991121461412E-3</v>
      </c>
      <c r="H36" s="55">
        <v>9.7535403586316641E-3</v>
      </c>
      <c r="I36" s="55">
        <v>5.2566861137400972E-3</v>
      </c>
      <c r="J36" s="55">
        <v>1.1796059495608899E-2</v>
      </c>
      <c r="K36" s="55">
        <v>1.4785956471485312E-2</v>
      </c>
      <c r="L36" s="55">
        <v>6.438157499726177E-3</v>
      </c>
      <c r="M36" s="55">
        <v>3.2832473248379118E-3</v>
      </c>
      <c r="N36" s="55">
        <v>3.3089033708136066E-3</v>
      </c>
      <c r="O36" s="55">
        <v>3.2333087706486628E-3</v>
      </c>
      <c r="P36" s="55">
        <v>2.2201548739517354E-3</v>
      </c>
      <c r="Q36" s="55">
        <v>2.1993104834832143E-3</v>
      </c>
      <c r="R36" s="55">
        <v>5.0764833797388416E-3</v>
      </c>
      <c r="S36" s="55">
        <v>3.2975440878837544E-3</v>
      </c>
      <c r="T36" s="55">
        <v>1.7752558038328862E-3</v>
      </c>
      <c r="U36" s="55">
        <v>5.092214198050107E-3</v>
      </c>
      <c r="V36" s="55">
        <v>5.1132341281559619E-3</v>
      </c>
      <c r="W36" s="55">
        <v>5.5573860985677851E-3</v>
      </c>
      <c r="X36" s="55">
        <v>7.2979992398631531E-3</v>
      </c>
      <c r="Y36" s="55">
        <v>4.7760298405179471E-3</v>
      </c>
      <c r="Z36" s="55">
        <v>4.8598846556404257E-3</v>
      </c>
      <c r="AA36" s="55">
        <v>6.2273120691477566E-3</v>
      </c>
      <c r="AB36" s="55">
        <v>1.0662363064451504E-2</v>
      </c>
      <c r="AC36" s="55">
        <v>2.4923247314309334E-3</v>
      </c>
      <c r="AD36" s="55">
        <v>2.3713987789542148E-3</v>
      </c>
      <c r="AE36" s="55">
        <v>5.8089173462769509E-3</v>
      </c>
      <c r="AF36" s="55">
        <v>4.0387063487124066E-3</v>
      </c>
      <c r="AG36" s="55">
        <v>3.8261963769030461E-3</v>
      </c>
      <c r="AH36" s="55">
        <v>3.0607289768395107E-3</v>
      </c>
      <c r="AI36" s="55">
        <v>5.250993547088959E-3</v>
      </c>
      <c r="AJ36" s="55">
        <v>1.1586495268739925</v>
      </c>
      <c r="AK36" s="55">
        <v>1.1176208990605702E-2</v>
      </c>
      <c r="AL36" s="55">
        <v>4.7136230604649103E-2</v>
      </c>
      <c r="AM36" s="55">
        <v>1.6011129025867241E-2</v>
      </c>
      <c r="AN36" s="55">
        <v>8.7816062071965038E-3</v>
      </c>
      <c r="AO36" s="55">
        <v>4.6330957031597321E-3</v>
      </c>
      <c r="AP36" s="55">
        <v>4.763565361186814E-3</v>
      </c>
      <c r="AQ36" s="55">
        <v>8.1442760150591414E-4</v>
      </c>
      <c r="AR36" s="55">
        <v>3.6667225390546359E-3</v>
      </c>
      <c r="AS36" s="55">
        <v>6.5882835080104439E-3</v>
      </c>
      <c r="AT36" s="55">
        <v>6.4330885926501711E-3</v>
      </c>
      <c r="AU36" s="55">
        <v>1.6035772814992036E-3</v>
      </c>
      <c r="AV36" s="55">
        <v>4.3444462272504364E-3</v>
      </c>
      <c r="AW36" s="55">
        <v>5.1687871487758183E-3</v>
      </c>
      <c r="AX36" s="55">
        <v>4.6949501893970902E-4</v>
      </c>
      <c r="AY36" s="55">
        <v>2.4418658850487523E-3</v>
      </c>
      <c r="AZ36" s="55">
        <v>4.4615052435749192E-4</v>
      </c>
      <c r="BA36" s="55">
        <v>8.1416705558692362E-3</v>
      </c>
      <c r="BB36" s="55">
        <v>2.6264232077759402E-3</v>
      </c>
      <c r="BC36" s="55">
        <v>1.5011486038114257E-3</v>
      </c>
      <c r="BD36" s="55">
        <v>5.507116771701798E-4</v>
      </c>
      <c r="BE36" s="55">
        <v>8.3052106902053065E-3</v>
      </c>
      <c r="BF36" s="55">
        <v>4.0688088644813825E-3</v>
      </c>
      <c r="BG36" s="55">
        <v>1.0334329103032643E-3</v>
      </c>
      <c r="BH36" s="55">
        <v>3.4002870491637379E-3</v>
      </c>
      <c r="BI36" s="55">
        <v>1.303878728136428E-3</v>
      </c>
      <c r="BJ36" s="55">
        <v>0</v>
      </c>
      <c r="BK36" s="55">
        <v>1.1657208830193344E-3</v>
      </c>
      <c r="BL36" s="55">
        <v>1.2067931251699069E-4</v>
      </c>
      <c r="BM36" s="55">
        <v>0</v>
      </c>
    </row>
    <row r="37" spans="1:65" x14ac:dyDescent="0.25">
      <c r="A37" s="53" t="s">
        <v>96</v>
      </c>
      <c r="B37" s="56" t="s">
        <v>149</v>
      </c>
      <c r="C37" s="55">
        <v>1.1188482916721688E-3</v>
      </c>
      <c r="D37" s="55">
        <v>6.073389263374756E-4</v>
      </c>
      <c r="E37" s="55">
        <v>1.1490618954197148E-3</v>
      </c>
      <c r="F37" s="55">
        <v>6.1191540389898596E-4</v>
      </c>
      <c r="G37" s="55">
        <v>1.0908511741301633E-3</v>
      </c>
      <c r="H37" s="55">
        <v>5.8719704266583664E-3</v>
      </c>
      <c r="I37" s="55">
        <v>1.5589759835565296E-3</v>
      </c>
      <c r="J37" s="55">
        <v>1.6557940052473446E-3</v>
      </c>
      <c r="K37" s="55">
        <v>1.8148679725561009E-3</v>
      </c>
      <c r="L37" s="55">
        <v>1.3081562749893373E-3</v>
      </c>
      <c r="M37" s="55">
        <v>7.8513691130054693E-4</v>
      </c>
      <c r="N37" s="55">
        <v>1.2867495209819169E-3</v>
      </c>
      <c r="O37" s="55">
        <v>8.7061256315974572E-4</v>
      </c>
      <c r="P37" s="55">
        <v>2.9017019943877953E-4</v>
      </c>
      <c r="Q37" s="55">
        <v>4.4984491231609027E-4</v>
      </c>
      <c r="R37" s="55">
        <v>1.6552665261807271E-3</v>
      </c>
      <c r="S37" s="55">
        <v>3.8740377796191871E-4</v>
      </c>
      <c r="T37" s="55">
        <v>3.3515662036859089E-4</v>
      </c>
      <c r="U37" s="55">
        <v>1.1655074749982212E-3</v>
      </c>
      <c r="V37" s="55">
        <v>1.5724622131551445E-3</v>
      </c>
      <c r="W37" s="55">
        <v>1.0114832792503098E-3</v>
      </c>
      <c r="X37" s="55">
        <v>2.1169569381222545E-3</v>
      </c>
      <c r="Y37" s="55">
        <v>3.6371474331013307E-3</v>
      </c>
      <c r="Z37" s="55">
        <v>4.0239749357359206E-3</v>
      </c>
      <c r="AA37" s="55">
        <v>1.1674788994068212E-3</v>
      </c>
      <c r="AB37" s="55">
        <v>3.9337683895152272E-3</v>
      </c>
      <c r="AC37" s="55">
        <v>2.7558192617566746E-3</v>
      </c>
      <c r="AD37" s="55">
        <v>2.6211127272204519E-3</v>
      </c>
      <c r="AE37" s="55">
        <v>3.3275796267876545E-3</v>
      </c>
      <c r="AF37" s="55">
        <v>2.3417863540073115E-3</v>
      </c>
      <c r="AG37" s="55">
        <v>1.0609215627533288E-3</v>
      </c>
      <c r="AH37" s="55">
        <v>1.9095621285357993E-3</v>
      </c>
      <c r="AI37" s="55">
        <v>7.1947819312124989E-2</v>
      </c>
      <c r="AJ37" s="55">
        <v>2.0169814704875132E-2</v>
      </c>
      <c r="AK37" s="55">
        <v>1.1935289736552008</v>
      </c>
      <c r="AL37" s="55">
        <v>2.4207772203115388E-3</v>
      </c>
      <c r="AM37" s="55">
        <v>1.6852934103827064E-3</v>
      </c>
      <c r="AN37" s="55">
        <v>1.5251850281868811E-3</v>
      </c>
      <c r="AO37" s="55">
        <v>1.7994142378747475E-3</v>
      </c>
      <c r="AP37" s="55">
        <v>3.1291424288629379E-3</v>
      </c>
      <c r="AQ37" s="55">
        <v>4.1800613635241364E-4</v>
      </c>
      <c r="AR37" s="55">
        <v>3.2250296725105706E-3</v>
      </c>
      <c r="AS37" s="55">
        <v>3.9422822796550006E-3</v>
      </c>
      <c r="AT37" s="55">
        <v>6.4199140985452983E-4</v>
      </c>
      <c r="AU37" s="55">
        <v>8.5822052742627077E-4</v>
      </c>
      <c r="AV37" s="55">
        <v>1.0214796721378921E-3</v>
      </c>
      <c r="AW37" s="55">
        <v>1.3484639709509551E-3</v>
      </c>
      <c r="AX37" s="55">
        <v>3.9981103409550699E-4</v>
      </c>
      <c r="AY37" s="55">
        <v>2.1604118141574E-3</v>
      </c>
      <c r="AZ37" s="55">
        <v>1.2846593311476042E-4</v>
      </c>
      <c r="BA37" s="55">
        <v>1.9855629518896124E-3</v>
      </c>
      <c r="BB37" s="55">
        <v>1.1327333332309824E-3</v>
      </c>
      <c r="BC37" s="55">
        <v>1.7129309508771642E-3</v>
      </c>
      <c r="BD37" s="55">
        <v>1.859977923778446E-4</v>
      </c>
      <c r="BE37" s="55">
        <v>2.842021264481057E-3</v>
      </c>
      <c r="BF37" s="55">
        <v>1.5999505473628256E-3</v>
      </c>
      <c r="BG37" s="55">
        <v>4.2389755794514929E-4</v>
      </c>
      <c r="BH37" s="55">
        <v>1.2434663278799204E-3</v>
      </c>
      <c r="BI37" s="55">
        <v>2.8589891975371053E-3</v>
      </c>
      <c r="BJ37" s="55">
        <v>0</v>
      </c>
      <c r="BK37" s="55">
        <v>7.5827015388675427E-4</v>
      </c>
      <c r="BL37" s="55">
        <v>1.730831438354636E-4</v>
      </c>
      <c r="BM37" s="55">
        <v>0</v>
      </c>
    </row>
    <row r="38" spans="1:65" x14ac:dyDescent="0.25">
      <c r="A38" s="53" t="s">
        <v>97</v>
      </c>
      <c r="B38" s="56" t="s">
        <v>6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55">
        <v>0</v>
      </c>
      <c r="AK38" s="55">
        <v>0</v>
      </c>
      <c r="AL38" s="55">
        <v>1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  <c r="AS38" s="55">
        <v>0</v>
      </c>
      <c r="AT38" s="55">
        <v>0</v>
      </c>
      <c r="AU38" s="55">
        <v>0</v>
      </c>
      <c r="AV38" s="55">
        <v>0</v>
      </c>
      <c r="AW38" s="55">
        <v>0</v>
      </c>
      <c r="AX38" s="55">
        <v>0</v>
      </c>
      <c r="AY38" s="55">
        <v>0</v>
      </c>
      <c r="AZ38" s="55">
        <v>0</v>
      </c>
      <c r="BA38" s="55">
        <v>0</v>
      </c>
      <c r="BB38" s="55">
        <v>0</v>
      </c>
      <c r="BC38" s="55">
        <v>0</v>
      </c>
      <c r="BD38" s="55">
        <v>0</v>
      </c>
      <c r="BE38" s="55">
        <v>0</v>
      </c>
      <c r="BF38" s="55">
        <v>0</v>
      </c>
      <c r="BG38" s="55">
        <v>0</v>
      </c>
      <c r="BH38" s="55">
        <v>0</v>
      </c>
      <c r="BI38" s="55">
        <v>0</v>
      </c>
      <c r="BJ38" s="55">
        <v>0</v>
      </c>
      <c r="BK38" s="55">
        <v>0</v>
      </c>
      <c r="BL38" s="55">
        <v>0</v>
      </c>
      <c r="BM38" s="55">
        <v>0</v>
      </c>
    </row>
    <row r="39" spans="1:65" x14ac:dyDescent="0.25">
      <c r="A39" s="53" t="s">
        <v>98</v>
      </c>
      <c r="B39" s="56" t="s">
        <v>7</v>
      </c>
      <c r="C39" s="55">
        <v>4.4902456292169789E-2</v>
      </c>
      <c r="D39" s="55">
        <v>2.0778560699234561E-2</v>
      </c>
      <c r="E39" s="55">
        <v>8.8341451885462219E-3</v>
      </c>
      <c r="F39" s="55">
        <v>1.8051585530321273E-3</v>
      </c>
      <c r="G39" s="55">
        <v>1.0134204424847349E-2</v>
      </c>
      <c r="H39" s="55">
        <v>2.363558735898744E-2</v>
      </c>
      <c r="I39" s="55">
        <v>4.1450561280090004E-2</v>
      </c>
      <c r="J39" s="55">
        <v>3.706301330543358E-2</v>
      </c>
      <c r="K39" s="55">
        <v>2.6990090051720664E-2</v>
      </c>
      <c r="L39" s="55">
        <v>2.7469704337926698E-2</v>
      </c>
      <c r="M39" s="55">
        <v>2.2162414841643434E-2</v>
      </c>
      <c r="N39" s="55">
        <v>1.7854622640300136E-2</v>
      </c>
      <c r="O39" s="55">
        <v>2.4743286720574964E-2</v>
      </c>
      <c r="P39" s="55">
        <v>4.8157227073222847E-3</v>
      </c>
      <c r="Q39" s="55">
        <v>6.971770072996035E-3</v>
      </c>
      <c r="R39" s="55">
        <v>1.0056222633310732E-2</v>
      </c>
      <c r="S39" s="55">
        <v>5.7255903998427648E-3</v>
      </c>
      <c r="T39" s="55">
        <v>4.5708935504553466E-3</v>
      </c>
      <c r="U39" s="55">
        <v>1.339814445184993E-2</v>
      </c>
      <c r="V39" s="55">
        <v>3.76416777145741E-2</v>
      </c>
      <c r="W39" s="55">
        <v>1.51580063139094E-2</v>
      </c>
      <c r="X39" s="55">
        <v>0.12499648567505077</v>
      </c>
      <c r="Y39" s="55">
        <v>3.5724557062133296E-2</v>
      </c>
      <c r="Z39" s="55">
        <v>3.2402423687590345E-2</v>
      </c>
      <c r="AA39" s="55">
        <v>1.1528351609272834E-2</v>
      </c>
      <c r="AB39" s="55">
        <v>3.1491166326062497E-2</v>
      </c>
      <c r="AC39" s="55">
        <v>1.0804183401794334E-2</v>
      </c>
      <c r="AD39" s="55">
        <v>1.0231058402638705E-2</v>
      </c>
      <c r="AE39" s="55">
        <v>1.5503623083188204E-2</v>
      </c>
      <c r="AF39" s="55">
        <v>1.0613843439694419E-2</v>
      </c>
      <c r="AG39" s="55">
        <v>2.5620119762953444E-2</v>
      </c>
      <c r="AH39" s="55">
        <v>6.4722107355683803E-2</v>
      </c>
      <c r="AI39" s="55">
        <v>4.8881848308158858E-2</v>
      </c>
      <c r="AJ39" s="55">
        <v>3.3098185842112597E-2</v>
      </c>
      <c r="AK39" s="55">
        <v>9.7822890896726883E-2</v>
      </c>
      <c r="AL39" s="55">
        <v>2.1643377912038804E-2</v>
      </c>
      <c r="AM39" s="55">
        <v>1.0771023151168315</v>
      </c>
      <c r="AN39" s="55">
        <v>1.5646292971579611E-2</v>
      </c>
      <c r="AO39" s="55">
        <v>8.9887454257648908E-2</v>
      </c>
      <c r="AP39" s="55">
        <v>0.1180074648393471</v>
      </c>
      <c r="AQ39" s="55">
        <v>9.0736423284402731E-3</v>
      </c>
      <c r="AR39" s="55">
        <v>5.5554386085966675E-2</v>
      </c>
      <c r="AS39" s="55">
        <v>6.418775270587429E-2</v>
      </c>
      <c r="AT39" s="55">
        <v>3.5590192280637173E-2</v>
      </c>
      <c r="AU39" s="55">
        <v>1.779837746342491E-2</v>
      </c>
      <c r="AV39" s="55">
        <v>1.7003913029389629E-2</v>
      </c>
      <c r="AW39" s="55">
        <v>1.0363858310138675E-2</v>
      </c>
      <c r="AX39" s="55">
        <v>1.2685859394178723E-2</v>
      </c>
      <c r="AY39" s="55">
        <v>5.0430460134180538E-2</v>
      </c>
      <c r="AZ39" s="55">
        <v>5.2154750019663826E-3</v>
      </c>
      <c r="BA39" s="55">
        <v>7.6376821628557717E-2</v>
      </c>
      <c r="BB39" s="55">
        <v>4.4120883176293993E-2</v>
      </c>
      <c r="BC39" s="55">
        <v>2.4175478381544352E-2</v>
      </c>
      <c r="BD39" s="55">
        <v>6.4436631007687047E-3</v>
      </c>
      <c r="BE39" s="55">
        <v>3.9557405961142655E-2</v>
      </c>
      <c r="BF39" s="55">
        <v>5.0266690043396282E-2</v>
      </c>
      <c r="BG39" s="55">
        <v>1.5841968632242059E-2</v>
      </c>
      <c r="BH39" s="55">
        <v>5.0152097973173687E-2</v>
      </c>
      <c r="BI39" s="55">
        <v>2.3931319248119472E-2</v>
      </c>
      <c r="BJ39" s="55">
        <v>0</v>
      </c>
      <c r="BK39" s="55">
        <v>3.9437195006885245E-3</v>
      </c>
      <c r="BL39" s="55">
        <v>9.0949176363716686E-4</v>
      </c>
      <c r="BM39" s="55">
        <v>0</v>
      </c>
    </row>
    <row r="40" spans="1:65" x14ac:dyDescent="0.25">
      <c r="A40" s="53" t="s">
        <v>99</v>
      </c>
      <c r="B40" s="56" t="s">
        <v>150</v>
      </c>
      <c r="C40" s="55">
        <v>1.5003935084294736E-2</v>
      </c>
      <c r="D40" s="55">
        <v>7.2951190684777505E-3</v>
      </c>
      <c r="E40" s="55">
        <v>1.2220153436344579E-2</v>
      </c>
      <c r="F40" s="55">
        <v>8.7605998830481927E-3</v>
      </c>
      <c r="G40" s="55">
        <v>1.6310981827889429E-2</v>
      </c>
      <c r="H40" s="55">
        <v>4.2285541737303631E-2</v>
      </c>
      <c r="I40" s="55">
        <v>3.2464577751233979E-2</v>
      </c>
      <c r="J40" s="55">
        <v>4.223517952492483E-2</v>
      </c>
      <c r="K40" s="55">
        <v>5.4098596351607332E-2</v>
      </c>
      <c r="L40" s="55">
        <v>5.4725664541708352E-2</v>
      </c>
      <c r="M40" s="55">
        <v>2.6319057777653317E-2</v>
      </c>
      <c r="N40" s="55">
        <v>2.900072590514878E-2</v>
      </c>
      <c r="O40" s="55">
        <v>1.9778161725604548E-2</v>
      </c>
      <c r="P40" s="55">
        <v>4.3648164769185807E-3</v>
      </c>
      <c r="Q40" s="55">
        <v>1.3146356090002064E-2</v>
      </c>
      <c r="R40" s="55">
        <v>7.5369371249347315E-3</v>
      </c>
      <c r="S40" s="55">
        <v>4.4205328253116138E-3</v>
      </c>
      <c r="T40" s="55">
        <v>1.0837527777367295E-2</v>
      </c>
      <c r="U40" s="55">
        <v>1.3420136184727486E-2</v>
      </c>
      <c r="V40" s="55">
        <v>3.3948476848081645E-2</v>
      </c>
      <c r="W40" s="55">
        <v>1.2274591734349794E-2</v>
      </c>
      <c r="X40" s="55">
        <v>5.1596488997795509E-2</v>
      </c>
      <c r="Y40" s="55">
        <v>3.1621636562717721E-2</v>
      </c>
      <c r="Z40" s="55">
        <v>1.4822747445000527E-2</v>
      </c>
      <c r="AA40" s="55">
        <v>1.1580375899249616E-2</v>
      </c>
      <c r="AB40" s="55">
        <v>5.7991358451424176E-2</v>
      </c>
      <c r="AC40" s="55">
        <v>1.6553803266330269E-2</v>
      </c>
      <c r="AD40" s="55">
        <v>1.5725100226284837E-2</v>
      </c>
      <c r="AE40" s="55">
        <v>1.028727866786463E-2</v>
      </c>
      <c r="AF40" s="55">
        <v>7.1049255611516935E-3</v>
      </c>
      <c r="AG40" s="55">
        <v>2.095032715536102E-2</v>
      </c>
      <c r="AH40" s="55">
        <v>1.0919299294498487E-2</v>
      </c>
      <c r="AI40" s="55">
        <v>1.5219987742954839E-2</v>
      </c>
      <c r="AJ40" s="55">
        <v>9.1009784233620234E-3</v>
      </c>
      <c r="AK40" s="55">
        <v>2.2629093876205129E-2</v>
      </c>
      <c r="AL40" s="55">
        <v>6.0895525421206858E-3</v>
      </c>
      <c r="AM40" s="55">
        <v>6.8128239127579074E-3</v>
      </c>
      <c r="AN40" s="55">
        <v>1.0057701913250967</v>
      </c>
      <c r="AO40" s="55">
        <v>9.4295491744310136E-3</v>
      </c>
      <c r="AP40" s="55">
        <v>1.9287293322600579E-2</v>
      </c>
      <c r="AQ40" s="55">
        <v>6.39640909760451E-3</v>
      </c>
      <c r="AR40" s="55">
        <v>1.9733801658793265E-2</v>
      </c>
      <c r="AS40" s="55">
        <v>1.3079681981588124E-2</v>
      </c>
      <c r="AT40" s="55">
        <v>4.1223461067859894E-2</v>
      </c>
      <c r="AU40" s="55">
        <v>2.0407326110258195E-2</v>
      </c>
      <c r="AV40" s="55">
        <v>1.1665015018463802E-2</v>
      </c>
      <c r="AW40" s="55">
        <v>7.5619862346935525E-3</v>
      </c>
      <c r="AX40" s="55">
        <v>1.0250847675383869E-3</v>
      </c>
      <c r="AY40" s="55">
        <v>7.0792374229127911E-3</v>
      </c>
      <c r="AZ40" s="55">
        <v>1.7674431638112491E-3</v>
      </c>
      <c r="BA40" s="55">
        <v>1.9839939536574126E-2</v>
      </c>
      <c r="BB40" s="55">
        <v>8.8428845653390764E-3</v>
      </c>
      <c r="BC40" s="55">
        <v>3.5662601813536399E-3</v>
      </c>
      <c r="BD40" s="55">
        <v>2.2649249816951923E-3</v>
      </c>
      <c r="BE40" s="55">
        <v>2.157060396645705E-2</v>
      </c>
      <c r="BF40" s="55">
        <v>1.3690255353997998E-2</v>
      </c>
      <c r="BG40" s="55">
        <v>3.280863152048999E-3</v>
      </c>
      <c r="BH40" s="55">
        <v>1.6378756500228103E-2</v>
      </c>
      <c r="BI40" s="55">
        <v>6.0813519709687364E-3</v>
      </c>
      <c r="BJ40" s="55">
        <v>0</v>
      </c>
      <c r="BK40" s="55">
        <v>2.0778668889605521E-3</v>
      </c>
      <c r="BL40" s="55">
        <v>5.9211284262272344E-4</v>
      </c>
      <c r="BM40" s="55">
        <v>0</v>
      </c>
    </row>
    <row r="41" spans="1:65" x14ac:dyDescent="0.25">
      <c r="A41" s="53" t="s">
        <v>100</v>
      </c>
      <c r="B41" s="54" t="s">
        <v>8</v>
      </c>
      <c r="C41" s="55">
        <v>2.3775545745405424E-3</v>
      </c>
      <c r="D41" s="55">
        <v>1.4133234580587844E-3</v>
      </c>
      <c r="E41" s="55">
        <v>2.2821459503227452E-3</v>
      </c>
      <c r="F41" s="55">
        <v>8.8628536085669034E-4</v>
      </c>
      <c r="G41" s="55">
        <v>8.3729408876149873E-3</v>
      </c>
      <c r="H41" s="55">
        <v>1.1640391848451356E-2</v>
      </c>
      <c r="I41" s="55">
        <v>5.6444736548445966E-3</v>
      </c>
      <c r="J41" s="55">
        <v>9.8950121966435642E-3</v>
      </c>
      <c r="K41" s="55">
        <v>4.0053431431688914E-3</v>
      </c>
      <c r="L41" s="55">
        <v>3.7303953331283839E-3</v>
      </c>
      <c r="M41" s="55">
        <v>4.7221642094834732E-3</v>
      </c>
      <c r="N41" s="55">
        <v>5.2327129339662538E-3</v>
      </c>
      <c r="O41" s="55">
        <v>3.9681110329488041E-3</v>
      </c>
      <c r="P41" s="55">
        <v>2.5210213296393258E-3</v>
      </c>
      <c r="Q41" s="55">
        <v>2.229746488633087E-3</v>
      </c>
      <c r="R41" s="55">
        <v>4.4328999945929416E-3</v>
      </c>
      <c r="S41" s="55">
        <v>2.3043588263431712E-3</v>
      </c>
      <c r="T41" s="55">
        <v>1.4281292166005552E-3</v>
      </c>
      <c r="U41" s="55">
        <v>8.4143598404051272E-3</v>
      </c>
      <c r="V41" s="55">
        <v>3.1960858472831213E-2</v>
      </c>
      <c r="W41" s="55">
        <v>8.2521849425902308E-3</v>
      </c>
      <c r="X41" s="55">
        <v>1.3324170747190457E-2</v>
      </c>
      <c r="Y41" s="55">
        <v>1.6395523866300721E-2</v>
      </c>
      <c r="Z41" s="55">
        <v>6.6822032921600282E-3</v>
      </c>
      <c r="AA41" s="55">
        <v>3.3064478893885768E-3</v>
      </c>
      <c r="AB41" s="55">
        <v>7.8844957079657642E-3</v>
      </c>
      <c r="AC41" s="55">
        <v>2.7338261773104011E-3</v>
      </c>
      <c r="AD41" s="55">
        <v>2.5866572131200438E-3</v>
      </c>
      <c r="AE41" s="55">
        <v>1.671828460551902E-2</v>
      </c>
      <c r="AF41" s="55">
        <v>1.1663449571159137E-2</v>
      </c>
      <c r="AG41" s="55">
        <v>5.2502855017428022E-3</v>
      </c>
      <c r="AH41" s="55">
        <v>5.0032796349178295E-3</v>
      </c>
      <c r="AI41" s="55">
        <v>1.2082290160797681E-2</v>
      </c>
      <c r="AJ41" s="55">
        <v>4.9767724054457811E-3</v>
      </c>
      <c r="AK41" s="55">
        <v>2.8510184809785549E-2</v>
      </c>
      <c r="AL41" s="55">
        <v>6.0708742223901544E-3</v>
      </c>
      <c r="AM41" s="55">
        <v>7.3671934602811719E-3</v>
      </c>
      <c r="AN41" s="55">
        <v>3.1327882574867759E-3</v>
      </c>
      <c r="AO41" s="55">
        <v>1.0409007410974647</v>
      </c>
      <c r="AP41" s="55">
        <v>1.2928090665447379E-2</v>
      </c>
      <c r="AQ41" s="55">
        <v>1.4919201864214556E-3</v>
      </c>
      <c r="AR41" s="55">
        <v>1.1596876273646032E-2</v>
      </c>
      <c r="AS41" s="55">
        <v>1.2711266831957568E-2</v>
      </c>
      <c r="AT41" s="55">
        <v>2.5473859079577804E-2</v>
      </c>
      <c r="AU41" s="55">
        <v>1.6100402761799811E-2</v>
      </c>
      <c r="AV41" s="55">
        <v>3.971197299006737E-3</v>
      </c>
      <c r="AW41" s="55">
        <v>5.4740911616684828E-3</v>
      </c>
      <c r="AX41" s="55">
        <v>5.2535738709121147E-4</v>
      </c>
      <c r="AY41" s="55">
        <v>7.1233927396158209E-3</v>
      </c>
      <c r="AZ41" s="55">
        <v>1.6267814625761307E-3</v>
      </c>
      <c r="BA41" s="55">
        <v>1.4915942011351251E-2</v>
      </c>
      <c r="BB41" s="55">
        <v>8.6912128573079887E-3</v>
      </c>
      <c r="BC41" s="55">
        <v>4.012431380823531E-3</v>
      </c>
      <c r="BD41" s="55">
        <v>1.0417244345327472E-3</v>
      </c>
      <c r="BE41" s="55">
        <v>6.9337819100648897E-3</v>
      </c>
      <c r="BF41" s="55">
        <v>4.052024488223914E-3</v>
      </c>
      <c r="BG41" s="55">
        <v>1.3683103047963589E-3</v>
      </c>
      <c r="BH41" s="55">
        <v>4.6477729129573049E-3</v>
      </c>
      <c r="BI41" s="55">
        <v>3.4907344210994375E-3</v>
      </c>
      <c r="BJ41" s="55">
        <v>0</v>
      </c>
      <c r="BK41" s="55">
        <v>5.9964382218180253E-4</v>
      </c>
      <c r="BL41" s="55">
        <v>1.9389774720454252E-4</v>
      </c>
      <c r="BM41" s="55">
        <v>0</v>
      </c>
    </row>
    <row r="42" spans="1:65" x14ac:dyDescent="0.25">
      <c r="A42" s="53" t="s">
        <v>101</v>
      </c>
      <c r="B42" s="54" t="s">
        <v>9</v>
      </c>
      <c r="C42" s="55">
        <v>8.6651552970156017E-4</v>
      </c>
      <c r="D42" s="55">
        <v>5.1818133829002494E-4</v>
      </c>
      <c r="E42" s="55">
        <v>5.0696113928448893E-3</v>
      </c>
      <c r="F42" s="55">
        <v>1.0218547212109372E-4</v>
      </c>
      <c r="G42" s="55">
        <v>1.9758255330100702E-3</v>
      </c>
      <c r="H42" s="55">
        <v>4.4741303349488549E-3</v>
      </c>
      <c r="I42" s="55">
        <v>1.4887179116406163E-2</v>
      </c>
      <c r="J42" s="55">
        <v>6.6465680204894351E-2</v>
      </c>
      <c r="K42" s="55">
        <v>9.7355918808997063E-2</v>
      </c>
      <c r="L42" s="55">
        <v>3.5471612482054424E-2</v>
      </c>
      <c r="M42" s="55">
        <v>2.3972830037827264E-3</v>
      </c>
      <c r="N42" s="55">
        <v>2.2105758776756299E-3</v>
      </c>
      <c r="O42" s="55">
        <v>1.4363772276319896E-3</v>
      </c>
      <c r="P42" s="55">
        <v>5.576907542708371E-4</v>
      </c>
      <c r="Q42" s="55">
        <v>8.0213747812159957E-4</v>
      </c>
      <c r="R42" s="55">
        <v>1.7646225249771422E-3</v>
      </c>
      <c r="S42" s="55">
        <v>4.7430903797667651E-4</v>
      </c>
      <c r="T42" s="55">
        <v>2.5164639830226537E-4</v>
      </c>
      <c r="U42" s="55">
        <v>1.1413693950348184E-3</v>
      </c>
      <c r="V42" s="55">
        <v>1.7866175258005768E-3</v>
      </c>
      <c r="W42" s="55">
        <v>1.2324163937422656E-3</v>
      </c>
      <c r="X42" s="55">
        <v>3.1177448852683825E-3</v>
      </c>
      <c r="Y42" s="55">
        <v>3.2315193592770452E-3</v>
      </c>
      <c r="Z42" s="55">
        <v>2.1729865890520849E-3</v>
      </c>
      <c r="AA42" s="55">
        <v>8.7142531971556012E-4</v>
      </c>
      <c r="AB42" s="55">
        <v>6.7901667008058971E-3</v>
      </c>
      <c r="AC42" s="55">
        <v>1.1614084745718031E-3</v>
      </c>
      <c r="AD42" s="55">
        <v>1.1011178080642971E-3</v>
      </c>
      <c r="AE42" s="55">
        <v>5.0117861727670566E-3</v>
      </c>
      <c r="AF42" s="55">
        <v>3.4486979770138333E-3</v>
      </c>
      <c r="AG42" s="55">
        <v>1.4886096193952299E-3</v>
      </c>
      <c r="AH42" s="55">
        <v>1.8770789700202322E-3</v>
      </c>
      <c r="AI42" s="55">
        <v>3.4685464816673283E-3</v>
      </c>
      <c r="AJ42" s="55">
        <v>1.0402625234985504E-3</v>
      </c>
      <c r="AK42" s="55">
        <v>3.4411597631578959E-3</v>
      </c>
      <c r="AL42" s="55">
        <v>5.9861771725565503E-3</v>
      </c>
      <c r="AM42" s="55">
        <v>7.4324424204253881E-3</v>
      </c>
      <c r="AN42" s="55">
        <v>1.2743418675509434E-3</v>
      </c>
      <c r="AO42" s="55">
        <v>3.6311764563467736E-3</v>
      </c>
      <c r="AP42" s="55">
        <v>1.0350190075509915</v>
      </c>
      <c r="AQ42" s="55">
        <v>4.3220604522678356E-4</v>
      </c>
      <c r="AR42" s="55">
        <v>3.4438174977821825E-2</v>
      </c>
      <c r="AS42" s="55">
        <v>3.3767286396251647E-3</v>
      </c>
      <c r="AT42" s="55">
        <v>4.1417173388561919E-3</v>
      </c>
      <c r="AU42" s="55">
        <v>1.5045097573548557E-3</v>
      </c>
      <c r="AV42" s="55">
        <v>1.3462866495870898E-3</v>
      </c>
      <c r="AW42" s="55">
        <v>2.0777293845466588E-3</v>
      </c>
      <c r="AX42" s="55">
        <v>3.6030566674194155E-4</v>
      </c>
      <c r="AY42" s="55">
        <v>2.4689935417570846E-3</v>
      </c>
      <c r="AZ42" s="55">
        <v>2.2567266753984261E-4</v>
      </c>
      <c r="BA42" s="55">
        <v>3.895978234373204E-3</v>
      </c>
      <c r="BB42" s="55">
        <v>1.538749447586113E-3</v>
      </c>
      <c r="BC42" s="55">
        <v>8.7002919445507035E-4</v>
      </c>
      <c r="BD42" s="55">
        <v>4.107874462469332E-4</v>
      </c>
      <c r="BE42" s="55">
        <v>5.1636474679234157E-3</v>
      </c>
      <c r="BF42" s="55">
        <v>4.2218166663335888E-3</v>
      </c>
      <c r="BG42" s="55">
        <v>3.8437947217741627E-4</v>
      </c>
      <c r="BH42" s="55">
        <v>2.1565424806809655E-3</v>
      </c>
      <c r="BI42" s="55">
        <v>1.0477267159671067E-3</v>
      </c>
      <c r="BJ42" s="55">
        <v>0</v>
      </c>
      <c r="BK42" s="55">
        <v>6.6845049181493959E-4</v>
      </c>
      <c r="BL42" s="55">
        <v>6.9322583842900993E-4</v>
      </c>
      <c r="BM42" s="55">
        <v>0</v>
      </c>
    </row>
    <row r="43" spans="1:65" x14ac:dyDescent="0.25">
      <c r="A43" s="53" t="s">
        <v>102</v>
      </c>
      <c r="B43" s="56" t="s">
        <v>10</v>
      </c>
      <c r="C43" s="55">
        <v>2.5636214782793815E-4</v>
      </c>
      <c r="D43" s="55">
        <v>1.9833429413791085E-4</v>
      </c>
      <c r="E43" s="55">
        <v>3.9758223358971956E-4</v>
      </c>
      <c r="F43" s="55">
        <v>5.0698667330580506E-5</v>
      </c>
      <c r="G43" s="55">
        <v>3.4972907277385347E-4</v>
      </c>
      <c r="H43" s="55">
        <v>1.2091490072026236E-3</v>
      </c>
      <c r="I43" s="55">
        <v>8.1818424639358664E-4</v>
      </c>
      <c r="J43" s="55">
        <v>1.0370003562044949E-3</v>
      </c>
      <c r="K43" s="55">
        <v>1.0154808928553461E-3</v>
      </c>
      <c r="L43" s="55">
        <v>9.6605894749629616E-4</v>
      </c>
      <c r="M43" s="55">
        <v>1.7425598212549454E-3</v>
      </c>
      <c r="N43" s="55">
        <v>7.3069617197818156E-4</v>
      </c>
      <c r="O43" s="55">
        <v>6.3532247861001763E-4</v>
      </c>
      <c r="P43" s="55">
        <v>4.483041361753097E-4</v>
      </c>
      <c r="Q43" s="55">
        <v>5.0334936107186538E-4</v>
      </c>
      <c r="R43" s="55">
        <v>1.0300746421836114E-3</v>
      </c>
      <c r="S43" s="55">
        <v>1.8584337382762325E-4</v>
      </c>
      <c r="T43" s="55">
        <v>6.7151310299156015E-4</v>
      </c>
      <c r="U43" s="55">
        <v>2.0155298310461276E-3</v>
      </c>
      <c r="V43" s="55">
        <v>3.9760163841239815E-3</v>
      </c>
      <c r="W43" s="55">
        <v>1.0183726366261568E-3</v>
      </c>
      <c r="X43" s="55">
        <v>1.324485185560671E-3</v>
      </c>
      <c r="Y43" s="55">
        <v>6.1769885799875836E-3</v>
      </c>
      <c r="Z43" s="55">
        <v>7.5529197967327962E-4</v>
      </c>
      <c r="AA43" s="55">
        <v>4.0336966261215475E-4</v>
      </c>
      <c r="AB43" s="55">
        <v>1.4845308126556979E-3</v>
      </c>
      <c r="AC43" s="55">
        <v>4.4313863182957145E-4</v>
      </c>
      <c r="AD43" s="55">
        <v>4.2034260383940809E-4</v>
      </c>
      <c r="AE43" s="55">
        <v>1.2629290543277431E-3</v>
      </c>
      <c r="AF43" s="55">
        <v>6.4427132004435948E-4</v>
      </c>
      <c r="AG43" s="55">
        <v>1.2809541535628362E-3</v>
      </c>
      <c r="AH43" s="55">
        <v>1.2917175204673549E-3</v>
      </c>
      <c r="AI43" s="55">
        <v>4.2720572677025798E-3</v>
      </c>
      <c r="AJ43" s="55">
        <v>2.29048387354008E-3</v>
      </c>
      <c r="AK43" s="55">
        <v>7.9353091360188713E-3</v>
      </c>
      <c r="AL43" s="55">
        <v>3.4400466207641601E-4</v>
      </c>
      <c r="AM43" s="55">
        <v>7.272545510814102E-4</v>
      </c>
      <c r="AN43" s="55">
        <v>4.8859184972697349E-4</v>
      </c>
      <c r="AO43" s="55">
        <v>1.7733966744433761E-3</v>
      </c>
      <c r="AP43" s="55">
        <v>3.6256308843563654E-3</v>
      </c>
      <c r="AQ43" s="55">
        <v>1.0001711793771784</v>
      </c>
      <c r="AR43" s="55">
        <v>2.7763666952766988E-3</v>
      </c>
      <c r="AS43" s="55">
        <v>2.4856376972756163E-3</v>
      </c>
      <c r="AT43" s="55">
        <v>4.0659380440255539E-3</v>
      </c>
      <c r="AU43" s="55">
        <v>5.9662782244655505E-4</v>
      </c>
      <c r="AV43" s="55">
        <v>4.6212814666363839E-4</v>
      </c>
      <c r="AW43" s="55">
        <v>7.3341862017006613E-4</v>
      </c>
      <c r="AX43" s="55">
        <v>2.6850700313953943E-4</v>
      </c>
      <c r="AY43" s="55">
        <v>9.7223693378029454E-4</v>
      </c>
      <c r="AZ43" s="55">
        <v>3.3216914829417024E-4</v>
      </c>
      <c r="BA43" s="55">
        <v>1.6260361185471176E-3</v>
      </c>
      <c r="BB43" s="55">
        <v>1.5361961650947891E-3</v>
      </c>
      <c r="BC43" s="55">
        <v>8.337092940981475E-4</v>
      </c>
      <c r="BD43" s="55">
        <v>2.7675112591718341E-4</v>
      </c>
      <c r="BE43" s="55">
        <v>2.4711972919335334E-3</v>
      </c>
      <c r="BF43" s="55">
        <v>2.311821383586096E-3</v>
      </c>
      <c r="BG43" s="55">
        <v>4.8747294855631983E-4</v>
      </c>
      <c r="BH43" s="55">
        <v>1.5741851334671365E-3</v>
      </c>
      <c r="BI43" s="55">
        <v>9.8201023179980847E-4</v>
      </c>
      <c r="BJ43" s="55">
        <v>0</v>
      </c>
      <c r="BK43" s="55">
        <v>5.548960460626431E-4</v>
      </c>
      <c r="BL43" s="55">
        <v>5.7712520497582805E-5</v>
      </c>
      <c r="BM43" s="55">
        <v>0</v>
      </c>
    </row>
    <row r="44" spans="1:65" x14ac:dyDescent="0.25">
      <c r="A44" s="53" t="s">
        <v>103</v>
      </c>
      <c r="B44" s="56" t="s">
        <v>151</v>
      </c>
      <c r="C44" s="55">
        <v>1.6003992154890307E-3</v>
      </c>
      <c r="D44" s="55">
        <v>1.1399809479499786E-3</v>
      </c>
      <c r="E44" s="55">
        <v>1.8525780196183123E-3</v>
      </c>
      <c r="F44" s="55">
        <v>3.4438227933473504E-4</v>
      </c>
      <c r="G44" s="55">
        <v>1.9704254395222585E-3</v>
      </c>
      <c r="H44" s="55">
        <v>4.33634108594171E-3</v>
      </c>
      <c r="I44" s="55">
        <v>3.3854230695660919E-3</v>
      </c>
      <c r="J44" s="55">
        <v>6.3335652550863602E-3</v>
      </c>
      <c r="K44" s="55">
        <v>6.6755266761282647E-3</v>
      </c>
      <c r="L44" s="55">
        <v>3.7171173562248797E-3</v>
      </c>
      <c r="M44" s="55">
        <v>7.3320662912303878E-3</v>
      </c>
      <c r="N44" s="55">
        <v>4.2100375425777473E-3</v>
      </c>
      <c r="O44" s="55">
        <v>3.3639425663918145E-3</v>
      </c>
      <c r="P44" s="55">
        <v>9.9258420526778142E-4</v>
      </c>
      <c r="Q44" s="55">
        <v>2.7000627423549614E-3</v>
      </c>
      <c r="R44" s="55">
        <v>3.2367900158166421E-3</v>
      </c>
      <c r="S44" s="55">
        <v>1.4877624546778155E-3</v>
      </c>
      <c r="T44" s="55">
        <v>9.5279869236834195E-4</v>
      </c>
      <c r="U44" s="55">
        <v>3.5269298121193807E-3</v>
      </c>
      <c r="V44" s="55">
        <v>6.8665221693779803E-3</v>
      </c>
      <c r="W44" s="55">
        <v>3.4325743361624857E-3</v>
      </c>
      <c r="X44" s="55">
        <v>1.0517413221058909E-2</v>
      </c>
      <c r="Y44" s="55">
        <v>1.0184701157311293E-2</v>
      </c>
      <c r="Z44" s="55">
        <v>3.2157843998032584E-3</v>
      </c>
      <c r="AA44" s="55">
        <v>2.2856496803339028E-3</v>
      </c>
      <c r="AB44" s="55">
        <v>7.7414009444021145E-3</v>
      </c>
      <c r="AC44" s="55">
        <v>1.050029890482369E-2</v>
      </c>
      <c r="AD44" s="55">
        <v>9.9506216810286482E-3</v>
      </c>
      <c r="AE44" s="55">
        <v>1.6164093045819932E-2</v>
      </c>
      <c r="AF44" s="55">
        <v>7.2748558344912758E-3</v>
      </c>
      <c r="AG44" s="55">
        <v>3.107762822984222E-3</v>
      </c>
      <c r="AH44" s="55">
        <v>2.2652296021584968E-3</v>
      </c>
      <c r="AI44" s="55">
        <v>2.2177139742347352E-2</v>
      </c>
      <c r="AJ44" s="55">
        <v>7.0291212251904749E-3</v>
      </c>
      <c r="AK44" s="55">
        <v>2.8692837612239713E-2</v>
      </c>
      <c r="AL44" s="55">
        <v>1.8371058742282891E-3</v>
      </c>
      <c r="AM44" s="55">
        <v>3.1820155976805082E-3</v>
      </c>
      <c r="AN44" s="55">
        <v>4.087955794579606E-3</v>
      </c>
      <c r="AO44" s="55">
        <v>2.7952699524165726E-2</v>
      </c>
      <c r="AP44" s="55">
        <v>4.566971898856232E-2</v>
      </c>
      <c r="AQ44" s="55">
        <v>3.7437003766377227E-3</v>
      </c>
      <c r="AR44" s="55">
        <v>1.0069664050820155</v>
      </c>
      <c r="AS44" s="55">
        <v>1.1378085874742511E-2</v>
      </c>
      <c r="AT44" s="55">
        <v>5.2323458027781461E-2</v>
      </c>
      <c r="AU44" s="55">
        <v>3.1741802366039148E-3</v>
      </c>
      <c r="AV44" s="55">
        <v>3.8523101744927647E-3</v>
      </c>
      <c r="AW44" s="55">
        <v>1.4944434164370631E-2</v>
      </c>
      <c r="AX44" s="55">
        <v>5.7739441440389017E-4</v>
      </c>
      <c r="AY44" s="55">
        <v>3.6478333539385665E-3</v>
      </c>
      <c r="AZ44" s="55">
        <v>1.8963314810477379E-3</v>
      </c>
      <c r="BA44" s="55">
        <v>2.8161342425755399E-2</v>
      </c>
      <c r="BB44" s="55">
        <v>3.69821391357963E-3</v>
      </c>
      <c r="BC44" s="55">
        <v>5.594062283585585E-3</v>
      </c>
      <c r="BD44" s="55">
        <v>3.4467189264172559E-3</v>
      </c>
      <c r="BE44" s="55">
        <v>2.0219112930432031E-2</v>
      </c>
      <c r="BF44" s="55">
        <v>2.0270177744588433E-2</v>
      </c>
      <c r="BG44" s="55">
        <v>1.3441537078765417E-3</v>
      </c>
      <c r="BH44" s="55">
        <v>4.1633094965017221E-3</v>
      </c>
      <c r="BI44" s="55">
        <v>1.1246577869937092E-2</v>
      </c>
      <c r="BJ44" s="55">
        <v>0</v>
      </c>
      <c r="BK44" s="55">
        <v>2.906241975212053E-3</v>
      </c>
      <c r="BL44" s="55">
        <v>2.8429796332772459E-4</v>
      </c>
      <c r="BM44" s="55">
        <v>0</v>
      </c>
    </row>
    <row r="45" spans="1:65" x14ac:dyDescent="0.25">
      <c r="A45" s="53" t="s">
        <v>104</v>
      </c>
      <c r="B45" s="54" t="s">
        <v>11</v>
      </c>
      <c r="C45" s="55">
        <v>5.1875698687247835E-3</v>
      </c>
      <c r="D45" s="55">
        <v>2.8453160030119896E-3</v>
      </c>
      <c r="E45" s="55">
        <v>6.23272968518007E-3</v>
      </c>
      <c r="F45" s="55">
        <v>1.0968475384451803E-3</v>
      </c>
      <c r="G45" s="55">
        <v>4.0476405909802872E-3</v>
      </c>
      <c r="H45" s="55">
        <v>1.5750366607015863E-2</v>
      </c>
      <c r="I45" s="55">
        <v>1.2959223764982456E-2</v>
      </c>
      <c r="J45" s="55">
        <v>1.7628924351002783E-2</v>
      </c>
      <c r="K45" s="55">
        <v>1.500055212181693E-2</v>
      </c>
      <c r="L45" s="55">
        <v>1.2794041229227424E-2</v>
      </c>
      <c r="M45" s="55">
        <v>1.2879898989836776E-2</v>
      </c>
      <c r="N45" s="55">
        <v>2.3470296380187002E-2</v>
      </c>
      <c r="O45" s="55">
        <v>1.0597754404588475E-2</v>
      </c>
      <c r="P45" s="55">
        <v>3.2486933285926223E-3</v>
      </c>
      <c r="Q45" s="55">
        <v>5.3350713964636278E-3</v>
      </c>
      <c r="R45" s="55">
        <v>7.4316269525071012E-3</v>
      </c>
      <c r="S45" s="55">
        <v>4.2689467396741293E-3</v>
      </c>
      <c r="T45" s="55">
        <v>2.1656695924226373E-3</v>
      </c>
      <c r="U45" s="55">
        <v>8.3074529769740571E-3</v>
      </c>
      <c r="V45" s="55">
        <v>2.1034373669860336E-2</v>
      </c>
      <c r="W45" s="55">
        <v>7.4985331764089534E-3</v>
      </c>
      <c r="X45" s="55">
        <v>2.1076970669006961E-2</v>
      </c>
      <c r="Y45" s="55">
        <v>3.6374109127737031E-2</v>
      </c>
      <c r="Z45" s="55">
        <v>2.3610001329108093E-2</v>
      </c>
      <c r="AA45" s="55">
        <v>9.7681157074033052E-3</v>
      </c>
      <c r="AB45" s="55">
        <v>3.106894922971502E-2</v>
      </c>
      <c r="AC45" s="55">
        <v>4.6800559195723998E-3</v>
      </c>
      <c r="AD45" s="55">
        <v>3.9977794853586161E-3</v>
      </c>
      <c r="AE45" s="55">
        <v>1.1422694624285095E-2</v>
      </c>
      <c r="AF45" s="55">
        <v>7.9126176886690821E-3</v>
      </c>
      <c r="AG45" s="55">
        <v>1.5622357896528433E-2</v>
      </c>
      <c r="AH45" s="55">
        <v>9.9994265255601792E-3</v>
      </c>
      <c r="AI45" s="55">
        <v>3.6351504849648525E-2</v>
      </c>
      <c r="AJ45" s="55">
        <v>1.2744850645384963E-2</v>
      </c>
      <c r="AK45" s="55">
        <v>3.2078814644779338E-2</v>
      </c>
      <c r="AL45" s="55">
        <v>3.8814419237053126E-3</v>
      </c>
      <c r="AM45" s="55">
        <v>8.1800527307296384E-3</v>
      </c>
      <c r="AN45" s="55">
        <v>6.8267073214297895E-3</v>
      </c>
      <c r="AO45" s="55">
        <v>2.8237797095146934E-2</v>
      </c>
      <c r="AP45" s="55">
        <v>5.0705701052089699E-2</v>
      </c>
      <c r="AQ45" s="55">
        <v>2.6963359757798538E-3</v>
      </c>
      <c r="AR45" s="55">
        <v>1.8453124008461823E-2</v>
      </c>
      <c r="AS45" s="55">
        <v>1.0530885971660213</v>
      </c>
      <c r="AT45" s="55">
        <v>3.6221605264163105E-2</v>
      </c>
      <c r="AU45" s="55">
        <v>1.0151911947893121E-2</v>
      </c>
      <c r="AV45" s="55">
        <v>1.4776055111722272E-2</v>
      </c>
      <c r="AW45" s="55">
        <v>6.7449089191680394E-3</v>
      </c>
      <c r="AX45" s="55">
        <v>1.5394633140031067E-3</v>
      </c>
      <c r="AY45" s="55">
        <v>9.2268248640881897E-3</v>
      </c>
      <c r="AZ45" s="55">
        <v>1.5994192563558529E-3</v>
      </c>
      <c r="BA45" s="55">
        <v>2.5131839868831149E-2</v>
      </c>
      <c r="BB45" s="55">
        <v>8.7001041256785008E-3</v>
      </c>
      <c r="BC45" s="55">
        <v>6.3420258802505975E-3</v>
      </c>
      <c r="BD45" s="55">
        <v>2.7242501693332277E-3</v>
      </c>
      <c r="BE45" s="55">
        <v>2.1307347876725908E-2</v>
      </c>
      <c r="BF45" s="55">
        <v>1.7652869789741558E-2</v>
      </c>
      <c r="BG45" s="55">
        <v>3.899852655768558E-3</v>
      </c>
      <c r="BH45" s="55">
        <v>1.4553448783412824E-2</v>
      </c>
      <c r="BI45" s="55">
        <v>9.7891301132498852E-3</v>
      </c>
      <c r="BJ45" s="55">
        <v>0</v>
      </c>
      <c r="BK45" s="55">
        <v>2.5058609768791422E-3</v>
      </c>
      <c r="BL45" s="55">
        <v>4.573376608339835E-4</v>
      </c>
      <c r="BM45" s="55">
        <v>0</v>
      </c>
    </row>
    <row r="46" spans="1:65" x14ac:dyDescent="0.25">
      <c r="A46" s="53" t="s">
        <v>105</v>
      </c>
      <c r="B46" s="54" t="s">
        <v>152</v>
      </c>
      <c r="C46" s="55">
        <v>6.9387984547229801E-3</v>
      </c>
      <c r="D46" s="55">
        <v>7.1088697140864396E-3</v>
      </c>
      <c r="E46" s="55">
        <v>7.7942546683406914E-3</v>
      </c>
      <c r="F46" s="55">
        <v>2.969906596464907E-3</v>
      </c>
      <c r="G46" s="55">
        <v>4.9566216452428527E-3</v>
      </c>
      <c r="H46" s="55">
        <v>6.0507983101462277E-3</v>
      </c>
      <c r="I46" s="55">
        <v>8.6638227357832692E-3</v>
      </c>
      <c r="J46" s="55">
        <v>2.4817411446626945E-2</v>
      </c>
      <c r="K46" s="55">
        <v>1.0307632940003924E-2</v>
      </c>
      <c r="L46" s="55">
        <v>9.4774472299677184E-3</v>
      </c>
      <c r="M46" s="55">
        <v>7.3422484666335483E-2</v>
      </c>
      <c r="N46" s="55">
        <v>2.5649421316139943E-2</v>
      </c>
      <c r="O46" s="55">
        <v>2.1708673099472532E-2</v>
      </c>
      <c r="P46" s="55">
        <v>4.5450659773431761E-3</v>
      </c>
      <c r="Q46" s="55">
        <v>1.6110604769949737E-2</v>
      </c>
      <c r="R46" s="55">
        <v>1.9389962683440065E-2</v>
      </c>
      <c r="S46" s="55">
        <v>7.055373583200953E-3</v>
      </c>
      <c r="T46" s="55">
        <v>4.3908202531629074E-3</v>
      </c>
      <c r="U46" s="55">
        <v>1.9056360289773935E-2</v>
      </c>
      <c r="V46" s="55">
        <v>1.9735730534987388E-2</v>
      </c>
      <c r="W46" s="55">
        <v>6.1636614539465288E-3</v>
      </c>
      <c r="X46" s="55">
        <v>2.7378523639721875E-2</v>
      </c>
      <c r="Y46" s="55">
        <v>2.1234811473596103E-2</v>
      </c>
      <c r="Z46" s="55">
        <v>7.4525291595809269E-3</v>
      </c>
      <c r="AA46" s="55">
        <v>4.4955701377557347E-3</v>
      </c>
      <c r="AB46" s="55">
        <v>3.56386149051479E-2</v>
      </c>
      <c r="AC46" s="55">
        <v>5.7077710918879091E-3</v>
      </c>
      <c r="AD46" s="55">
        <v>4.7104027015228995E-3</v>
      </c>
      <c r="AE46" s="55">
        <v>1.9851311442546638E-2</v>
      </c>
      <c r="AF46" s="55">
        <v>1.3743210281127755E-2</v>
      </c>
      <c r="AG46" s="55">
        <v>2.1119842846277617E-2</v>
      </c>
      <c r="AH46" s="55">
        <v>1.4930630942776146E-2</v>
      </c>
      <c r="AI46" s="55">
        <v>2.9682607673086239E-2</v>
      </c>
      <c r="AJ46" s="55">
        <v>1.3858567118752833E-2</v>
      </c>
      <c r="AK46" s="55">
        <v>5.3696643467886322E-2</v>
      </c>
      <c r="AL46" s="55">
        <v>2.796041816536198E-3</v>
      </c>
      <c r="AM46" s="55">
        <v>1.4160553346107805E-2</v>
      </c>
      <c r="AN46" s="55">
        <v>7.4484023453129542E-3</v>
      </c>
      <c r="AO46" s="55">
        <v>1.7420739391614506E-2</v>
      </c>
      <c r="AP46" s="55">
        <v>1.8203443388017614E-2</v>
      </c>
      <c r="AQ46" s="55">
        <v>3.1740815491661605E-3</v>
      </c>
      <c r="AR46" s="55">
        <v>8.6609080920544805E-3</v>
      </c>
      <c r="AS46" s="55">
        <v>1.9124137847738653E-2</v>
      </c>
      <c r="AT46" s="55">
        <v>1.0179347662911069</v>
      </c>
      <c r="AU46" s="55">
        <v>1.6398880791977495E-2</v>
      </c>
      <c r="AV46" s="55">
        <v>8.8624497482283869E-3</v>
      </c>
      <c r="AW46" s="55">
        <v>9.4798102114896834E-3</v>
      </c>
      <c r="AX46" s="55">
        <v>1.4899524032149529E-3</v>
      </c>
      <c r="AY46" s="55">
        <v>1.1653539729926688E-2</v>
      </c>
      <c r="AZ46" s="55">
        <v>3.2907924298091703E-3</v>
      </c>
      <c r="BA46" s="55">
        <v>4.6980387623067887E-2</v>
      </c>
      <c r="BB46" s="55">
        <v>8.7427800181672823E-3</v>
      </c>
      <c r="BC46" s="55">
        <v>1.0967557899117741E-2</v>
      </c>
      <c r="BD46" s="55">
        <v>2.9303302333664196E-3</v>
      </c>
      <c r="BE46" s="55">
        <v>3.4877468381239764E-2</v>
      </c>
      <c r="BF46" s="55">
        <v>2.8092628912015881E-2</v>
      </c>
      <c r="BG46" s="55">
        <v>8.2265624279149845E-3</v>
      </c>
      <c r="BH46" s="55">
        <v>2.4945647319796382E-2</v>
      </c>
      <c r="BI46" s="55">
        <v>5.7280481568247228E-3</v>
      </c>
      <c r="BJ46" s="55">
        <v>0</v>
      </c>
      <c r="BK46" s="55">
        <v>1.2180404165595851E-3</v>
      </c>
      <c r="BL46" s="55">
        <v>3.291213528355843E-4</v>
      </c>
      <c r="BM46" s="55">
        <v>0</v>
      </c>
    </row>
    <row r="47" spans="1:65" x14ac:dyDescent="0.25">
      <c r="A47" s="53" t="s">
        <v>106</v>
      </c>
      <c r="B47" s="56" t="s">
        <v>153</v>
      </c>
      <c r="C47" s="55">
        <v>9.4325336560798856E-4</v>
      </c>
      <c r="D47" s="55">
        <v>1.3021243355578573E-3</v>
      </c>
      <c r="E47" s="55">
        <v>8.8341186497973353E-4</v>
      </c>
      <c r="F47" s="55">
        <v>1.4587074597220868E-4</v>
      </c>
      <c r="G47" s="55">
        <v>4.4473319238255791E-3</v>
      </c>
      <c r="H47" s="55">
        <v>1.0403070660343582E-3</v>
      </c>
      <c r="I47" s="55">
        <v>1.1723184709092451E-3</v>
      </c>
      <c r="J47" s="55">
        <v>1.3921354340644385E-3</v>
      </c>
      <c r="K47" s="55">
        <v>1.7296704960841707E-3</v>
      </c>
      <c r="L47" s="55">
        <v>1.3687888997707097E-3</v>
      </c>
      <c r="M47" s="55">
        <v>1.2566070448163864E-3</v>
      </c>
      <c r="N47" s="55">
        <v>2.3000778700722545E-3</v>
      </c>
      <c r="O47" s="55">
        <v>1.4209350592627992E-3</v>
      </c>
      <c r="P47" s="55">
        <v>3.5437802671040388E-4</v>
      </c>
      <c r="Q47" s="55">
        <v>6.3746357076092746E-4</v>
      </c>
      <c r="R47" s="55">
        <v>2.994558288676152E-2</v>
      </c>
      <c r="S47" s="55">
        <v>3.0854619777867316E-3</v>
      </c>
      <c r="T47" s="55">
        <v>8.2306333625528389E-4</v>
      </c>
      <c r="U47" s="55">
        <v>1.5554900567298352E-2</v>
      </c>
      <c r="V47" s="55">
        <v>1.6338530980542842E-2</v>
      </c>
      <c r="W47" s="55">
        <v>4.4905065365049047E-3</v>
      </c>
      <c r="X47" s="55">
        <v>2.2380715697552797E-3</v>
      </c>
      <c r="Y47" s="55">
        <v>2.8153472461822067E-3</v>
      </c>
      <c r="Z47" s="55">
        <v>1.2567870874599426E-3</v>
      </c>
      <c r="AA47" s="55">
        <v>3.5967135214766394E-4</v>
      </c>
      <c r="AB47" s="55">
        <v>1.2063418376788107E-3</v>
      </c>
      <c r="AC47" s="55">
        <v>1.1598625267949575E-3</v>
      </c>
      <c r="AD47" s="55">
        <v>1.1215927945281044E-3</v>
      </c>
      <c r="AE47" s="55">
        <v>9.0118940312013216E-4</v>
      </c>
      <c r="AF47" s="55">
        <v>5.9828249633116096E-4</v>
      </c>
      <c r="AG47" s="55">
        <v>1.0321874789707556E-3</v>
      </c>
      <c r="AH47" s="55">
        <v>7.010778441432382E-4</v>
      </c>
      <c r="AI47" s="55">
        <v>2.2937340521658476E-3</v>
      </c>
      <c r="AJ47" s="55">
        <v>5.691991381082624E-4</v>
      </c>
      <c r="AK47" s="55">
        <v>2.625075635744583E-3</v>
      </c>
      <c r="AL47" s="55">
        <v>3.589767037162289E-4</v>
      </c>
      <c r="AM47" s="55">
        <v>1.3468893400638954E-3</v>
      </c>
      <c r="AN47" s="55">
        <v>5.0627119682626351E-3</v>
      </c>
      <c r="AO47" s="55">
        <v>3.7539065666217252E-3</v>
      </c>
      <c r="AP47" s="55">
        <v>2.7355523994624562E-3</v>
      </c>
      <c r="AQ47" s="55">
        <v>4.916486948755484E-4</v>
      </c>
      <c r="AR47" s="55">
        <v>2.3308622257779423E-3</v>
      </c>
      <c r="AS47" s="55">
        <v>5.9651936909216052E-3</v>
      </c>
      <c r="AT47" s="55">
        <v>7.0726828357895355E-4</v>
      </c>
      <c r="AU47" s="55">
        <v>1.0016692738841202</v>
      </c>
      <c r="AV47" s="55">
        <v>2.9683481120322407E-3</v>
      </c>
      <c r="AW47" s="55">
        <v>1.4882866061490703E-3</v>
      </c>
      <c r="AX47" s="55">
        <v>2.0108284863293779E-4</v>
      </c>
      <c r="AY47" s="55">
        <v>7.5855586846001197E-4</v>
      </c>
      <c r="AZ47" s="55">
        <v>1.6188216625507499E-4</v>
      </c>
      <c r="BA47" s="55">
        <v>1.9731379189497121E-3</v>
      </c>
      <c r="BB47" s="55">
        <v>1.0539931830669082E-3</v>
      </c>
      <c r="BC47" s="55">
        <v>4.6457277787912999E-4</v>
      </c>
      <c r="BD47" s="55">
        <v>1.3827497971515915E-4</v>
      </c>
      <c r="BE47" s="55">
        <v>1.1684413535623602E-2</v>
      </c>
      <c r="BF47" s="55">
        <v>1.1171160516501228E-3</v>
      </c>
      <c r="BG47" s="55">
        <v>6.2182935214843504E-4</v>
      </c>
      <c r="BH47" s="55">
        <v>1.3726822366007475E-3</v>
      </c>
      <c r="BI47" s="55">
        <v>1.8419971383167261E-3</v>
      </c>
      <c r="BJ47" s="55">
        <v>0</v>
      </c>
      <c r="BK47" s="55">
        <v>7.9946800853871001E-4</v>
      </c>
      <c r="BL47" s="55">
        <v>5.7982859351533098E-5</v>
      </c>
      <c r="BM47" s="55">
        <v>0</v>
      </c>
    </row>
    <row r="48" spans="1:65" x14ac:dyDescent="0.25">
      <c r="A48" s="53" t="s">
        <v>107</v>
      </c>
      <c r="B48" s="56" t="s">
        <v>154</v>
      </c>
      <c r="C48" s="55">
        <v>2.7193337066478886E-3</v>
      </c>
      <c r="D48" s="55">
        <v>1.896478860784787E-3</v>
      </c>
      <c r="E48" s="55">
        <v>7.3845479102618017E-3</v>
      </c>
      <c r="F48" s="55">
        <v>4.128104347534669E-4</v>
      </c>
      <c r="G48" s="55">
        <v>2.8198541024278532E-3</v>
      </c>
      <c r="H48" s="55">
        <v>8.9181233930299281E-3</v>
      </c>
      <c r="I48" s="55">
        <v>1.2661510165421339E-2</v>
      </c>
      <c r="J48" s="55">
        <v>1.2092003461684842E-2</v>
      </c>
      <c r="K48" s="55">
        <v>2.0921528503258097E-2</v>
      </c>
      <c r="L48" s="55">
        <v>1.2622595591018995E-2</v>
      </c>
      <c r="M48" s="55">
        <v>1.5779515568443193E-2</v>
      </c>
      <c r="N48" s="55">
        <v>1.8926514269964063E-2</v>
      </c>
      <c r="O48" s="55">
        <v>1.7381817187034763E-2</v>
      </c>
      <c r="P48" s="55">
        <v>4.053836555800841E-3</v>
      </c>
      <c r="Q48" s="55">
        <v>7.5386762177637352E-3</v>
      </c>
      <c r="R48" s="55">
        <v>6.4147053284630811E-3</v>
      </c>
      <c r="S48" s="55">
        <v>3.4275398706716388E-3</v>
      </c>
      <c r="T48" s="55">
        <v>1.8140572091968846E-3</v>
      </c>
      <c r="U48" s="55">
        <v>1.3350411330576047E-2</v>
      </c>
      <c r="V48" s="55">
        <v>2.2201153915235101E-2</v>
      </c>
      <c r="W48" s="55">
        <v>5.0117289541113021E-3</v>
      </c>
      <c r="X48" s="55">
        <v>3.748345913468238E-2</v>
      </c>
      <c r="Y48" s="55">
        <v>3.3822871135035938E-2</v>
      </c>
      <c r="Z48" s="55">
        <v>7.4039660586226732E-3</v>
      </c>
      <c r="AA48" s="55">
        <v>2.4295328293726633E-3</v>
      </c>
      <c r="AB48" s="55">
        <v>8.2342826295141048E-3</v>
      </c>
      <c r="AC48" s="55">
        <v>1.2359872360314848E-2</v>
      </c>
      <c r="AD48" s="55">
        <v>1.0711037506715145E-2</v>
      </c>
      <c r="AE48" s="55">
        <v>8.6827652146904289E-3</v>
      </c>
      <c r="AF48" s="55">
        <v>5.910219415559608E-3</v>
      </c>
      <c r="AG48" s="55">
        <v>2.1962482486733246E-2</v>
      </c>
      <c r="AH48" s="55">
        <v>1.2819489405260637E-2</v>
      </c>
      <c r="AI48" s="55">
        <v>2.6703355585714562E-2</v>
      </c>
      <c r="AJ48" s="55">
        <v>7.5983737542320105E-3</v>
      </c>
      <c r="AK48" s="55">
        <v>2.0386126822542067E-2</v>
      </c>
      <c r="AL48" s="55">
        <v>9.8159499993588448E-3</v>
      </c>
      <c r="AM48" s="55">
        <v>1.3678071982485598E-2</v>
      </c>
      <c r="AN48" s="55">
        <v>5.4287691628141206E-3</v>
      </c>
      <c r="AO48" s="55">
        <v>1.8541169265201229E-2</v>
      </c>
      <c r="AP48" s="55">
        <v>1.6972568630560011E-2</v>
      </c>
      <c r="AQ48" s="55">
        <v>2.243054467976869E-3</v>
      </c>
      <c r="AR48" s="55">
        <v>1.0806210552535719E-2</v>
      </c>
      <c r="AS48" s="55">
        <v>1.4462868729438381E-2</v>
      </c>
      <c r="AT48" s="55">
        <v>4.5152501231255733E-3</v>
      </c>
      <c r="AU48" s="55">
        <v>9.5699277906417038E-3</v>
      </c>
      <c r="AV48" s="55">
        <v>1.0167124241675898</v>
      </c>
      <c r="AW48" s="55">
        <v>7.4671380682236619E-3</v>
      </c>
      <c r="AX48" s="55">
        <v>1.1890009305187757E-3</v>
      </c>
      <c r="AY48" s="55">
        <v>1.5635187973587247E-2</v>
      </c>
      <c r="AZ48" s="55">
        <v>3.3779472725313608E-3</v>
      </c>
      <c r="BA48" s="55">
        <v>3.1073280604037492E-2</v>
      </c>
      <c r="BB48" s="55">
        <v>1.577270298072302E-2</v>
      </c>
      <c r="BC48" s="55">
        <v>9.7645482003891823E-3</v>
      </c>
      <c r="BD48" s="55">
        <v>1.8557694873374067E-3</v>
      </c>
      <c r="BE48" s="55">
        <v>4.2478362812106922E-2</v>
      </c>
      <c r="BF48" s="55">
        <v>1.0356165648655853E-2</v>
      </c>
      <c r="BG48" s="55">
        <v>3.4269726419494974E-3</v>
      </c>
      <c r="BH48" s="55">
        <v>1.1606711688143267E-2</v>
      </c>
      <c r="BI48" s="55">
        <v>1.2727181394753083E-2</v>
      </c>
      <c r="BJ48" s="55">
        <v>0</v>
      </c>
      <c r="BK48" s="55">
        <v>2.6776999169425479E-3</v>
      </c>
      <c r="BL48" s="55">
        <v>3.8945732108215263E-4</v>
      </c>
      <c r="BM48" s="55">
        <v>0</v>
      </c>
    </row>
    <row r="49" spans="1:65" x14ac:dyDescent="0.25">
      <c r="A49" s="53" t="s">
        <v>108</v>
      </c>
      <c r="B49" s="56" t="s">
        <v>155</v>
      </c>
      <c r="C49" s="55">
        <v>1.1021859518664403E-2</v>
      </c>
      <c r="D49" s="55">
        <v>3.4277353498963947E-3</v>
      </c>
      <c r="E49" s="55">
        <v>1.3418833158684671E-2</v>
      </c>
      <c r="F49" s="55">
        <v>4.8496175617801252E-4</v>
      </c>
      <c r="G49" s="55">
        <v>8.1716283383076579E-4</v>
      </c>
      <c r="H49" s="55">
        <v>2.8429597530288332E-3</v>
      </c>
      <c r="I49" s="55">
        <v>5.3078417183841913E-3</v>
      </c>
      <c r="J49" s="55">
        <v>5.038105848745162E-3</v>
      </c>
      <c r="K49" s="55">
        <v>4.3721484693779221E-3</v>
      </c>
      <c r="L49" s="55">
        <v>6.4222558298201796E-3</v>
      </c>
      <c r="M49" s="55">
        <v>7.6951806071177339E-3</v>
      </c>
      <c r="N49" s="55">
        <v>4.0229269176738185E-3</v>
      </c>
      <c r="O49" s="55">
        <v>3.6790281676650485E-3</v>
      </c>
      <c r="P49" s="55">
        <v>5.0430402252503856E-3</v>
      </c>
      <c r="Q49" s="55">
        <v>2.641215183632784E-3</v>
      </c>
      <c r="R49" s="55">
        <v>1.6055223179281127E-3</v>
      </c>
      <c r="S49" s="55">
        <v>5.1019517841030407E-4</v>
      </c>
      <c r="T49" s="55">
        <v>4.5497875913045258E-3</v>
      </c>
      <c r="U49" s="55">
        <v>1.3784385308653653E-2</v>
      </c>
      <c r="V49" s="55">
        <v>8.8628538601353887E-3</v>
      </c>
      <c r="W49" s="55">
        <v>1.3697823793875342E-2</v>
      </c>
      <c r="X49" s="55">
        <v>5.9597356802962333E-3</v>
      </c>
      <c r="Y49" s="55">
        <v>2.9468586514534811E-3</v>
      </c>
      <c r="Z49" s="55">
        <v>1.9145045686778306E-3</v>
      </c>
      <c r="AA49" s="55">
        <v>1.5668360685338464E-3</v>
      </c>
      <c r="AB49" s="55">
        <v>4.4950169478210943E-3</v>
      </c>
      <c r="AC49" s="55">
        <v>9.6707643517601944E-4</v>
      </c>
      <c r="AD49" s="55">
        <v>9.3715542768553733E-4</v>
      </c>
      <c r="AE49" s="55">
        <v>5.6953653512289946E-3</v>
      </c>
      <c r="AF49" s="55">
        <v>3.6484849482221861E-3</v>
      </c>
      <c r="AG49" s="55">
        <v>2.2452580838597763E-3</v>
      </c>
      <c r="AH49" s="55">
        <v>2.640973035888246E-3</v>
      </c>
      <c r="AI49" s="55">
        <v>4.2599850423708464E-3</v>
      </c>
      <c r="AJ49" s="55">
        <v>1.0385402857859866E-3</v>
      </c>
      <c r="AK49" s="55">
        <v>3.1578605833232345E-3</v>
      </c>
      <c r="AL49" s="55">
        <v>2.5389059058081673E-3</v>
      </c>
      <c r="AM49" s="55">
        <v>1.2625346474956006E-2</v>
      </c>
      <c r="AN49" s="55">
        <v>1.2613933809874499E-3</v>
      </c>
      <c r="AO49" s="55">
        <v>3.7151753053454284E-3</v>
      </c>
      <c r="AP49" s="55">
        <v>2.9447576418959831E-3</v>
      </c>
      <c r="AQ49" s="55">
        <v>4.2316476512822631E-4</v>
      </c>
      <c r="AR49" s="55">
        <v>4.0443467226222293E-3</v>
      </c>
      <c r="AS49" s="55">
        <v>3.7956533644417216E-3</v>
      </c>
      <c r="AT49" s="55">
        <v>2.2439392227409506E-3</v>
      </c>
      <c r="AU49" s="55">
        <v>1.6792384839453864E-3</v>
      </c>
      <c r="AV49" s="55">
        <v>1.0600226603740897E-3</v>
      </c>
      <c r="AW49" s="55">
        <v>1.1348574887362828</v>
      </c>
      <c r="AX49" s="55">
        <v>5.0506756216022787E-4</v>
      </c>
      <c r="AY49" s="55">
        <v>2.2785111495621201E-3</v>
      </c>
      <c r="AZ49" s="55">
        <v>3.8681192226964849E-4</v>
      </c>
      <c r="BA49" s="55">
        <v>1.4226536459409564E-2</v>
      </c>
      <c r="BB49" s="55">
        <v>6.7710494511480212E-3</v>
      </c>
      <c r="BC49" s="55">
        <v>1.6194618562056149E-3</v>
      </c>
      <c r="BD49" s="55">
        <v>6.6240572853829872E-4</v>
      </c>
      <c r="BE49" s="55">
        <v>1.0085218625615146E-2</v>
      </c>
      <c r="BF49" s="55">
        <v>4.9253824310533829E-3</v>
      </c>
      <c r="BG49" s="55">
        <v>1.1645977357439006E-3</v>
      </c>
      <c r="BH49" s="55">
        <v>6.3612691218572449E-3</v>
      </c>
      <c r="BI49" s="55">
        <v>1.6196035790821512E-3</v>
      </c>
      <c r="BJ49" s="55">
        <v>0</v>
      </c>
      <c r="BK49" s="55">
        <v>3.6640616401670601E-3</v>
      </c>
      <c r="BL49" s="55">
        <v>1.9672801627620092E-3</v>
      </c>
      <c r="BM49" s="55">
        <v>0</v>
      </c>
    </row>
    <row r="50" spans="1:65" x14ac:dyDescent="0.25">
      <c r="A50" s="53" t="s">
        <v>109</v>
      </c>
      <c r="B50" s="56" t="s">
        <v>156</v>
      </c>
      <c r="C50" s="55">
        <v>3.8816191710902017E-4</v>
      </c>
      <c r="D50" s="55">
        <v>2.1691975669474488E-4</v>
      </c>
      <c r="E50" s="55">
        <v>2.7552013925912291E-4</v>
      </c>
      <c r="F50" s="55">
        <v>6.1200904754706346E-5</v>
      </c>
      <c r="G50" s="55">
        <v>1.9036871551189694E-4</v>
      </c>
      <c r="H50" s="55">
        <v>6.5587192503734851E-4</v>
      </c>
      <c r="I50" s="55">
        <v>1.2117421178486053E-3</v>
      </c>
      <c r="J50" s="55">
        <v>1.137411167639335E-3</v>
      </c>
      <c r="K50" s="55">
        <v>1.1151633544020895E-3</v>
      </c>
      <c r="L50" s="55">
        <v>7.3012064369686177E-4</v>
      </c>
      <c r="M50" s="55">
        <v>3.8155922231900041E-4</v>
      </c>
      <c r="N50" s="55">
        <v>6.6509903646327603E-4</v>
      </c>
      <c r="O50" s="55">
        <v>5.881054309586047E-3</v>
      </c>
      <c r="P50" s="55">
        <v>1.3603148122732899E-3</v>
      </c>
      <c r="Q50" s="55">
        <v>1.6462514872852131E-4</v>
      </c>
      <c r="R50" s="55">
        <v>1.9247754436664972E-4</v>
      </c>
      <c r="S50" s="55">
        <v>9.635712669428012E-5</v>
      </c>
      <c r="T50" s="55">
        <v>6.1698029986187691E-5</v>
      </c>
      <c r="U50" s="55">
        <v>2.6254660109513997E-4</v>
      </c>
      <c r="V50" s="55">
        <v>3.8969955910172019E-4</v>
      </c>
      <c r="W50" s="55">
        <v>5.9986219767402032E-4</v>
      </c>
      <c r="X50" s="55">
        <v>6.5532443047817263E-4</v>
      </c>
      <c r="Y50" s="55">
        <v>5.0838740097919528E-4</v>
      </c>
      <c r="Z50" s="55">
        <v>3.72055398193819E-4</v>
      </c>
      <c r="AA50" s="55">
        <v>1.8638219688141024E-3</v>
      </c>
      <c r="AB50" s="55">
        <v>7.3618983146561019E-3</v>
      </c>
      <c r="AC50" s="55">
        <v>2.8156369076832635E-3</v>
      </c>
      <c r="AD50" s="55">
        <v>2.6467790708132014E-3</v>
      </c>
      <c r="AE50" s="55">
        <v>8.4924574227490512E-3</v>
      </c>
      <c r="AF50" s="55">
        <v>5.9181179403542897E-3</v>
      </c>
      <c r="AG50" s="55">
        <v>3.2387242226000052E-4</v>
      </c>
      <c r="AH50" s="55">
        <v>3.5063906119718884E-4</v>
      </c>
      <c r="AI50" s="55">
        <v>1.1601932071996578E-2</v>
      </c>
      <c r="AJ50" s="55">
        <v>5.7877170073744868E-3</v>
      </c>
      <c r="AK50" s="55">
        <v>6.5641198624178023E-3</v>
      </c>
      <c r="AL50" s="55">
        <v>5.5115967522090324E-4</v>
      </c>
      <c r="AM50" s="55">
        <v>7.2905173553234552E-4</v>
      </c>
      <c r="AN50" s="55">
        <v>2.8614086056252147E-4</v>
      </c>
      <c r="AO50" s="55">
        <v>4.6832797302900691E-4</v>
      </c>
      <c r="AP50" s="55">
        <v>4.3993506599024823E-3</v>
      </c>
      <c r="AQ50" s="55">
        <v>6.420041575758247E-5</v>
      </c>
      <c r="AR50" s="55">
        <v>9.0183119719022462E-4</v>
      </c>
      <c r="AS50" s="55">
        <v>1.1221119059343749E-3</v>
      </c>
      <c r="AT50" s="55">
        <v>3.314779105801105E-4</v>
      </c>
      <c r="AU50" s="55">
        <v>3.6268922319580762E-4</v>
      </c>
      <c r="AV50" s="55">
        <v>4.3954892444547471E-4</v>
      </c>
      <c r="AW50" s="55">
        <v>3.9151798063213374E-4</v>
      </c>
      <c r="AX50" s="55">
        <v>1.0000467688599552</v>
      </c>
      <c r="AY50" s="55">
        <v>4.5621037083736995E-4</v>
      </c>
      <c r="AZ50" s="55">
        <v>3.682523693983553E-5</v>
      </c>
      <c r="BA50" s="55">
        <v>8.5804918069384492E-3</v>
      </c>
      <c r="BB50" s="55">
        <v>7.571342130162146E-4</v>
      </c>
      <c r="BC50" s="55">
        <v>1.4593802501284477E-4</v>
      </c>
      <c r="BD50" s="55">
        <v>7.1180762196662413E-5</v>
      </c>
      <c r="BE50" s="55">
        <v>9.29924076904382E-4</v>
      </c>
      <c r="BF50" s="55">
        <v>5.5228848884564404E-4</v>
      </c>
      <c r="BG50" s="55">
        <v>1.9326354390622995E-4</v>
      </c>
      <c r="BH50" s="55">
        <v>6.0895176714698747E-4</v>
      </c>
      <c r="BI50" s="55">
        <v>3.3469850660502055E-4</v>
      </c>
      <c r="BJ50" s="55">
        <v>0</v>
      </c>
      <c r="BK50" s="55">
        <v>7.722597129311753E-5</v>
      </c>
      <c r="BL50" s="55">
        <v>2.4080825707445699E-5</v>
      </c>
      <c r="BM50" s="55">
        <v>0</v>
      </c>
    </row>
    <row r="51" spans="1:65" x14ac:dyDescent="0.25">
      <c r="A51" s="53" t="s">
        <v>110</v>
      </c>
      <c r="B51" s="56" t="s">
        <v>157</v>
      </c>
      <c r="C51" s="55">
        <v>2.8984025709636403E-4</v>
      </c>
      <c r="D51" s="55">
        <v>2.4661718338414573E-4</v>
      </c>
      <c r="E51" s="55">
        <v>1.8181522865331925E-4</v>
      </c>
      <c r="F51" s="55">
        <v>3.9284336324961627E-5</v>
      </c>
      <c r="G51" s="55">
        <v>4.4448583050988791E-4</v>
      </c>
      <c r="H51" s="55">
        <v>3.3850023032232783E-3</v>
      </c>
      <c r="I51" s="55">
        <v>5.4207518229861191E-4</v>
      </c>
      <c r="J51" s="55">
        <v>3.2728755259481436E-4</v>
      </c>
      <c r="K51" s="55">
        <v>3.2747431089810383E-4</v>
      </c>
      <c r="L51" s="55">
        <v>3.1383561094595268E-4</v>
      </c>
      <c r="M51" s="55">
        <v>5.0341222845123857E-4</v>
      </c>
      <c r="N51" s="55">
        <v>4.2809702299175477E-4</v>
      </c>
      <c r="O51" s="55">
        <v>1.1869036498789983E-3</v>
      </c>
      <c r="P51" s="55">
        <v>6.7031255142556965E-4</v>
      </c>
      <c r="Q51" s="55">
        <v>4.8778520846399576E-4</v>
      </c>
      <c r="R51" s="55">
        <v>2.3796385152268949E-3</v>
      </c>
      <c r="S51" s="55">
        <v>4.831765791446046E-4</v>
      </c>
      <c r="T51" s="55">
        <v>1.0590620169432884E-4</v>
      </c>
      <c r="U51" s="55">
        <v>2.9930121546185932E-4</v>
      </c>
      <c r="V51" s="55">
        <v>1.6388841886935158E-3</v>
      </c>
      <c r="W51" s="55">
        <v>4.6640482400047258E-4</v>
      </c>
      <c r="X51" s="55">
        <v>1.2500225735196362E-3</v>
      </c>
      <c r="Y51" s="55">
        <v>3.9050039223514914E-3</v>
      </c>
      <c r="Z51" s="55">
        <v>3.7176517667105921E-4</v>
      </c>
      <c r="AA51" s="55">
        <v>1.7663192153617776E-3</v>
      </c>
      <c r="AB51" s="55">
        <v>1.8722572924842144E-3</v>
      </c>
      <c r="AC51" s="55">
        <v>2.0183139741531439E-3</v>
      </c>
      <c r="AD51" s="55">
        <v>1.9194697345255324E-3</v>
      </c>
      <c r="AE51" s="55">
        <v>7.6425014658466229E-3</v>
      </c>
      <c r="AF51" s="55">
        <v>5.4750475555539564E-3</v>
      </c>
      <c r="AG51" s="55">
        <v>8.559955753861604E-4</v>
      </c>
      <c r="AH51" s="55">
        <v>6.9725919882587892E-4</v>
      </c>
      <c r="AI51" s="55">
        <v>1.134392707149815E-3</v>
      </c>
      <c r="AJ51" s="55">
        <v>1.8584077335811569E-4</v>
      </c>
      <c r="AK51" s="55">
        <v>1.0750996715106333E-3</v>
      </c>
      <c r="AL51" s="55">
        <v>1.1977234226359483E-4</v>
      </c>
      <c r="AM51" s="55">
        <v>2.6624020911666951E-4</v>
      </c>
      <c r="AN51" s="55">
        <v>5.252177634689979E-4</v>
      </c>
      <c r="AO51" s="55">
        <v>5.7024891919455563E-4</v>
      </c>
      <c r="AP51" s="55">
        <v>5.2014464053207221E-4</v>
      </c>
      <c r="AQ51" s="55">
        <v>1.1101521253242287E-3</v>
      </c>
      <c r="AR51" s="55">
        <v>4.7100825038003965E-4</v>
      </c>
      <c r="AS51" s="55">
        <v>1.8875195877869773E-3</v>
      </c>
      <c r="AT51" s="55">
        <v>2.6475183243514542E-4</v>
      </c>
      <c r="AU51" s="55">
        <v>1.938158065776394E-3</v>
      </c>
      <c r="AV51" s="55">
        <v>5.1087867538473532E-4</v>
      </c>
      <c r="AW51" s="55">
        <v>4.5075743354077791E-4</v>
      </c>
      <c r="AX51" s="55">
        <v>5.2912228080101973E-4</v>
      </c>
      <c r="AY51" s="55">
        <v>1.0033974686400229</v>
      </c>
      <c r="AZ51" s="55">
        <v>5.0603868655060347E-5</v>
      </c>
      <c r="BA51" s="55">
        <v>2.9355003932422454E-3</v>
      </c>
      <c r="BB51" s="55">
        <v>4.2969653351012787E-4</v>
      </c>
      <c r="BC51" s="55">
        <v>4.9045989584538957E-4</v>
      </c>
      <c r="BD51" s="55">
        <v>5.3739992371775532E-4</v>
      </c>
      <c r="BE51" s="55">
        <v>8.2240388209433972E-4</v>
      </c>
      <c r="BF51" s="55">
        <v>5.3786366472267845E-4</v>
      </c>
      <c r="BG51" s="55">
        <v>9.9014718033566413E-5</v>
      </c>
      <c r="BH51" s="55">
        <v>4.3861476466940818E-4</v>
      </c>
      <c r="BI51" s="55">
        <v>9.4167191593394343E-4</v>
      </c>
      <c r="BJ51" s="55">
        <v>0</v>
      </c>
      <c r="BK51" s="55">
        <v>1.6484013383908375E-4</v>
      </c>
      <c r="BL51" s="55">
        <v>1.3780635940358881E-4</v>
      </c>
      <c r="BM51" s="55">
        <v>0</v>
      </c>
    </row>
    <row r="52" spans="1:65" x14ac:dyDescent="0.25">
      <c r="A52" s="53" t="s">
        <v>111</v>
      </c>
      <c r="B52" s="54" t="s">
        <v>158</v>
      </c>
      <c r="C52" s="55">
        <v>2.8059592075912852E-4</v>
      </c>
      <c r="D52" s="55">
        <v>3.0782807370443899E-4</v>
      </c>
      <c r="E52" s="55">
        <v>4.3044819921455847E-4</v>
      </c>
      <c r="F52" s="55">
        <v>3.0145943250678991E-5</v>
      </c>
      <c r="G52" s="55">
        <v>2.5002929168041981E-4</v>
      </c>
      <c r="H52" s="55">
        <v>7.9879066459771721E-4</v>
      </c>
      <c r="I52" s="55">
        <v>2.9192326529705177E-4</v>
      </c>
      <c r="J52" s="55">
        <v>3.1845164000082461E-4</v>
      </c>
      <c r="K52" s="55">
        <v>3.2602525977701069E-4</v>
      </c>
      <c r="L52" s="55">
        <v>2.651513549218535E-4</v>
      </c>
      <c r="M52" s="55">
        <v>2.6024522076699099E-4</v>
      </c>
      <c r="N52" s="55">
        <v>4.6408443016288309E-4</v>
      </c>
      <c r="O52" s="55">
        <v>3.7444080386274587E-4</v>
      </c>
      <c r="P52" s="55">
        <v>7.8843801934594268E-5</v>
      </c>
      <c r="Q52" s="55">
        <v>1.61061214190032E-4</v>
      </c>
      <c r="R52" s="55">
        <v>3.9174891451904684E-4</v>
      </c>
      <c r="S52" s="55">
        <v>1.9816095016608217E-4</v>
      </c>
      <c r="T52" s="55">
        <v>1.7226872070515712E-2</v>
      </c>
      <c r="U52" s="55">
        <v>2.339215430285629E-4</v>
      </c>
      <c r="V52" s="55">
        <v>3.5507109494392992E-3</v>
      </c>
      <c r="W52" s="55">
        <v>2.8039975108148734E-3</v>
      </c>
      <c r="X52" s="55">
        <v>4.8129651108879898E-4</v>
      </c>
      <c r="Y52" s="55">
        <v>6.1507652815543366E-4</v>
      </c>
      <c r="Z52" s="55">
        <v>3.2330572746566813E-4</v>
      </c>
      <c r="AA52" s="55">
        <v>1.7137131720720202E-4</v>
      </c>
      <c r="AB52" s="55">
        <v>4.1540074002117537E-4</v>
      </c>
      <c r="AC52" s="55">
        <v>1.3335588567053578E-4</v>
      </c>
      <c r="AD52" s="55">
        <v>1.2268119025667871E-4</v>
      </c>
      <c r="AE52" s="55">
        <v>3.9039564883885578E-4</v>
      </c>
      <c r="AF52" s="55">
        <v>2.7285119550311967E-4</v>
      </c>
      <c r="AG52" s="55">
        <v>2.1903096768627694E-4</v>
      </c>
      <c r="AH52" s="55">
        <v>1.9227116781306793E-4</v>
      </c>
      <c r="AI52" s="55">
        <v>4.4752571683075588E-4</v>
      </c>
      <c r="AJ52" s="55">
        <v>1.5100481174874981E-4</v>
      </c>
      <c r="AK52" s="55">
        <v>5.1199330468272217E-4</v>
      </c>
      <c r="AL52" s="55">
        <v>3.2466203637446331E-4</v>
      </c>
      <c r="AM52" s="55">
        <v>1.8812368780924294E-4</v>
      </c>
      <c r="AN52" s="55">
        <v>2.6994740700166006E-4</v>
      </c>
      <c r="AO52" s="55">
        <v>3.8496714377711543E-4</v>
      </c>
      <c r="AP52" s="55">
        <v>5.4164686700052119E-4</v>
      </c>
      <c r="AQ52" s="55">
        <v>1.0589587555756933E-4</v>
      </c>
      <c r="AR52" s="55">
        <v>3.0982380129692907E-4</v>
      </c>
      <c r="AS52" s="55">
        <v>9.1489560868434957E-3</v>
      </c>
      <c r="AT52" s="55">
        <v>3.7481476860182065E-4</v>
      </c>
      <c r="AU52" s="55">
        <v>1.8790307931044513E-4</v>
      </c>
      <c r="AV52" s="55">
        <v>5.6905081793493526E-4</v>
      </c>
      <c r="AW52" s="55">
        <v>2.2275200005100761E-3</v>
      </c>
      <c r="AX52" s="55">
        <v>4.1758872768924286E-5</v>
      </c>
      <c r="AY52" s="55">
        <v>2.3193158622795175E-2</v>
      </c>
      <c r="AZ52" s="55">
        <v>1.1173616707855403</v>
      </c>
      <c r="BA52" s="55">
        <v>3.145763894261884E-2</v>
      </c>
      <c r="BB52" s="55">
        <v>1.0887359055914363E-2</v>
      </c>
      <c r="BC52" s="55">
        <v>1.0505990395240903E-4</v>
      </c>
      <c r="BD52" s="55">
        <v>1.6813756472980042E-3</v>
      </c>
      <c r="BE52" s="55">
        <v>3.6986066347597394E-4</v>
      </c>
      <c r="BF52" s="55">
        <v>2.9606054627143229E-4</v>
      </c>
      <c r="BG52" s="55">
        <v>6.2401245087631587E-5</v>
      </c>
      <c r="BH52" s="55">
        <v>2.3366823693443063E-4</v>
      </c>
      <c r="BI52" s="55">
        <v>6.6454777108804078E-3</v>
      </c>
      <c r="BJ52" s="55">
        <v>0</v>
      </c>
      <c r="BK52" s="55">
        <v>7.2778498968686491E-5</v>
      </c>
      <c r="BL52" s="55">
        <v>2.0191784403786181E-3</v>
      </c>
      <c r="BM52" s="55">
        <v>0</v>
      </c>
    </row>
    <row r="53" spans="1:65" x14ac:dyDescent="0.25">
      <c r="A53" s="53" t="s">
        <v>112</v>
      </c>
      <c r="B53" s="54" t="s">
        <v>12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55">
        <v>0</v>
      </c>
      <c r="AN53" s="55">
        <v>0</v>
      </c>
      <c r="AO53" s="55">
        <v>0</v>
      </c>
      <c r="AP53" s="55">
        <v>0</v>
      </c>
      <c r="AQ53" s="55">
        <v>0</v>
      </c>
      <c r="AR53" s="55">
        <v>0</v>
      </c>
      <c r="AS53" s="55">
        <v>0</v>
      </c>
      <c r="AT53" s="55">
        <v>0</v>
      </c>
      <c r="AU53" s="55">
        <v>0</v>
      </c>
      <c r="AV53" s="55">
        <v>0</v>
      </c>
      <c r="AW53" s="55">
        <v>0</v>
      </c>
      <c r="AX53" s="55">
        <v>0</v>
      </c>
      <c r="AY53" s="55">
        <v>0</v>
      </c>
      <c r="AZ53" s="55">
        <v>0</v>
      </c>
      <c r="BA53" s="55">
        <v>1</v>
      </c>
      <c r="BB53" s="55">
        <v>0</v>
      </c>
      <c r="BC53" s="55">
        <v>0</v>
      </c>
      <c r="BD53" s="55">
        <v>0</v>
      </c>
      <c r="BE53" s="55">
        <v>0</v>
      </c>
      <c r="BF53" s="55">
        <v>0</v>
      </c>
      <c r="BG53" s="55">
        <v>0</v>
      </c>
      <c r="BH53" s="55">
        <v>0</v>
      </c>
      <c r="BI53" s="55">
        <v>0</v>
      </c>
      <c r="BJ53" s="55">
        <v>0</v>
      </c>
      <c r="BK53" s="55">
        <v>0</v>
      </c>
      <c r="BL53" s="55">
        <v>0</v>
      </c>
      <c r="BM53" s="55">
        <v>0</v>
      </c>
    </row>
    <row r="54" spans="1:65" x14ac:dyDescent="0.25">
      <c r="A54" s="53" t="s">
        <v>113</v>
      </c>
      <c r="B54" s="54" t="s">
        <v>20</v>
      </c>
      <c r="C54" s="55">
        <v>0</v>
      </c>
      <c r="D54" s="55">
        <v>0</v>
      </c>
      <c r="E54" s="55">
        <v>0</v>
      </c>
      <c r="F54" s="55">
        <v>0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55">
        <v>0</v>
      </c>
      <c r="AN54" s="55">
        <v>0</v>
      </c>
      <c r="AO54" s="55">
        <v>0</v>
      </c>
      <c r="AP54" s="55">
        <v>0</v>
      </c>
      <c r="AQ54" s="55">
        <v>0</v>
      </c>
      <c r="AR54" s="55">
        <v>0</v>
      </c>
      <c r="AS54" s="55">
        <v>0</v>
      </c>
      <c r="AT54" s="55">
        <v>0</v>
      </c>
      <c r="AU54" s="55">
        <v>0</v>
      </c>
      <c r="AV54" s="55">
        <v>0</v>
      </c>
      <c r="AW54" s="55">
        <v>0</v>
      </c>
      <c r="AX54" s="55">
        <v>0</v>
      </c>
      <c r="AY54" s="55">
        <v>0</v>
      </c>
      <c r="AZ54" s="55">
        <v>0</v>
      </c>
      <c r="BA54" s="55">
        <v>0</v>
      </c>
      <c r="BB54" s="55">
        <v>1</v>
      </c>
      <c r="BC54" s="55">
        <v>0</v>
      </c>
      <c r="BD54" s="55">
        <v>0</v>
      </c>
      <c r="BE54" s="55">
        <v>0</v>
      </c>
      <c r="BF54" s="55">
        <v>0</v>
      </c>
      <c r="BG54" s="55">
        <v>0</v>
      </c>
      <c r="BH54" s="55">
        <v>0</v>
      </c>
      <c r="BI54" s="55">
        <v>0</v>
      </c>
      <c r="BJ54" s="55">
        <v>0</v>
      </c>
      <c r="BK54" s="55">
        <v>0</v>
      </c>
      <c r="BL54" s="55">
        <v>0</v>
      </c>
      <c r="BM54" s="55">
        <v>0</v>
      </c>
    </row>
    <row r="55" spans="1:65" x14ac:dyDescent="0.25">
      <c r="A55" s="53" t="s">
        <v>114</v>
      </c>
      <c r="B55" s="56" t="s">
        <v>21</v>
      </c>
      <c r="C55" s="55">
        <v>0</v>
      </c>
      <c r="D55" s="55">
        <v>0</v>
      </c>
      <c r="E55" s="55">
        <v>0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55">
        <v>0</v>
      </c>
      <c r="AN55" s="55">
        <v>0</v>
      </c>
      <c r="AO55" s="55">
        <v>0</v>
      </c>
      <c r="AP55" s="55">
        <v>0</v>
      </c>
      <c r="AQ55" s="55">
        <v>0</v>
      </c>
      <c r="AR55" s="55">
        <v>0</v>
      </c>
      <c r="AS55" s="55">
        <v>0</v>
      </c>
      <c r="AT55" s="55">
        <v>0</v>
      </c>
      <c r="AU55" s="55">
        <v>0</v>
      </c>
      <c r="AV55" s="55">
        <v>0</v>
      </c>
      <c r="AW55" s="55">
        <v>0</v>
      </c>
      <c r="AX55" s="55">
        <v>0</v>
      </c>
      <c r="AY55" s="55">
        <v>0</v>
      </c>
      <c r="AZ55" s="55">
        <v>0</v>
      </c>
      <c r="BA55" s="55">
        <v>0</v>
      </c>
      <c r="BB55" s="55">
        <v>0</v>
      </c>
      <c r="BC55" s="55">
        <v>1</v>
      </c>
      <c r="BD55" s="55">
        <v>0</v>
      </c>
      <c r="BE55" s="55">
        <v>0</v>
      </c>
      <c r="BF55" s="55">
        <v>0</v>
      </c>
      <c r="BG55" s="55">
        <v>0</v>
      </c>
      <c r="BH55" s="55">
        <v>0</v>
      </c>
      <c r="BI55" s="55">
        <v>0</v>
      </c>
      <c r="BJ55" s="55">
        <v>0</v>
      </c>
      <c r="BK55" s="55">
        <v>0</v>
      </c>
      <c r="BL55" s="55">
        <v>0</v>
      </c>
      <c r="BM55" s="55">
        <v>0</v>
      </c>
    </row>
    <row r="56" spans="1:65" x14ac:dyDescent="0.25">
      <c r="A56" s="53" t="s">
        <v>115</v>
      </c>
      <c r="B56" s="56" t="s">
        <v>159</v>
      </c>
      <c r="C56" s="55">
        <v>4.5641761766529638E-4</v>
      </c>
      <c r="D56" s="55">
        <v>3.3586877059124003E-4</v>
      </c>
      <c r="E56" s="55">
        <v>3.6112497233283538E-3</v>
      </c>
      <c r="F56" s="55">
        <v>9.9652627006426475E-4</v>
      </c>
      <c r="G56" s="55">
        <v>6.6672465316802796E-4</v>
      </c>
      <c r="H56" s="55">
        <v>1.1947474359418455E-2</v>
      </c>
      <c r="I56" s="55">
        <v>8.6037044131112225E-4</v>
      </c>
      <c r="J56" s="55">
        <v>1.0025992265077677E-3</v>
      </c>
      <c r="K56" s="55">
        <v>1.2973917571190048E-3</v>
      </c>
      <c r="L56" s="55">
        <v>2.5911800295469961E-3</v>
      </c>
      <c r="M56" s="55">
        <v>2.7776902659209382E-3</v>
      </c>
      <c r="N56" s="55">
        <v>1.8739710142253367E-3</v>
      </c>
      <c r="O56" s="55">
        <v>1.5770963323173605E-3</v>
      </c>
      <c r="P56" s="55">
        <v>5.8934495376200178E-4</v>
      </c>
      <c r="Q56" s="55">
        <v>8.0168896585501462E-4</v>
      </c>
      <c r="R56" s="55">
        <v>6.1419451580878228E-4</v>
      </c>
      <c r="S56" s="55">
        <v>1.6132763251072241E-4</v>
      </c>
      <c r="T56" s="55">
        <v>1.5467501279138482E-4</v>
      </c>
      <c r="U56" s="55">
        <v>5.371926322676649E-4</v>
      </c>
      <c r="V56" s="55">
        <v>8.1470151284880436E-4</v>
      </c>
      <c r="W56" s="55">
        <v>8.8700194068790073E-4</v>
      </c>
      <c r="X56" s="55">
        <v>7.9539011537451635E-4</v>
      </c>
      <c r="Y56" s="55">
        <v>5.8783645572497538E-3</v>
      </c>
      <c r="Z56" s="55">
        <v>1.5120976471470617E-2</v>
      </c>
      <c r="AA56" s="55">
        <v>9.6538367936832362E-3</v>
      </c>
      <c r="AB56" s="55">
        <v>6.1578625596331023E-4</v>
      </c>
      <c r="AC56" s="55">
        <v>1.7218673894649024E-4</v>
      </c>
      <c r="AD56" s="55">
        <v>1.6404850280341601E-4</v>
      </c>
      <c r="AE56" s="55">
        <v>7.8178949320454943E-4</v>
      </c>
      <c r="AF56" s="55">
        <v>5.7624922503550166E-4</v>
      </c>
      <c r="AG56" s="55">
        <v>2.9925215940597455E-4</v>
      </c>
      <c r="AH56" s="55">
        <v>1.8397292020971785E-4</v>
      </c>
      <c r="AI56" s="55">
        <v>6.7258022565678296E-4</v>
      </c>
      <c r="AJ56" s="55">
        <v>1.4656423074128579E-4</v>
      </c>
      <c r="AK56" s="55">
        <v>4.3605300826700486E-4</v>
      </c>
      <c r="AL56" s="55">
        <v>2.5627273869040614E-4</v>
      </c>
      <c r="AM56" s="55">
        <v>2.1547096785769505E-4</v>
      </c>
      <c r="AN56" s="55">
        <v>2.728055101871905E-4</v>
      </c>
      <c r="AO56" s="55">
        <v>5.4413634765166459E-4</v>
      </c>
      <c r="AP56" s="55">
        <v>2.5482258528377433E-4</v>
      </c>
      <c r="AQ56" s="55">
        <v>6.9237869011994392E-5</v>
      </c>
      <c r="AR56" s="55">
        <v>3.0818483375920987E-4</v>
      </c>
      <c r="AS56" s="55">
        <v>7.5101459903562779E-4</v>
      </c>
      <c r="AT56" s="55">
        <v>1.6391767988920553E-4</v>
      </c>
      <c r="AU56" s="55">
        <v>1.7623086857413469E-4</v>
      </c>
      <c r="AV56" s="55">
        <v>1.8114616992528213E-4</v>
      </c>
      <c r="AW56" s="55">
        <v>2.2505901744886251E-4</v>
      </c>
      <c r="AX56" s="55">
        <v>1.5499986417239078E-4</v>
      </c>
      <c r="AY56" s="55">
        <v>8.7234793935922256E-4</v>
      </c>
      <c r="AZ56" s="55">
        <v>2.9712139287450381E-5</v>
      </c>
      <c r="BA56" s="55">
        <v>4.9056324235133774E-4</v>
      </c>
      <c r="BB56" s="55">
        <v>8.2226080924009757E-4</v>
      </c>
      <c r="BC56" s="55">
        <v>3.8164892563200627E-4</v>
      </c>
      <c r="BD56" s="55">
        <v>1.0077532822697295</v>
      </c>
      <c r="BE56" s="55">
        <v>1.9590138481755215E-3</v>
      </c>
      <c r="BF56" s="55">
        <v>4.8093229819268701E-3</v>
      </c>
      <c r="BG56" s="55">
        <v>1.9899820327030907E-4</v>
      </c>
      <c r="BH56" s="55">
        <v>8.3838207093656775E-4</v>
      </c>
      <c r="BI56" s="55">
        <v>3.748551317283504E-4</v>
      </c>
      <c r="BJ56" s="55">
        <v>0</v>
      </c>
      <c r="BK56" s="55">
        <v>1.2160519535822908E-4</v>
      </c>
      <c r="BL56" s="55">
        <v>1.8822539265725774E-5</v>
      </c>
      <c r="BM56" s="55">
        <v>0</v>
      </c>
    </row>
    <row r="57" spans="1:65" x14ac:dyDescent="0.25">
      <c r="A57" s="53" t="s">
        <v>116</v>
      </c>
      <c r="B57" s="56" t="s">
        <v>59</v>
      </c>
      <c r="C57" s="55">
        <v>1.5131995958197269E-2</v>
      </c>
      <c r="D57" s="55">
        <v>9.8905468754981064E-3</v>
      </c>
      <c r="E57" s="55">
        <v>9.7127308213684534E-3</v>
      </c>
      <c r="F57" s="55">
        <v>1.3738901523651461E-3</v>
      </c>
      <c r="G57" s="55">
        <v>7.4185026060114385E-3</v>
      </c>
      <c r="H57" s="55">
        <v>2.3056670870042529E-2</v>
      </c>
      <c r="I57" s="55">
        <v>2.6697985664950154E-2</v>
      </c>
      <c r="J57" s="55">
        <v>3.4447378626463354E-2</v>
      </c>
      <c r="K57" s="55">
        <v>3.8178479115677753E-2</v>
      </c>
      <c r="L57" s="55">
        <v>2.9989548769482996E-2</v>
      </c>
      <c r="M57" s="55">
        <v>5.7520138255468957E-2</v>
      </c>
      <c r="N57" s="55">
        <v>4.6881894771318343E-2</v>
      </c>
      <c r="O57" s="55">
        <v>3.7958752629810223E-2</v>
      </c>
      <c r="P57" s="55">
        <v>1.3150108585607846E-2</v>
      </c>
      <c r="Q57" s="55">
        <v>1.7461870952243816E-2</v>
      </c>
      <c r="R57" s="55">
        <v>1.1006681679891703E-2</v>
      </c>
      <c r="S57" s="55">
        <v>3.5860873248226891E-3</v>
      </c>
      <c r="T57" s="55">
        <v>4.1793048398173277E-3</v>
      </c>
      <c r="U57" s="55">
        <v>1.6454613022630217E-2</v>
      </c>
      <c r="V57" s="55">
        <v>2.3500928372510773E-2</v>
      </c>
      <c r="W57" s="55">
        <v>2.2948732534114464E-2</v>
      </c>
      <c r="X57" s="55">
        <v>2.7287996250442481E-2</v>
      </c>
      <c r="Y57" s="55">
        <v>6.5408922478047873E-2</v>
      </c>
      <c r="Z57" s="55">
        <v>3.4751412647490182E-2</v>
      </c>
      <c r="AA57" s="55">
        <v>8.5174139826444794E-3</v>
      </c>
      <c r="AB57" s="55">
        <v>2.637460595634477E-2</v>
      </c>
      <c r="AC57" s="55">
        <v>3.9465494249244643E-2</v>
      </c>
      <c r="AD57" s="55">
        <v>3.7495139229432768E-2</v>
      </c>
      <c r="AE57" s="55">
        <v>3.624481197762041E-2</v>
      </c>
      <c r="AF57" s="55">
        <v>2.3776287900897496E-2</v>
      </c>
      <c r="AG57" s="55">
        <v>3.8730233351929558E-2</v>
      </c>
      <c r="AH57" s="55">
        <v>2.7397857121319213E-2</v>
      </c>
      <c r="AI57" s="55">
        <v>0.10282577949165461</v>
      </c>
      <c r="AJ57" s="55">
        <v>1.5460477995509857E-2</v>
      </c>
      <c r="AK57" s="55">
        <v>7.3900802948819622E-2</v>
      </c>
      <c r="AL57" s="55">
        <v>7.7115491896524871E-3</v>
      </c>
      <c r="AM57" s="55">
        <v>4.0892731256472171E-2</v>
      </c>
      <c r="AN57" s="55">
        <v>3.5575110906171131E-2</v>
      </c>
      <c r="AO57" s="55">
        <v>0.18416990701035171</v>
      </c>
      <c r="AP57" s="55">
        <v>2.9912684991773117E-2</v>
      </c>
      <c r="AQ57" s="55">
        <v>1.9531398341276505E-2</v>
      </c>
      <c r="AR57" s="55">
        <v>5.7585559278338361E-2</v>
      </c>
      <c r="AS57" s="55">
        <v>0.10819850250454709</v>
      </c>
      <c r="AT57" s="55">
        <v>1.4909837588937413E-2</v>
      </c>
      <c r="AU57" s="55">
        <v>2.6830229756599995E-2</v>
      </c>
      <c r="AV57" s="55">
        <v>2.6798848344973526E-2</v>
      </c>
      <c r="AW57" s="55">
        <v>4.4079318788114469E-2</v>
      </c>
      <c r="AX57" s="55">
        <v>5.8129436869796842E-3</v>
      </c>
      <c r="AY57" s="55">
        <v>1.8546885107612574E-2</v>
      </c>
      <c r="AZ57" s="55">
        <v>4.7106793571187648E-3</v>
      </c>
      <c r="BA57" s="55">
        <v>8.3490577451381845E-2</v>
      </c>
      <c r="BB57" s="55">
        <v>2.8552575140392632E-2</v>
      </c>
      <c r="BC57" s="55">
        <v>1.1865464518138158E-2</v>
      </c>
      <c r="BD57" s="55">
        <v>3.5338109357209786E-3</v>
      </c>
      <c r="BE57" s="55">
        <v>1.0460995487868194</v>
      </c>
      <c r="BF57" s="55">
        <v>4.2439177303073172E-2</v>
      </c>
      <c r="BG57" s="55">
        <v>2.1126737792940671E-2</v>
      </c>
      <c r="BH57" s="55">
        <v>4.4683099693516484E-2</v>
      </c>
      <c r="BI57" s="55">
        <v>1.1238643083766403E-2</v>
      </c>
      <c r="BJ57" s="55">
        <v>0</v>
      </c>
      <c r="BK57" s="55">
        <v>4.868986018274732E-3</v>
      </c>
      <c r="BL57" s="55">
        <v>2.5519525177069647E-3</v>
      </c>
      <c r="BM57" s="55">
        <v>0</v>
      </c>
    </row>
    <row r="58" spans="1:65" x14ac:dyDescent="0.25">
      <c r="A58" s="53" t="s">
        <v>117</v>
      </c>
      <c r="B58" s="54" t="s">
        <v>160</v>
      </c>
      <c r="C58" s="55">
        <v>5.4955973602138818E-3</v>
      </c>
      <c r="D58" s="55">
        <v>5.1345801025852794E-3</v>
      </c>
      <c r="E58" s="55">
        <v>2.9970001611872171E-2</v>
      </c>
      <c r="F58" s="55">
        <v>8.0173457358427504E-4</v>
      </c>
      <c r="G58" s="55">
        <v>7.7819231085744225E-3</v>
      </c>
      <c r="H58" s="55">
        <v>2.0468921835617007E-2</v>
      </c>
      <c r="I58" s="55">
        <v>3.0156905534406312E-2</v>
      </c>
      <c r="J58" s="55">
        <v>2.8158533270024613E-2</v>
      </c>
      <c r="K58" s="55">
        <v>3.3581123840687371E-2</v>
      </c>
      <c r="L58" s="55">
        <v>2.5709112813375984E-2</v>
      </c>
      <c r="M58" s="55">
        <v>5.1185032542829169E-2</v>
      </c>
      <c r="N58" s="55">
        <v>3.2747689438128794E-2</v>
      </c>
      <c r="O58" s="55">
        <v>2.638537583123584E-2</v>
      </c>
      <c r="P58" s="55">
        <v>5.320528997715299E-3</v>
      </c>
      <c r="Q58" s="55">
        <v>1.6930097413785126E-2</v>
      </c>
      <c r="R58" s="55">
        <v>3.5502510616251488E-2</v>
      </c>
      <c r="S58" s="55">
        <v>4.6627405208637422E-3</v>
      </c>
      <c r="T58" s="55">
        <v>5.2054529305834846E-3</v>
      </c>
      <c r="U58" s="55">
        <v>2.5769696126352264E-2</v>
      </c>
      <c r="V58" s="55">
        <v>3.5833496572382557E-2</v>
      </c>
      <c r="W58" s="55">
        <v>6.1562963607431923E-2</v>
      </c>
      <c r="X58" s="55">
        <v>5.0865283851706432E-2</v>
      </c>
      <c r="Y58" s="55">
        <v>5.6707451797102279E-2</v>
      </c>
      <c r="Z58" s="55">
        <v>1.8244088142905047E-2</v>
      </c>
      <c r="AA58" s="55">
        <v>1.8035616126032519E-2</v>
      </c>
      <c r="AB58" s="55">
        <v>4.138074266871275E-2</v>
      </c>
      <c r="AC58" s="55">
        <v>1.6070020711137389E-2</v>
      </c>
      <c r="AD58" s="55">
        <v>1.5280613659308452E-2</v>
      </c>
      <c r="AE58" s="55">
        <v>2.7235242422959931E-2</v>
      </c>
      <c r="AF58" s="55">
        <v>1.8976097460991815E-2</v>
      </c>
      <c r="AG58" s="55">
        <v>2.3939454151652172E-2</v>
      </c>
      <c r="AH58" s="55">
        <v>1.5526868622145411E-2</v>
      </c>
      <c r="AI58" s="55">
        <v>6.4124772438956784E-2</v>
      </c>
      <c r="AJ58" s="55">
        <v>1.0760921540088132E-2</v>
      </c>
      <c r="AK58" s="55">
        <v>2.97837634916709E-2</v>
      </c>
      <c r="AL58" s="55">
        <v>4.7321550418814359E-3</v>
      </c>
      <c r="AM58" s="55">
        <v>1.2102719939307616E-2</v>
      </c>
      <c r="AN58" s="55">
        <v>2.2750725297791773E-2</v>
      </c>
      <c r="AO58" s="55">
        <v>2.8355502833035461E-2</v>
      </c>
      <c r="AP58" s="55">
        <v>1.7516479037057019E-2</v>
      </c>
      <c r="AQ58" s="55">
        <v>4.6567139879461414E-3</v>
      </c>
      <c r="AR58" s="55">
        <v>1.7186393205145718E-2</v>
      </c>
      <c r="AS58" s="55">
        <v>5.4428537724532523E-2</v>
      </c>
      <c r="AT58" s="55">
        <v>1.6382094904397081E-2</v>
      </c>
      <c r="AU58" s="55">
        <v>1.4022451914396009E-2</v>
      </c>
      <c r="AV58" s="55">
        <v>1.5617826034728072E-2</v>
      </c>
      <c r="AW58" s="55">
        <v>1.9496549921586035E-2</v>
      </c>
      <c r="AX58" s="55">
        <v>6.8821739712131413E-3</v>
      </c>
      <c r="AY58" s="55">
        <v>3.4466860924362713E-2</v>
      </c>
      <c r="AZ58" s="55">
        <v>3.3170443041057782E-3</v>
      </c>
      <c r="BA58" s="55">
        <v>4.5545614459282548E-2</v>
      </c>
      <c r="BB58" s="55">
        <v>6.4540311998811425E-2</v>
      </c>
      <c r="BC58" s="55">
        <v>1.628740627913685E-2</v>
      </c>
      <c r="BD58" s="55">
        <v>6.829574293943195E-3</v>
      </c>
      <c r="BE58" s="55">
        <v>3.7636427692857924E-2</v>
      </c>
      <c r="BF58" s="55">
        <v>1.0416408088051401</v>
      </c>
      <c r="BG58" s="55">
        <v>5.5027288686270038E-3</v>
      </c>
      <c r="BH58" s="55">
        <v>1.5234021996417749E-2</v>
      </c>
      <c r="BI58" s="55">
        <v>5.3731333239570318E-3</v>
      </c>
      <c r="BJ58" s="55">
        <v>0</v>
      </c>
      <c r="BK58" s="55">
        <v>5.0585600378871701E-3</v>
      </c>
      <c r="BL58" s="55">
        <v>1.4691558101895116E-3</v>
      </c>
      <c r="BM58" s="55">
        <v>0</v>
      </c>
    </row>
    <row r="59" spans="1:65" x14ac:dyDescent="0.25">
      <c r="A59" s="53" t="s">
        <v>118</v>
      </c>
      <c r="B59" s="54" t="s">
        <v>161</v>
      </c>
      <c r="C59" s="55">
        <v>2.141203085513843E-4</v>
      </c>
      <c r="D59" s="55">
        <v>9.710847880847676E-5</v>
      </c>
      <c r="E59" s="55">
        <v>3.4128102207171292E-4</v>
      </c>
      <c r="F59" s="55">
        <v>1.3327491464901572E-4</v>
      </c>
      <c r="G59" s="55">
        <v>6.0606870773006817E-5</v>
      </c>
      <c r="H59" s="55">
        <v>1.7994059971799785E-4</v>
      </c>
      <c r="I59" s="55">
        <v>1.9250319608109915E-4</v>
      </c>
      <c r="J59" s="55">
        <v>2.8862780379544726E-4</v>
      </c>
      <c r="K59" s="55">
        <v>1.0429668588039279E-3</v>
      </c>
      <c r="L59" s="55">
        <v>3.4958264603819991E-4</v>
      </c>
      <c r="M59" s="55">
        <v>4.5611071131787024E-4</v>
      </c>
      <c r="N59" s="55">
        <v>3.4787902649573778E-4</v>
      </c>
      <c r="O59" s="55">
        <v>3.2088866605479185E-4</v>
      </c>
      <c r="P59" s="55">
        <v>1.1451743542635738E-4</v>
      </c>
      <c r="Q59" s="55">
        <v>2.1711471323832552E-4</v>
      </c>
      <c r="R59" s="55">
        <v>1.4203819037454342E-4</v>
      </c>
      <c r="S59" s="55">
        <v>3.353370627156044E-5</v>
      </c>
      <c r="T59" s="55">
        <v>3.0898631112749857E-4</v>
      </c>
      <c r="U59" s="55">
        <v>3.8888746101462809E-4</v>
      </c>
      <c r="V59" s="55">
        <v>5.090612075146012E-4</v>
      </c>
      <c r="W59" s="55">
        <v>2.2166025171350669E-4</v>
      </c>
      <c r="X59" s="55">
        <v>5.4631672742064643E-4</v>
      </c>
      <c r="Y59" s="55">
        <v>1.0578647223883162E-3</v>
      </c>
      <c r="Z59" s="55">
        <v>1.2923085103553597E-4</v>
      </c>
      <c r="AA59" s="55">
        <v>1.4986065873646496E-4</v>
      </c>
      <c r="AB59" s="55">
        <v>5.4757610252926549E-4</v>
      </c>
      <c r="AC59" s="55">
        <v>1.2800657673737846E-4</v>
      </c>
      <c r="AD59" s="55">
        <v>7.9705297267794388E-5</v>
      </c>
      <c r="AE59" s="55">
        <v>1.1872504844185799E-4</v>
      </c>
      <c r="AF59" s="55">
        <v>7.7374190130705608E-5</v>
      </c>
      <c r="AG59" s="55">
        <v>3.3996943592498938E-4</v>
      </c>
      <c r="AH59" s="55">
        <v>1.4924058067220918E-4</v>
      </c>
      <c r="AI59" s="55">
        <v>3.7994957698386534E-4</v>
      </c>
      <c r="AJ59" s="55">
        <v>1.7347624180704934E-4</v>
      </c>
      <c r="AK59" s="55">
        <v>2.3356663533095535E-4</v>
      </c>
      <c r="AL59" s="55">
        <v>1.0012113510339085E-4</v>
      </c>
      <c r="AM59" s="55">
        <v>1.5476122415035984E-4</v>
      </c>
      <c r="AN59" s="55">
        <v>4.4783635452585834E-4</v>
      </c>
      <c r="AO59" s="55">
        <v>2.5943804860982257E-4</v>
      </c>
      <c r="AP59" s="55">
        <v>2.8555069393858907E-4</v>
      </c>
      <c r="AQ59" s="55">
        <v>8.8624537888739839E-5</v>
      </c>
      <c r="AR59" s="55">
        <v>4.0259210775908465E-4</v>
      </c>
      <c r="AS59" s="55">
        <v>2.9642967648348508E-4</v>
      </c>
      <c r="AT59" s="55">
        <v>3.9851981876884055E-4</v>
      </c>
      <c r="AU59" s="55">
        <v>1.8276702611899506E-4</v>
      </c>
      <c r="AV59" s="55">
        <v>5.2074196672986941E-5</v>
      </c>
      <c r="AW59" s="55">
        <v>1.766900448872665E-4</v>
      </c>
      <c r="AX59" s="55">
        <v>3.5864798452508254E-5</v>
      </c>
      <c r="AY59" s="55">
        <v>1.2016104909114554E-4</v>
      </c>
      <c r="AZ59" s="55">
        <v>1.3127126209010649E-5</v>
      </c>
      <c r="BA59" s="55">
        <v>3.9740971871882332E-4</v>
      </c>
      <c r="BB59" s="55">
        <v>1.4830605936087108E-4</v>
      </c>
      <c r="BC59" s="55">
        <v>7.3659826963050806E-5</v>
      </c>
      <c r="BD59" s="55">
        <v>5.6895677012572458E-5</v>
      </c>
      <c r="BE59" s="55">
        <v>5.6123698855990766E-4</v>
      </c>
      <c r="BF59" s="55">
        <v>3.4101944965046798E-4</v>
      </c>
      <c r="BG59" s="55">
        <v>1.0000617793730515</v>
      </c>
      <c r="BH59" s="55">
        <v>2.2159227166411753E-4</v>
      </c>
      <c r="BI59" s="55">
        <v>6.088607128715329E-5</v>
      </c>
      <c r="BJ59" s="55">
        <v>0</v>
      </c>
      <c r="BK59" s="55">
        <v>4.2198961303269251E-5</v>
      </c>
      <c r="BL59" s="55">
        <v>1.3951445362345126E-5</v>
      </c>
      <c r="BM59" s="55">
        <v>0</v>
      </c>
    </row>
    <row r="60" spans="1:65" x14ac:dyDescent="0.25">
      <c r="A60" s="53" t="s">
        <v>119</v>
      </c>
      <c r="B60" s="54" t="s">
        <v>162</v>
      </c>
      <c r="C60" s="55">
        <v>5.7480624243130211E-4</v>
      </c>
      <c r="D60" s="55">
        <v>3.7141642347738907E-4</v>
      </c>
      <c r="E60" s="55">
        <v>6.3467510837244342E-4</v>
      </c>
      <c r="F60" s="55">
        <v>1.981363150996664E-4</v>
      </c>
      <c r="G60" s="55">
        <v>2.1750296677311566E-3</v>
      </c>
      <c r="H60" s="55">
        <v>1.4314335301994759E-3</v>
      </c>
      <c r="I60" s="55">
        <v>6.7176409630977758E-4</v>
      </c>
      <c r="J60" s="55">
        <v>8.3876189993034079E-4</v>
      </c>
      <c r="K60" s="55">
        <v>8.3277747639313711E-4</v>
      </c>
      <c r="L60" s="55">
        <v>7.468368730955664E-4</v>
      </c>
      <c r="M60" s="55">
        <v>4.1164102510802027E-3</v>
      </c>
      <c r="N60" s="55">
        <v>5.6282505216585814E-3</v>
      </c>
      <c r="O60" s="55">
        <v>2.9298242917192591E-3</v>
      </c>
      <c r="P60" s="55">
        <v>1.1144646677385172E-3</v>
      </c>
      <c r="Q60" s="55">
        <v>1.8072566455868734E-3</v>
      </c>
      <c r="R60" s="55">
        <v>6.9308742022370924E-4</v>
      </c>
      <c r="S60" s="55">
        <v>3.8904099191044717E-4</v>
      </c>
      <c r="T60" s="55">
        <v>1.2167859884054169E-3</v>
      </c>
      <c r="U60" s="55">
        <v>7.001280640948529E-3</v>
      </c>
      <c r="V60" s="55">
        <v>3.1257488209229076E-3</v>
      </c>
      <c r="W60" s="55">
        <v>1.6224268802560904E-3</v>
      </c>
      <c r="X60" s="55">
        <v>4.9335818571983351E-3</v>
      </c>
      <c r="Y60" s="55">
        <v>2.617380866175452E-3</v>
      </c>
      <c r="Z60" s="55">
        <v>1.6008581809880808E-3</v>
      </c>
      <c r="AA60" s="55">
        <v>1.5576182620984818E-3</v>
      </c>
      <c r="AB60" s="55">
        <v>5.1071270681907694E-3</v>
      </c>
      <c r="AC60" s="55">
        <v>1.3079362656413099E-3</v>
      </c>
      <c r="AD60" s="55">
        <v>1.2496454168570085E-3</v>
      </c>
      <c r="AE60" s="55">
        <v>1.1135692793441474E-3</v>
      </c>
      <c r="AF60" s="55">
        <v>7.2067156578210735E-4</v>
      </c>
      <c r="AG60" s="55">
        <v>2.3596805988812452E-3</v>
      </c>
      <c r="AH60" s="55">
        <v>1.695004713075005E-3</v>
      </c>
      <c r="AI60" s="55">
        <v>2.5276427622743084E-3</v>
      </c>
      <c r="AJ60" s="55">
        <v>2.9139567396949243E-3</v>
      </c>
      <c r="AK60" s="55">
        <v>1.6916031590668724E-3</v>
      </c>
      <c r="AL60" s="55">
        <v>3.2716773339113212E-4</v>
      </c>
      <c r="AM60" s="55">
        <v>6.3052988341024871E-4</v>
      </c>
      <c r="AN60" s="55">
        <v>1.3048680871133077E-3</v>
      </c>
      <c r="AO60" s="55">
        <v>1.7898125243000077E-3</v>
      </c>
      <c r="AP60" s="55">
        <v>2.9164887611779914E-3</v>
      </c>
      <c r="AQ60" s="55">
        <v>4.6573366848179555E-4</v>
      </c>
      <c r="AR60" s="55">
        <v>8.402383007745745E-4</v>
      </c>
      <c r="AS60" s="55">
        <v>5.5761675791009E-3</v>
      </c>
      <c r="AT60" s="55">
        <v>3.2175472998191654E-3</v>
      </c>
      <c r="AU60" s="55">
        <v>4.1291981491610214E-4</v>
      </c>
      <c r="AV60" s="55">
        <v>1.0482896148845857E-3</v>
      </c>
      <c r="AW60" s="55">
        <v>1.6169655566971981E-2</v>
      </c>
      <c r="AX60" s="55">
        <v>4.3705149819687957E-4</v>
      </c>
      <c r="AY60" s="55">
        <v>7.6842414438928598E-4</v>
      </c>
      <c r="AZ60" s="55">
        <v>7.7100582355194656E-5</v>
      </c>
      <c r="BA60" s="55">
        <v>3.3661170204501555E-3</v>
      </c>
      <c r="BB60" s="55">
        <v>4.4344327312332635E-3</v>
      </c>
      <c r="BC60" s="55">
        <v>8.3767610670839579E-4</v>
      </c>
      <c r="BD60" s="55">
        <v>7.7906002374861368E-4</v>
      </c>
      <c r="BE60" s="55">
        <v>2.8022752421031625E-3</v>
      </c>
      <c r="BF60" s="55">
        <v>2.7732281228779981E-3</v>
      </c>
      <c r="BG60" s="55">
        <v>9.2519274383995125E-4</v>
      </c>
      <c r="BH60" s="55">
        <v>1.0084527461476898</v>
      </c>
      <c r="BI60" s="55">
        <v>2.2507095652000549E-4</v>
      </c>
      <c r="BJ60" s="55">
        <v>0</v>
      </c>
      <c r="BK60" s="55">
        <v>5.7852493381586889E-4</v>
      </c>
      <c r="BL60" s="55">
        <v>2.2316666863682723E-4</v>
      </c>
      <c r="BM60" s="55">
        <v>0</v>
      </c>
    </row>
    <row r="61" spans="1:65" x14ac:dyDescent="0.25">
      <c r="A61" s="53" t="s">
        <v>120</v>
      </c>
      <c r="B61" s="56" t="s">
        <v>22</v>
      </c>
      <c r="C61" s="55">
        <v>1.3644681727383117E-3</v>
      </c>
      <c r="D61" s="55">
        <v>9.5631520022234403E-4</v>
      </c>
      <c r="E61" s="55">
        <v>9.5644014825298728E-4</v>
      </c>
      <c r="F61" s="55">
        <v>5.1352077782027122E-5</v>
      </c>
      <c r="G61" s="55">
        <v>3.3844846238852605E-4</v>
      </c>
      <c r="H61" s="55">
        <v>7.4602744517925285E-4</v>
      </c>
      <c r="I61" s="55">
        <v>7.4527663419217589E-4</v>
      </c>
      <c r="J61" s="55">
        <v>1.1444383839175961E-3</v>
      </c>
      <c r="K61" s="55">
        <v>2.1871830452669942E-3</v>
      </c>
      <c r="L61" s="55">
        <v>1.2335616408768414E-3</v>
      </c>
      <c r="M61" s="55">
        <v>1.4708756062419425E-3</v>
      </c>
      <c r="N61" s="55">
        <v>1.1034009282472241E-3</v>
      </c>
      <c r="O61" s="55">
        <v>1.2327854782591371E-3</v>
      </c>
      <c r="P61" s="55">
        <v>4.4358178887283367E-4</v>
      </c>
      <c r="Q61" s="55">
        <v>7.1741388046850146E-4</v>
      </c>
      <c r="R61" s="55">
        <v>1.0633807737012784E-3</v>
      </c>
      <c r="S61" s="55">
        <v>1.8179210200438607E-4</v>
      </c>
      <c r="T61" s="55">
        <v>5.0209661332325422E-4</v>
      </c>
      <c r="U61" s="55">
        <v>1.296394764235405E-3</v>
      </c>
      <c r="V61" s="55">
        <v>1.389559388274605E-3</v>
      </c>
      <c r="W61" s="55">
        <v>1.0140950656970331E-3</v>
      </c>
      <c r="X61" s="55">
        <v>2.4415449074684709E-3</v>
      </c>
      <c r="Y61" s="55">
        <v>1.2693787062690982E-3</v>
      </c>
      <c r="Z61" s="55">
        <v>8.1221798120677897E-4</v>
      </c>
      <c r="AA61" s="55">
        <v>6.5457232921224597E-4</v>
      </c>
      <c r="AB61" s="55">
        <v>2.4350072171796799E-3</v>
      </c>
      <c r="AC61" s="55">
        <v>5.8812665455518361E-4</v>
      </c>
      <c r="AD61" s="55">
        <v>5.5836704313173087E-4</v>
      </c>
      <c r="AE61" s="55">
        <v>5.7724174537277504E-4</v>
      </c>
      <c r="AF61" s="55">
        <v>3.8998335542603864E-4</v>
      </c>
      <c r="AG61" s="55">
        <v>1.0533105012213726E-3</v>
      </c>
      <c r="AH61" s="55">
        <v>9.7136010109449226E-4</v>
      </c>
      <c r="AI61" s="55">
        <v>3.47597861429401E-3</v>
      </c>
      <c r="AJ61" s="55">
        <v>1.0740503567625587E-3</v>
      </c>
      <c r="AK61" s="55">
        <v>1.2535986407304204E-3</v>
      </c>
      <c r="AL61" s="55">
        <v>4.0432501067376329E-2</v>
      </c>
      <c r="AM61" s="55">
        <v>5.209384345495561E-3</v>
      </c>
      <c r="AN61" s="55">
        <v>1.0401549193037399E-3</v>
      </c>
      <c r="AO61" s="55">
        <v>1.2976719356488156E-3</v>
      </c>
      <c r="AP61" s="55">
        <v>1.8662589342111006E-3</v>
      </c>
      <c r="AQ61" s="55">
        <v>2.3847741431978471E-4</v>
      </c>
      <c r="AR61" s="55">
        <v>1.5461855668094347E-3</v>
      </c>
      <c r="AS61" s="55">
        <v>3.8361801597756782E-3</v>
      </c>
      <c r="AT61" s="55">
        <v>1.4432767099031348E-3</v>
      </c>
      <c r="AU61" s="55">
        <v>1.0059585678561978E-3</v>
      </c>
      <c r="AV61" s="55">
        <v>6.1873326696901211E-4</v>
      </c>
      <c r="AW61" s="55">
        <v>5.8676112618439649E-3</v>
      </c>
      <c r="AX61" s="55">
        <v>4.3396721310338097E-4</v>
      </c>
      <c r="AY61" s="55">
        <v>6.6410477907895597E-4</v>
      </c>
      <c r="AZ61" s="55">
        <v>9.3438310521738377E-5</v>
      </c>
      <c r="BA61" s="55">
        <v>1.3555989470641757E-3</v>
      </c>
      <c r="BB61" s="55">
        <v>8.6320205627705147E-4</v>
      </c>
      <c r="BC61" s="55">
        <v>4.4579138560888999E-4</v>
      </c>
      <c r="BD61" s="55">
        <v>3.2045303004558419E-4</v>
      </c>
      <c r="BE61" s="55">
        <v>2.020510525622474E-3</v>
      </c>
      <c r="BF61" s="55">
        <v>1.3267118576135916E-3</v>
      </c>
      <c r="BG61" s="55">
        <v>3.9694737917930187E-4</v>
      </c>
      <c r="BH61" s="55">
        <v>1.3886508464125153E-3</v>
      </c>
      <c r="BI61" s="55">
        <v>1.0003651229112596</v>
      </c>
      <c r="BJ61" s="55">
        <v>0</v>
      </c>
      <c r="BK61" s="55">
        <v>2.6006317688953865E-4</v>
      </c>
      <c r="BL61" s="55">
        <v>1.0223554748893712E-4</v>
      </c>
      <c r="BM61" s="55">
        <v>0</v>
      </c>
    </row>
    <row r="62" spans="1:65" x14ac:dyDescent="0.25">
      <c r="A62" s="53" t="s">
        <v>121</v>
      </c>
      <c r="B62" s="56" t="s">
        <v>163</v>
      </c>
      <c r="C62" s="55">
        <v>0</v>
      </c>
      <c r="D62" s="55">
        <v>0</v>
      </c>
      <c r="E62" s="55">
        <v>0</v>
      </c>
      <c r="F62" s="55">
        <v>0</v>
      </c>
      <c r="G62" s="55">
        <v>0</v>
      </c>
      <c r="H62" s="55">
        <v>0</v>
      </c>
      <c r="I62" s="55">
        <v>0</v>
      </c>
      <c r="J62" s="55">
        <v>0</v>
      </c>
      <c r="K62" s="55">
        <v>0</v>
      </c>
      <c r="L62" s="55">
        <v>0</v>
      </c>
      <c r="M62" s="55">
        <v>0</v>
      </c>
      <c r="N62" s="55">
        <v>0</v>
      </c>
      <c r="O62" s="55">
        <v>0</v>
      </c>
      <c r="P62" s="55">
        <v>0</v>
      </c>
      <c r="Q62" s="55">
        <v>0</v>
      </c>
      <c r="R62" s="55">
        <v>0</v>
      </c>
      <c r="S62" s="55">
        <v>0</v>
      </c>
      <c r="T62" s="55">
        <v>0</v>
      </c>
      <c r="U62" s="55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0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55">
        <v>0</v>
      </c>
      <c r="AN62" s="55">
        <v>0</v>
      </c>
      <c r="AO62" s="55">
        <v>0</v>
      </c>
      <c r="AP62" s="55">
        <v>0</v>
      </c>
      <c r="AQ62" s="55">
        <v>0</v>
      </c>
      <c r="AR62" s="55">
        <v>0</v>
      </c>
      <c r="AS62" s="55">
        <v>0</v>
      </c>
      <c r="AT62" s="55">
        <v>0</v>
      </c>
      <c r="AU62" s="55">
        <v>0</v>
      </c>
      <c r="AV62" s="55">
        <v>0</v>
      </c>
      <c r="AW62" s="55">
        <v>0</v>
      </c>
      <c r="AX62" s="55">
        <v>0</v>
      </c>
      <c r="AY62" s="55">
        <v>0</v>
      </c>
      <c r="AZ62" s="55">
        <v>0</v>
      </c>
      <c r="BA62" s="55">
        <v>0</v>
      </c>
      <c r="BB62" s="55">
        <v>0</v>
      </c>
      <c r="BC62" s="55">
        <v>0</v>
      </c>
      <c r="BD62" s="55">
        <v>0</v>
      </c>
      <c r="BE62" s="55">
        <v>0</v>
      </c>
      <c r="BF62" s="55">
        <v>0</v>
      </c>
      <c r="BG62" s="55">
        <v>0</v>
      </c>
      <c r="BH62" s="55">
        <v>0</v>
      </c>
      <c r="BI62" s="55">
        <v>0</v>
      </c>
      <c r="BJ62" s="55">
        <v>1</v>
      </c>
      <c r="BK62" s="55">
        <v>0</v>
      </c>
      <c r="BL62" s="55">
        <v>0</v>
      </c>
      <c r="BM62" s="55">
        <v>0</v>
      </c>
    </row>
    <row r="63" spans="1:65" x14ac:dyDescent="0.25">
      <c r="A63" s="53" t="s">
        <v>122</v>
      </c>
      <c r="B63" s="56" t="s">
        <v>164</v>
      </c>
      <c r="C63" s="55">
        <v>1.6154129081070155E-3</v>
      </c>
      <c r="D63" s="55">
        <v>1.3385780104253743E-3</v>
      </c>
      <c r="E63" s="55">
        <v>3.0449638763473492E-3</v>
      </c>
      <c r="F63" s="55">
        <v>2.5973651325303165E-4</v>
      </c>
      <c r="G63" s="55">
        <v>2.2227750165893173E-3</v>
      </c>
      <c r="H63" s="55">
        <v>4.3771003294548975E-3</v>
      </c>
      <c r="I63" s="55">
        <v>1.1156931024909856E-2</v>
      </c>
      <c r="J63" s="55">
        <v>4.5620170279053627E-3</v>
      </c>
      <c r="K63" s="55">
        <v>5.8577532130020789E-3</v>
      </c>
      <c r="L63" s="55">
        <v>6.9769989316293361E-3</v>
      </c>
      <c r="M63" s="55">
        <v>1.2434506320879113E-2</v>
      </c>
      <c r="N63" s="55">
        <v>5.5217402450051054E-3</v>
      </c>
      <c r="O63" s="55">
        <v>7.9223909467352142E-3</v>
      </c>
      <c r="P63" s="55">
        <v>9.5885064318871401E-4</v>
      </c>
      <c r="Q63" s="55">
        <v>4.5365640408997479E-3</v>
      </c>
      <c r="R63" s="55">
        <v>8.0782164265443823E-3</v>
      </c>
      <c r="S63" s="55">
        <v>7.0520148097313862E-4</v>
      </c>
      <c r="T63" s="55">
        <v>1.4815419329753552E-3</v>
      </c>
      <c r="U63" s="55">
        <v>2.8880661493281708E-3</v>
      </c>
      <c r="V63" s="55">
        <v>1.1239640566128839E-2</v>
      </c>
      <c r="W63" s="55">
        <v>2.8127210496560725E-3</v>
      </c>
      <c r="X63" s="55">
        <v>1.0521835954099317E-2</v>
      </c>
      <c r="Y63" s="55">
        <v>2.2914525984285634E-2</v>
      </c>
      <c r="Z63" s="55">
        <v>5.5455418334562356E-3</v>
      </c>
      <c r="AA63" s="55">
        <v>2.6744647033508733E-3</v>
      </c>
      <c r="AB63" s="55">
        <v>9.5600193297827336E-3</v>
      </c>
      <c r="AC63" s="55">
        <v>7.090185804761175E-3</v>
      </c>
      <c r="AD63" s="55">
        <v>6.7348579074771858E-3</v>
      </c>
      <c r="AE63" s="55">
        <v>1.5699881138530422E-2</v>
      </c>
      <c r="AF63" s="55">
        <v>9.8628158529619828E-3</v>
      </c>
      <c r="AG63" s="55">
        <v>9.7749208806093002E-3</v>
      </c>
      <c r="AH63" s="55">
        <v>8.748872099107876E-3</v>
      </c>
      <c r="AI63" s="55">
        <v>2.6954575227185276E-2</v>
      </c>
      <c r="AJ63" s="55">
        <v>6.967501958151814E-3</v>
      </c>
      <c r="AK63" s="55">
        <v>2.0062268483710261E-2</v>
      </c>
      <c r="AL63" s="55">
        <v>1.8811385102787213E-3</v>
      </c>
      <c r="AM63" s="55">
        <v>1.960380374820242E-3</v>
      </c>
      <c r="AN63" s="55">
        <v>4.0839128534231536E-3</v>
      </c>
      <c r="AO63" s="55">
        <v>2.1827300351626697E-2</v>
      </c>
      <c r="AP63" s="55">
        <v>7.6315502407752808E-3</v>
      </c>
      <c r="AQ63" s="55">
        <v>2.0166682719644207E-3</v>
      </c>
      <c r="AR63" s="55">
        <v>6.1034594002250305E-3</v>
      </c>
      <c r="AS63" s="55">
        <v>1.38557351694827E-2</v>
      </c>
      <c r="AT63" s="55">
        <v>6.2535651191735677E-3</v>
      </c>
      <c r="AU63" s="55">
        <v>2.3939984773991398E-3</v>
      </c>
      <c r="AV63" s="55">
        <v>5.7124500955633558E-3</v>
      </c>
      <c r="AW63" s="55">
        <v>7.1273391745965515E-3</v>
      </c>
      <c r="AX63" s="55">
        <v>1.304461460166096E-3</v>
      </c>
      <c r="AY63" s="55">
        <v>3.6488909863363044E-3</v>
      </c>
      <c r="AZ63" s="55">
        <v>1.4311321377793503E-3</v>
      </c>
      <c r="BA63" s="55">
        <v>2.0326391022794519E-2</v>
      </c>
      <c r="BB63" s="55">
        <v>4.7502965123348648E-3</v>
      </c>
      <c r="BC63" s="55">
        <v>7.6283394132871359E-3</v>
      </c>
      <c r="BD63" s="55">
        <v>3.3621537279154793E-3</v>
      </c>
      <c r="BE63" s="55">
        <v>1.737696073095335E-2</v>
      </c>
      <c r="BF63" s="55">
        <v>1.0951328306223531E-2</v>
      </c>
      <c r="BG63" s="55">
        <v>4.0093918365254454E-3</v>
      </c>
      <c r="BH63" s="55">
        <v>1.0642658250492047E-2</v>
      </c>
      <c r="BI63" s="55">
        <v>4.4409829858381086E-3</v>
      </c>
      <c r="BJ63" s="55">
        <v>0</v>
      </c>
      <c r="BK63" s="55">
        <v>1.0028310896544885</v>
      </c>
      <c r="BL63" s="55">
        <v>3.6448378075237223E-4</v>
      </c>
      <c r="BM63" s="55">
        <v>0</v>
      </c>
    </row>
    <row r="64" spans="1:65" x14ac:dyDescent="0.25">
      <c r="A64" s="53" t="s">
        <v>123</v>
      </c>
      <c r="B64" s="56" t="s">
        <v>13</v>
      </c>
      <c r="C64" s="55">
        <v>1.6374961357578731E-2</v>
      </c>
      <c r="D64" s="55">
        <v>2.3407153706518434E-2</v>
      </c>
      <c r="E64" s="55">
        <v>6.0383750247670898E-3</v>
      </c>
      <c r="F64" s="55">
        <v>9.5252437943467059E-4</v>
      </c>
      <c r="G64" s="55">
        <v>1.7059638940273958E-2</v>
      </c>
      <c r="H64" s="55">
        <v>5.50496973554676E-3</v>
      </c>
      <c r="I64" s="55">
        <v>7.2713898744574158E-3</v>
      </c>
      <c r="J64" s="55">
        <v>7.9736933783970034E-3</v>
      </c>
      <c r="K64" s="55">
        <v>8.8686478618556826E-3</v>
      </c>
      <c r="L64" s="55">
        <v>8.5857150773861537E-3</v>
      </c>
      <c r="M64" s="55">
        <v>8.4539600464559207E-3</v>
      </c>
      <c r="N64" s="55">
        <v>2.5882633211291702E-2</v>
      </c>
      <c r="O64" s="55">
        <v>7.7589935545010046E-3</v>
      </c>
      <c r="P64" s="55">
        <v>6.0603276516654359E-3</v>
      </c>
      <c r="Q64" s="55">
        <v>7.8664681744335888E-3</v>
      </c>
      <c r="R64" s="55">
        <v>0.1043194689256785</v>
      </c>
      <c r="S64" s="55">
        <v>2.9889074224283878E-2</v>
      </c>
      <c r="T64" s="55">
        <v>5.0353114375328838E-3</v>
      </c>
      <c r="U64" s="55">
        <v>2.4891787676285373E-2</v>
      </c>
      <c r="V64" s="55">
        <v>8.4386584582867002E-3</v>
      </c>
      <c r="W64" s="55">
        <v>0.12435872371262499</v>
      </c>
      <c r="X64" s="55">
        <v>1.2855143542008963E-2</v>
      </c>
      <c r="Y64" s="55">
        <v>1.1111433808462436E-2</v>
      </c>
      <c r="Z64" s="55">
        <v>6.1454605443608682E-3</v>
      </c>
      <c r="AA64" s="55">
        <v>3.1817189795842037E-3</v>
      </c>
      <c r="AB64" s="55">
        <v>9.2792529328309531E-3</v>
      </c>
      <c r="AC64" s="55">
        <v>4.1933887985351062E-3</v>
      </c>
      <c r="AD64" s="55">
        <v>4.0102653244272965E-3</v>
      </c>
      <c r="AE64" s="55">
        <v>5.2678711245421461E-3</v>
      </c>
      <c r="AF64" s="55">
        <v>2.7682851924024816E-3</v>
      </c>
      <c r="AG64" s="55">
        <v>5.666817155700719E-3</v>
      </c>
      <c r="AH64" s="55">
        <v>1.5386906504106146E-2</v>
      </c>
      <c r="AI64" s="55">
        <v>1.0334047534366793E-2</v>
      </c>
      <c r="AJ64" s="55">
        <v>4.055272088931838E-3</v>
      </c>
      <c r="AK64" s="55">
        <v>1.0218331130160437E-2</v>
      </c>
      <c r="AL64" s="55">
        <v>1.9727492012555107E-3</v>
      </c>
      <c r="AM64" s="55">
        <v>1.4410242275336511E-2</v>
      </c>
      <c r="AN64" s="55">
        <v>5.3821882252435622E-2</v>
      </c>
      <c r="AO64" s="55">
        <v>1.2069102879585625E-2</v>
      </c>
      <c r="AP64" s="55">
        <v>1.1256408133086197E-2</v>
      </c>
      <c r="AQ64" s="55">
        <v>1.7099948072166402E-3</v>
      </c>
      <c r="AR64" s="55">
        <v>1.0846147814018128E-2</v>
      </c>
      <c r="AS64" s="55">
        <v>1.3443247318682627E-2</v>
      </c>
      <c r="AT64" s="55">
        <v>8.2393735854838831E-3</v>
      </c>
      <c r="AU64" s="55">
        <v>5.8529932732632895E-3</v>
      </c>
      <c r="AV64" s="55">
        <v>6.5754150918126367E-3</v>
      </c>
      <c r="AW64" s="55">
        <v>0.11580959457314853</v>
      </c>
      <c r="AX64" s="55">
        <v>1.2661494387217437E-3</v>
      </c>
      <c r="AY64" s="55">
        <v>4.6788210037917019E-3</v>
      </c>
      <c r="AZ64" s="55">
        <v>8.0795500126011578E-4</v>
      </c>
      <c r="BA64" s="55">
        <v>2.0646544525712029E-2</v>
      </c>
      <c r="BB64" s="55">
        <v>4.7845332420212534E-3</v>
      </c>
      <c r="BC64" s="55">
        <v>3.1555307969600055E-3</v>
      </c>
      <c r="BD64" s="55">
        <v>3.1382832994510598E-3</v>
      </c>
      <c r="BE64" s="55">
        <v>2.0889460662535483E-2</v>
      </c>
      <c r="BF64" s="55">
        <v>1.062680846853351E-2</v>
      </c>
      <c r="BG64" s="55">
        <v>2.1857523222948887E-3</v>
      </c>
      <c r="BH64" s="55">
        <v>6.970566718517761E-3</v>
      </c>
      <c r="BI64" s="55">
        <v>1.9559383136908319E-3</v>
      </c>
      <c r="BJ64" s="55">
        <v>0</v>
      </c>
      <c r="BK64" s="55">
        <v>6.1443790561737863E-3</v>
      </c>
      <c r="BL64" s="55">
        <v>1.0009262869017699</v>
      </c>
      <c r="BM64" s="55">
        <v>0</v>
      </c>
    </row>
    <row r="65" spans="1:65" x14ac:dyDescent="0.25">
      <c r="A65" s="58"/>
      <c r="B65" s="59" t="s">
        <v>189</v>
      </c>
      <c r="C65" s="60">
        <v>0.41330546862422612</v>
      </c>
      <c r="D65" s="60">
        <v>0.40443070724087582</v>
      </c>
      <c r="E65" s="60">
        <v>0.50734396604285248</v>
      </c>
      <c r="F65" s="60">
        <v>0.56607436883156736</v>
      </c>
      <c r="G65" s="60">
        <v>0.4271024433220027</v>
      </c>
      <c r="H65" s="60">
        <v>0.35168189725987986</v>
      </c>
      <c r="I65" s="60">
        <v>0.46314316811937245</v>
      </c>
      <c r="J65" s="60">
        <v>0.49006396476257164</v>
      </c>
      <c r="K65" s="60">
        <v>0.49427718083325173</v>
      </c>
      <c r="L65" s="60">
        <v>0.46987237735864446</v>
      </c>
      <c r="M65" s="60">
        <v>0.42066327288001554</v>
      </c>
      <c r="N65" s="60">
        <v>0.33802928649185959</v>
      </c>
      <c r="O65" s="60">
        <v>0.48423132598550128</v>
      </c>
      <c r="P65" s="60">
        <v>4.753465902995016E-2</v>
      </c>
      <c r="Q65" s="60">
        <v>0.45119461644330577</v>
      </c>
      <c r="R65" s="60">
        <v>0.32735519740249719</v>
      </c>
      <c r="S65" s="60">
        <v>0.361835249292632</v>
      </c>
      <c r="T65" s="60">
        <v>0.51784916133810432</v>
      </c>
      <c r="U65" s="60">
        <v>0.64301134741365351</v>
      </c>
      <c r="V65" s="60">
        <v>0.50549734361812826</v>
      </c>
      <c r="W65" s="60">
        <v>0.55084512446824663</v>
      </c>
      <c r="X65" s="60">
        <v>0.55885688380838716</v>
      </c>
      <c r="Y65" s="60">
        <v>0.37396527958032272</v>
      </c>
      <c r="Z65" s="60">
        <v>0.33890538156413941</v>
      </c>
      <c r="AA65" s="60">
        <v>0.23139202341538989</v>
      </c>
      <c r="AB65" s="60">
        <v>0.23358028164190106</v>
      </c>
      <c r="AC65" s="60">
        <v>0.24134689104058513</v>
      </c>
      <c r="AD65" s="60">
        <v>0.26069107228648652</v>
      </c>
      <c r="AE65" s="60">
        <v>0.23207540372755847</v>
      </c>
      <c r="AF65" s="60">
        <v>0.19565966927840986</v>
      </c>
      <c r="AG65" s="60">
        <v>0.37158720857219207</v>
      </c>
      <c r="AH65" s="60">
        <v>0.34746951606945103</v>
      </c>
      <c r="AI65" s="60">
        <v>0.36202585338987248</v>
      </c>
      <c r="AJ65" s="60">
        <v>0.35165504368367545</v>
      </c>
      <c r="AK65" s="60">
        <v>0.47804751301373577</v>
      </c>
      <c r="AL65" s="60">
        <v>8.8669663693359033E-2</v>
      </c>
      <c r="AM65" s="60">
        <v>0.34177308608059898</v>
      </c>
      <c r="AN65" s="60">
        <v>0.33949734051305147</v>
      </c>
      <c r="AO65" s="60">
        <v>0.60517985221867732</v>
      </c>
      <c r="AP65" s="60">
        <v>0.58477076155402752</v>
      </c>
      <c r="AQ65" s="60">
        <v>0.42816991315768149</v>
      </c>
      <c r="AR65" s="60">
        <v>0.53698271731718117</v>
      </c>
      <c r="AS65" s="60">
        <v>0.59057704842723602</v>
      </c>
      <c r="AT65" s="60">
        <v>0.64792639310828082</v>
      </c>
      <c r="AU65" s="60">
        <v>0.66578547558175682</v>
      </c>
      <c r="AV65" s="60">
        <v>0.66787897023278542</v>
      </c>
      <c r="AW65" s="60">
        <v>0.45875962082416399</v>
      </c>
      <c r="AX65" s="60">
        <v>0.33480450393945821</v>
      </c>
      <c r="AY65" s="60">
        <v>0.52184330336074891</v>
      </c>
      <c r="AZ65" s="60">
        <v>0.47911574525999501</v>
      </c>
      <c r="BA65" s="60">
        <v>0.48353595258675741</v>
      </c>
      <c r="BB65" s="60">
        <v>0.66155645697108145</v>
      </c>
      <c r="BC65" s="60">
        <v>0.40508788277123237</v>
      </c>
      <c r="BD65" s="60">
        <v>0.60361332237210996</v>
      </c>
      <c r="BE65" s="60">
        <v>0.41705613815085907</v>
      </c>
      <c r="BF65" s="60">
        <v>0.5038681450611856</v>
      </c>
      <c r="BG65" s="60">
        <v>0.42592077277107415</v>
      </c>
      <c r="BH65" s="60">
        <v>0.61624447359990919</v>
      </c>
      <c r="BI65" s="60">
        <v>0.2051918594035349</v>
      </c>
      <c r="BJ65" s="60">
        <v>0.60564844347720115</v>
      </c>
      <c r="BK65" s="60">
        <v>0.57556310180865444</v>
      </c>
      <c r="BL65" s="60">
        <v>0.60760977960064744</v>
      </c>
      <c r="BM65" s="61">
        <v>1</v>
      </c>
    </row>
    <row r="67" spans="1:65" x14ac:dyDescent="0.25">
      <c r="A67" s="108"/>
      <c r="B67" s="109" t="s">
        <v>165</v>
      </c>
      <c r="C67" s="110">
        <v>1.3700296129694705</v>
      </c>
      <c r="D67" s="110">
        <v>1.3255298098816881</v>
      </c>
      <c r="E67" s="110">
        <v>1.4311491176171038</v>
      </c>
      <c r="F67" s="110">
        <v>1.5222267539692171</v>
      </c>
      <c r="G67" s="110">
        <v>1.4320570040574507</v>
      </c>
      <c r="H67" s="110">
        <v>1.4978495615118774</v>
      </c>
      <c r="I67" s="110">
        <v>1.4745154822845477</v>
      </c>
      <c r="J67" s="110">
        <v>1.5152142032279652</v>
      </c>
      <c r="K67" s="110">
        <v>1.5218927501558266</v>
      </c>
      <c r="L67" s="110">
        <v>1.4720761605955532</v>
      </c>
      <c r="M67" s="110">
        <v>1.5958612633694813</v>
      </c>
      <c r="N67" s="110">
        <v>1.584110426004363</v>
      </c>
      <c r="O67" s="110">
        <v>1.4189270336830238</v>
      </c>
      <c r="P67" s="110">
        <v>1.10107556854338</v>
      </c>
      <c r="Q67" s="110">
        <v>1.1899904623952351</v>
      </c>
      <c r="R67" s="110">
        <v>1.3596430287390664</v>
      </c>
      <c r="S67" s="110">
        <v>1.1275682739883166</v>
      </c>
      <c r="T67" s="110">
        <v>1.1399945145719323</v>
      </c>
      <c r="U67" s="110">
        <v>1.3238188813163352</v>
      </c>
      <c r="V67" s="110">
        <v>1.6421301215443251</v>
      </c>
      <c r="W67" s="110">
        <v>1.5399394204925441</v>
      </c>
      <c r="X67" s="110">
        <v>1.64302675765159</v>
      </c>
      <c r="Y67" s="110">
        <v>1.6375633992522505</v>
      </c>
      <c r="Z67" s="110">
        <v>1.4518620547502976</v>
      </c>
      <c r="AA67" s="110">
        <v>1.1822146393317159</v>
      </c>
      <c r="AB67" s="110">
        <v>1.5166322734436681</v>
      </c>
      <c r="AC67" s="110">
        <v>1.2124286109345761</v>
      </c>
      <c r="AD67" s="110">
        <v>1.2034985540898082</v>
      </c>
      <c r="AE67" s="110">
        <v>1.5638055165375189</v>
      </c>
      <c r="AF67" s="110">
        <v>1.4042617682807819</v>
      </c>
      <c r="AG67" s="110">
        <v>1.3089899194345282</v>
      </c>
      <c r="AH67" s="110">
        <v>1.2825016559465399</v>
      </c>
      <c r="AI67" s="110">
        <v>1.7149723733986335</v>
      </c>
      <c r="AJ67" s="110">
        <v>1.3631619981930301</v>
      </c>
      <c r="AK67" s="110">
        <v>1.8639635386881119</v>
      </c>
      <c r="AL67" s="110">
        <v>1.3208347204885389</v>
      </c>
      <c r="AM67" s="110">
        <v>1.3348461865480858</v>
      </c>
      <c r="AN67" s="110">
        <v>1.2754108557569854</v>
      </c>
      <c r="AO67" s="110">
        <v>1.6827391140727688</v>
      </c>
      <c r="AP67" s="110">
        <v>1.5996094454312333</v>
      </c>
      <c r="AQ67" s="110">
        <v>1.0896405198011714</v>
      </c>
      <c r="AR67" s="110">
        <v>1.4706666617163795</v>
      </c>
      <c r="AS67" s="110">
        <v>1.6171633810635093</v>
      </c>
      <c r="AT67" s="110">
        <v>1.3571026687792196</v>
      </c>
      <c r="AU67" s="110">
        <v>1.2316068604345458</v>
      </c>
      <c r="AV67" s="110">
        <v>1.2295734603285453</v>
      </c>
      <c r="AW67" s="110">
        <v>1.5621899298037887</v>
      </c>
      <c r="AX67" s="110">
        <v>1.0525686520707729</v>
      </c>
      <c r="AY67" s="110">
        <v>1.3132425064011306</v>
      </c>
      <c r="AZ67" s="110">
        <v>1.16074085677494</v>
      </c>
      <c r="BA67" s="110">
        <v>1.6391653435387921</v>
      </c>
      <c r="BB67" s="110">
        <v>1.3623603805775513</v>
      </c>
      <c r="BC67" s="110">
        <v>1.1670253240014952</v>
      </c>
      <c r="BD67" s="110">
        <v>1.0701681699166035</v>
      </c>
      <c r="BE67" s="110">
        <v>1.5887530511236032</v>
      </c>
      <c r="BF67" s="110">
        <v>1.5189485127323852</v>
      </c>
      <c r="BG67" s="110">
        <v>1.1186763553965349</v>
      </c>
      <c r="BH67" s="110">
        <v>1.3578700500287697</v>
      </c>
      <c r="BI67" s="110">
        <v>1.1720234177335063</v>
      </c>
      <c r="BJ67" s="110">
        <v>1</v>
      </c>
      <c r="BK67" s="110">
        <v>1.1026320358958774</v>
      </c>
      <c r="BL67" s="110">
        <v>1.0213749172038837</v>
      </c>
    </row>
    <row r="68" spans="1:65" ht="13" x14ac:dyDescent="0.3">
      <c r="A68" s="62"/>
      <c r="B68" s="6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</row>
    <row r="69" spans="1:65" x14ac:dyDescent="0.25">
      <c r="C69" s="152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F0B8-7968-48F1-8D25-A13DF0E12302}">
  <dimension ref="A1:DI73"/>
  <sheetViews>
    <sheetView zoomScale="102" zoomScaleNormal="102" workbookViewId="0">
      <pane xSplit="2" ySplit="5" topLeftCell="P57" activePane="bottomRight" state="frozen"/>
      <selection pane="topRight" activeCell="C1" sqref="C1"/>
      <selection pane="bottomLeft" activeCell="A6" sqref="A6"/>
      <selection pane="bottomRight" activeCell="Z60" sqref="Z60"/>
    </sheetView>
  </sheetViews>
  <sheetFormatPr defaultRowHeight="12.5" x14ac:dyDescent="0.25"/>
  <cols>
    <col min="1" max="1" width="3.81640625" customWidth="1"/>
    <col min="2" max="2" width="45.7265625" customWidth="1"/>
    <col min="3" max="4" width="9.7265625" customWidth="1"/>
    <col min="5" max="5" width="1.81640625" customWidth="1"/>
    <col min="6" max="7" width="9.54296875" customWidth="1"/>
    <col min="8" max="8" width="1.54296875" customWidth="1"/>
    <col min="9" max="15" width="9" customWidth="1"/>
    <col min="16" max="16" width="7.54296875" customWidth="1"/>
    <col min="17" max="18" width="9" customWidth="1"/>
    <col min="19" max="19" width="2" customWidth="1"/>
    <col min="20" max="20" width="8.7265625" customWidth="1"/>
    <col min="21" max="21" width="9.26953125" customWidth="1"/>
    <col min="23" max="23" width="10.6328125" customWidth="1"/>
  </cols>
  <sheetData>
    <row r="1" spans="1:113" ht="13" x14ac:dyDescent="0.3">
      <c r="A1" s="87" t="s">
        <v>190</v>
      </c>
    </row>
    <row r="2" spans="1:113" x14ac:dyDescent="0.25">
      <c r="B2" s="7"/>
    </row>
    <row r="3" spans="1:113" s="7" customFormat="1" ht="25.5" customHeight="1" x14ac:dyDescent="0.3">
      <c r="A3" s="88"/>
      <c r="B3" s="88"/>
      <c r="C3" s="198" t="s">
        <v>44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12"/>
      <c r="T3" s="198" t="s">
        <v>45</v>
      </c>
      <c r="U3" s="199"/>
      <c r="V3" s="133"/>
      <c r="W3" s="133"/>
      <c r="X3" s="133" t="s">
        <v>192</v>
      </c>
      <c r="Y3" s="133"/>
      <c r="Z3" s="133"/>
      <c r="AA3" s="133"/>
      <c r="AB3" s="133"/>
      <c r="AC3" s="133"/>
      <c r="AD3" s="133"/>
      <c r="AE3" s="133"/>
      <c r="AF3" s="133"/>
    </row>
    <row r="4" spans="1:113" ht="37.5" customHeight="1" x14ac:dyDescent="0.3">
      <c r="B4" s="7"/>
      <c r="C4" s="200" t="s">
        <v>46</v>
      </c>
      <c r="D4" s="201"/>
      <c r="E4" s="8"/>
      <c r="F4" s="200" t="s">
        <v>47</v>
      </c>
      <c r="G4" s="201"/>
      <c r="H4" s="8"/>
      <c r="I4" s="200" t="s">
        <v>48</v>
      </c>
      <c r="J4" s="201"/>
      <c r="K4" s="200" t="s">
        <v>176</v>
      </c>
      <c r="L4" s="204"/>
      <c r="M4" s="200" t="s">
        <v>177</v>
      </c>
      <c r="N4" s="201"/>
      <c r="O4" s="204" t="s">
        <v>178</v>
      </c>
      <c r="P4" s="204"/>
      <c r="Q4" s="200" t="s">
        <v>179</v>
      </c>
      <c r="R4" s="201"/>
      <c r="S4" s="8"/>
      <c r="T4" s="207" t="s">
        <v>49</v>
      </c>
      <c r="U4" s="203"/>
      <c r="V4" s="134"/>
      <c r="W4" s="170" t="s">
        <v>191</v>
      </c>
      <c r="X4" s="170" t="s">
        <v>14</v>
      </c>
      <c r="Y4" s="170" t="s">
        <v>34</v>
      </c>
      <c r="Z4" s="170" t="s">
        <v>42</v>
      </c>
      <c r="AA4" s="170" t="s">
        <v>38</v>
      </c>
      <c r="AB4" s="170" t="s">
        <v>39</v>
      </c>
      <c r="AC4" s="134"/>
      <c r="AD4" s="198" t="s">
        <v>14</v>
      </c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170"/>
      <c r="AU4" s="198" t="s">
        <v>167</v>
      </c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170"/>
      <c r="BL4" s="198" t="s">
        <v>193</v>
      </c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170"/>
      <c r="CC4" s="198" t="s">
        <v>198</v>
      </c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170"/>
      <c r="CT4" s="198" t="s">
        <v>202</v>
      </c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</row>
    <row r="5" spans="1:113" x14ac:dyDescent="0.25">
      <c r="A5" s="2"/>
      <c r="B5" s="2" t="s">
        <v>16</v>
      </c>
      <c r="C5" s="117" t="s">
        <v>0</v>
      </c>
      <c r="D5" s="86" t="s">
        <v>1</v>
      </c>
      <c r="E5" s="84"/>
      <c r="F5" s="117" t="s">
        <v>0</v>
      </c>
      <c r="G5" s="165" t="s">
        <v>1</v>
      </c>
      <c r="H5" s="85"/>
      <c r="I5" s="147" t="s">
        <v>0</v>
      </c>
      <c r="J5" s="86" t="s">
        <v>1</v>
      </c>
      <c r="K5" s="49" t="s">
        <v>0</v>
      </c>
      <c r="L5" s="141" t="s">
        <v>1</v>
      </c>
      <c r="M5" s="49" t="s">
        <v>0</v>
      </c>
      <c r="N5" s="142" t="s">
        <v>1</v>
      </c>
      <c r="O5" s="141" t="s">
        <v>0</v>
      </c>
      <c r="P5" s="141" t="s">
        <v>1</v>
      </c>
      <c r="Q5" s="49" t="s">
        <v>0</v>
      </c>
      <c r="R5" s="142" t="s">
        <v>1</v>
      </c>
      <c r="S5" s="20"/>
      <c r="T5" s="70" t="s">
        <v>0</v>
      </c>
      <c r="U5" s="16" t="s">
        <v>1</v>
      </c>
      <c r="V5" s="134"/>
      <c r="W5" s="134"/>
      <c r="X5" s="134"/>
      <c r="Y5" s="134"/>
      <c r="Z5" s="134"/>
      <c r="AA5" s="134"/>
      <c r="AB5" s="134"/>
      <c r="AC5" s="134"/>
      <c r="AD5" s="200" t="s">
        <v>46</v>
      </c>
      <c r="AE5" s="201"/>
      <c r="AF5" s="8"/>
      <c r="AG5" s="200" t="s">
        <v>47</v>
      </c>
      <c r="AH5" s="201"/>
      <c r="AI5" s="8"/>
      <c r="AJ5" s="200" t="s">
        <v>48</v>
      </c>
      <c r="AK5" s="201"/>
      <c r="AL5" s="200" t="s">
        <v>176</v>
      </c>
      <c r="AM5" s="204"/>
      <c r="AN5" s="200" t="s">
        <v>177</v>
      </c>
      <c r="AO5" s="201"/>
      <c r="AP5" s="204" t="s">
        <v>178</v>
      </c>
      <c r="AQ5" s="204"/>
      <c r="AR5" s="200" t="s">
        <v>179</v>
      </c>
      <c r="AS5" s="201"/>
      <c r="AU5" s="200" t="s">
        <v>46</v>
      </c>
      <c r="AV5" s="201"/>
      <c r="AW5" s="8"/>
      <c r="AX5" s="200" t="s">
        <v>47</v>
      </c>
      <c r="AY5" s="201"/>
      <c r="AZ5" s="8"/>
      <c r="BA5" s="200" t="s">
        <v>48</v>
      </c>
      <c r="BB5" s="201"/>
      <c r="BC5" s="200" t="s">
        <v>176</v>
      </c>
      <c r="BD5" s="204"/>
      <c r="BE5" s="200" t="s">
        <v>177</v>
      </c>
      <c r="BF5" s="201"/>
      <c r="BG5" s="204" t="s">
        <v>178</v>
      </c>
      <c r="BH5" s="204"/>
      <c r="BI5" s="200" t="s">
        <v>179</v>
      </c>
      <c r="BJ5" s="201"/>
      <c r="BL5" s="200" t="s">
        <v>46</v>
      </c>
      <c r="BM5" s="201"/>
      <c r="BN5" s="8"/>
      <c r="BO5" s="200" t="s">
        <v>47</v>
      </c>
      <c r="BP5" s="201"/>
      <c r="BQ5" s="8"/>
      <c r="BR5" s="200" t="s">
        <v>48</v>
      </c>
      <c r="BS5" s="201"/>
      <c r="BT5" s="200" t="s">
        <v>176</v>
      </c>
      <c r="BU5" s="204"/>
      <c r="BV5" s="200" t="s">
        <v>177</v>
      </c>
      <c r="BW5" s="201"/>
      <c r="BX5" s="204" t="s">
        <v>178</v>
      </c>
      <c r="BY5" s="204"/>
      <c r="BZ5" s="200" t="s">
        <v>179</v>
      </c>
      <c r="CA5" s="201"/>
      <c r="CC5" s="200" t="s">
        <v>46</v>
      </c>
      <c r="CD5" s="201"/>
      <c r="CE5" s="8"/>
      <c r="CF5" s="200" t="s">
        <v>47</v>
      </c>
      <c r="CG5" s="201"/>
      <c r="CH5" s="8"/>
      <c r="CI5" s="200" t="s">
        <v>48</v>
      </c>
      <c r="CJ5" s="201"/>
      <c r="CK5" s="200" t="s">
        <v>176</v>
      </c>
      <c r="CL5" s="204"/>
      <c r="CM5" s="200" t="s">
        <v>177</v>
      </c>
      <c r="CN5" s="201"/>
      <c r="CO5" s="204" t="s">
        <v>178</v>
      </c>
      <c r="CP5" s="204"/>
      <c r="CQ5" s="200" t="s">
        <v>179</v>
      </c>
      <c r="CR5" s="201"/>
      <c r="CT5" s="200" t="s">
        <v>46</v>
      </c>
      <c r="CU5" s="201"/>
      <c r="CV5" s="8"/>
      <c r="CW5" s="200" t="s">
        <v>47</v>
      </c>
      <c r="CX5" s="201"/>
      <c r="CY5" s="8"/>
      <c r="CZ5" s="200" t="s">
        <v>48</v>
      </c>
      <c r="DA5" s="201"/>
      <c r="DB5" s="200" t="s">
        <v>176</v>
      </c>
      <c r="DC5" s="204"/>
      <c r="DD5" s="200" t="s">
        <v>177</v>
      </c>
      <c r="DE5" s="201"/>
      <c r="DF5" s="204" t="s">
        <v>178</v>
      </c>
      <c r="DG5" s="204"/>
      <c r="DH5" s="200" t="s">
        <v>179</v>
      </c>
      <c r="DI5" s="201"/>
    </row>
    <row r="6" spans="1:113" x14ac:dyDescent="0.25">
      <c r="A6">
        <v>1</v>
      </c>
      <c r="B6" s="11" t="s">
        <v>182</v>
      </c>
      <c r="C6" s="157">
        <v>1.3700296129694705</v>
      </c>
      <c r="D6" s="17">
        <v>1.8789140031777591</v>
      </c>
      <c r="E6" s="155"/>
      <c r="F6" s="160">
        <v>0.41330546862422612</v>
      </c>
      <c r="G6" s="17">
        <v>0.5494328422044622</v>
      </c>
      <c r="H6" s="4"/>
      <c r="I6" s="167">
        <v>4.9811614200437247E-2</v>
      </c>
      <c r="J6" s="17">
        <v>7.9954802325303373E-2</v>
      </c>
      <c r="K6" s="167">
        <v>2.3577817329296598E-2</v>
      </c>
      <c r="L6" s="17">
        <v>3.3345632074018548E-2</v>
      </c>
      <c r="M6" s="167">
        <v>1.1720836910992714E-2</v>
      </c>
      <c r="N6" s="17">
        <v>2.4385689430651992E-2</v>
      </c>
      <c r="O6" s="168">
        <v>1.0067034331399599E-3</v>
      </c>
      <c r="P6" s="17">
        <v>2.1199624945506027E-3</v>
      </c>
      <c r="Q6" s="167">
        <v>1.3506256527007966E-2</v>
      </c>
      <c r="R6" s="17">
        <v>2.01035183260822E-2</v>
      </c>
      <c r="S6" s="3"/>
      <c r="T6" s="78">
        <f>+F6/$W6</f>
        <v>1.3432417210795704</v>
      </c>
      <c r="U6" s="79">
        <f>+G6/$W6</f>
        <v>1.7856553387426009</v>
      </c>
      <c r="V6" s="134"/>
      <c r="W6" s="3">
        <v>0.30769254865911277</v>
      </c>
      <c r="X6" s="172">
        <f>+'I-O'!BO3/'I-O'!BO$75</f>
        <v>1.3727999997190867E-3</v>
      </c>
      <c r="Y6" s="172">
        <f>+'I-O'!BP3/'I-O'!BP$75</f>
        <v>1.0847772112116034E-3</v>
      </c>
      <c r="Z6" s="172">
        <f>+'I-O'!BT3/'I-O'!BT$75</f>
        <v>5.8759361093632114E-4</v>
      </c>
      <c r="AA6" s="172">
        <f>+'I-O'!BU3/'I-O'!BU$75</f>
        <v>0</v>
      </c>
      <c r="AB6" s="172">
        <f>+'I-O'!BW3/'I-O'!BW$75</f>
        <v>0</v>
      </c>
      <c r="AC6" s="134"/>
      <c r="AD6" s="117" t="s">
        <v>0</v>
      </c>
      <c r="AE6" s="86" t="s">
        <v>1</v>
      </c>
      <c r="AF6" s="84"/>
      <c r="AG6" s="117" t="s">
        <v>0</v>
      </c>
      <c r="AH6" s="165" t="s">
        <v>1</v>
      </c>
      <c r="AI6" s="85"/>
      <c r="AJ6" s="147" t="s">
        <v>0</v>
      </c>
      <c r="AK6" s="86" t="s">
        <v>1</v>
      </c>
      <c r="AL6" s="49" t="s">
        <v>0</v>
      </c>
      <c r="AM6" s="141" t="s">
        <v>1</v>
      </c>
      <c r="AN6" s="49" t="s">
        <v>0</v>
      </c>
      <c r="AO6" s="142" t="s">
        <v>1</v>
      </c>
      <c r="AP6" s="141" t="s">
        <v>0</v>
      </c>
      <c r="AQ6" s="141" t="s">
        <v>1</v>
      </c>
      <c r="AR6" s="49" t="s">
        <v>0</v>
      </c>
      <c r="AS6" s="142" t="s">
        <v>1</v>
      </c>
      <c r="AT6" s="134"/>
      <c r="AU6" s="117" t="s">
        <v>0</v>
      </c>
      <c r="AV6" s="86" t="s">
        <v>1</v>
      </c>
      <c r="AW6" s="84"/>
      <c r="AX6" s="117" t="s">
        <v>0</v>
      </c>
      <c r="AY6" s="165" t="s">
        <v>1</v>
      </c>
      <c r="AZ6" s="85"/>
      <c r="BA6" s="147" t="s">
        <v>0</v>
      </c>
      <c r="BB6" s="86" t="s">
        <v>1</v>
      </c>
      <c r="BC6" s="49" t="s">
        <v>0</v>
      </c>
      <c r="BD6" s="141" t="s">
        <v>1</v>
      </c>
      <c r="BE6" s="49" t="s">
        <v>0</v>
      </c>
      <c r="BF6" s="142" t="s">
        <v>1</v>
      </c>
      <c r="BG6" s="141" t="s">
        <v>0</v>
      </c>
      <c r="BH6" s="141" t="s">
        <v>1</v>
      </c>
      <c r="BI6" s="49" t="s">
        <v>0</v>
      </c>
      <c r="BJ6" s="142" t="s">
        <v>1</v>
      </c>
      <c r="BL6" s="117" t="s">
        <v>0</v>
      </c>
      <c r="BM6" s="86" t="s">
        <v>1</v>
      </c>
      <c r="BN6" s="84"/>
      <c r="BO6" s="117" t="s">
        <v>0</v>
      </c>
      <c r="BP6" s="165" t="s">
        <v>1</v>
      </c>
      <c r="BQ6" s="85"/>
      <c r="BR6" s="147" t="s">
        <v>0</v>
      </c>
      <c r="BS6" s="86" t="s">
        <v>1</v>
      </c>
      <c r="BT6" s="49" t="s">
        <v>0</v>
      </c>
      <c r="BU6" s="141" t="s">
        <v>1</v>
      </c>
      <c r="BV6" s="49" t="s">
        <v>0</v>
      </c>
      <c r="BW6" s="142" t="s">
        <v>1</v>
      </c>
      <c r="BX6" s="141" t="s">
        <v>0</v>
      </c>
      <c r="BY6" s="141" t="s">
        <v>1</v>
      </c>
      <c r="BZ6" s="49" t="s">
        <v>0</v>
      </c>
      <c r="CA6" s="142" t="s">
        <v>1</v>
      </c>
      <c r="CC6" s="117" t="s">
        <v>0</v>
      </c>
      <c r="CD6" s="86" t="s">
        <v>1</v>
      </c>
      <c r="CE6" s="84"/>
      <c r="CF6" s="117" t="s">
        <v>0</v>
      </c>
      <c r="CG6" s="165" t="s">
        <v>1</v>
      </c>
      <c r="CH6" s="85"/>
      <c r="CI6" s="147" t="s">
        <v>0</v>
      </c>
      <c r="CJ6" s="86" t="s">
        <v>1</v>
      </c>
      <c r="CK6" s="49" t="s">
        <v>0</v>
      </c>
      <c r="CL6" s="141" t="s">
        <v>1</v>
      </c>
      <c r="CM6" s="49" t="s">
        <v>0</v>
      </c>
      <c r="CN6" s="142" t="s">
        <v>1</v>
      </c>
      <c r="CO6" s="141" t="s">
        <v>0</v>
      </c>
      <c r="CP6" s="141" t="s">
        <v>1</v>
      </c>
      <c r="CQ6" s="49" t="s">
        <v>0</v>
      </c>
      <c r="CR6" s="142" t="s">
        <v>1</v>
      </c>
      <c r="CT6" s="117" t="s">
        <v>0</v>
      </c>
      <c r="CU6" s="86" t="s">
        <v>1</v>
      </c>
      <c r="CV6" s="84"/>
      <c r="CW6" s="117" t="s">
        <v>0</v>
      </c>
      <c r="CX6" s="165" t="s">
        <v>1</v>
      </c>
      <c r="CY6" s="85"/>
      <c r="CZ6" s="147" t="s">
        <v>0</v>
      </c>
      <c r="DA6" s="86" t="s">
        <v>1</v>
      </c>
      <c r="DB6" s="49" t="s">
        <v>0</v>
      </c>
      <c r="DC6" s="141" t="s">
        <v>1</v>
      </c>
      <c r="DD6" s="49" t="s">
        <v>0</v>
      </c>
      <c r="DE6" s="142" t="s">
        <v>1</v>
      </c>
      <c r="DF6" s="141" t="s">
        <v>0</v>
      </c>
      <c r="DG6" s="141" t="s">
        <v>1</v>
      </c>
      <c r="DH6" s="49" t="s">
        <v>0</v>
      </c>
      <c r="DI6" s="142" t="s">
        <v>1</v>
      </c>
    </row>
    <row r="7" spans="1:113" x14ac:dyDescent="0.25">
      <c r="A7">
        <f>A6+1</f>
        <v>2</v>
      </c>
      <c r="B7" s="11" t="s">
        <v>125</v>
      </c>
      <c r="C7" s="158">
        <v>1.3255298098816881</v>
      </c>
      <c r="D7" s="17">
        <v>1.8234871065050726</v>
      </c>
      <c r="E7" s="155"/>
      <c r="F7" s="162">
        <v>0.40443070724087582</v>
      </c>
      <c r="G7" s="17">
        <v>0.53763506612622247</v>
      </c>
      <c r="H7" s="4"/>
      <c r="I7" s="167">
        <v>3.8064328618654421E-2</v>
      </c>
      <c r="J7" s="17">
        <v>6.7560262781863306E-2</v>
      </c>
      <c r="K7" s="167">
        <v>1.9364516851422781E-2</v>
      </c>
      <c r="L7" s="17">
        <v>2.8922590782927984E-2</v>
      </c>
      <c r="M7" s="167">
        <v>6.6948245032673621E-3</v>
      </c>
      <c r="N7" s="17">
        <v>1.9087729147565995E-2</v>
      </c>
      <c r="O7" s="168">
        <v>6.5799961371268054E-4</v>
      </c>
      <c r="P7" s="17">
        <v>1.7473540590998301E-3</v>
      </c>
      <c r="Q7" s="167">
        <v>1.1346987650251592E-2</v>
      </c>
      <c r="R7" s="17">
        <v>1.7802588792269512E-2</v>
      </c>
      <c r="S7" s="3"/>
      <c r="T7" s="104">
        <f t="shared" ref="T7:U67" si="0">+F7/$W7</f>
        <v>1.3143987691718122</v>
      </c>
      <c r="U7" s="105">
        <f t="shared" si="0"/>
        <v>1.7473125965161376</v>
      </c>
      <c r="V7" s="134"/>
      <c r="W7" s="3">
        <v>0.30769254865911283</v>
      </c>
      <c r="X7" s="172">
        <f>+'I-O'!BO4/'I-O'!BO$75</f>
        <v>4.4429918376526992E-4</v>
      </c>
      <c r="Y7" s="172">
        <f>+'I-O'!BP4/'I-O'!BP$75</f>
        <v>7.3931157571318116E-5</v>
      </c>
      <c r="Z7" s="172">
        <f>+'I-O'!BT4/'I-O'!BT$75</f>
        <v>5.4976498983848019E-5</v>
      </c>
      <c r="AA7" s="172">
        <f>+'I-O'!BU4/'I-O'!BU$75</f>
        <v>0</v>
      </c>
      <c r="AB7" s="172">
        <f>+'I-O'!BW4/'I-O'!BW$75</f>
        <v>0</v>
      </c>
      <c r="AC7" s="134"/>
      <c r="AD7" s="157">
        <f>+C6*$X6</f>
        <v>1.8807766522996295E-3</v>
      </c>
      <c r="AE7" s="157">
        <f>+D6*$X6</f>
        <v>2.5793731430346157E-3</v>
      </c>
      <c r="AF7" s="155"/>
      <c r="AG7" s="157">
        <f>+F6*$X6</f>
        <v>5.6738574721123462E-4</v>
      </c>
      <c r="AH7" s="157">
        <f>+G6*$X6</f>
        <v>7.5426140562394274E-4</v>
      </c>
      <c r="AI7" s="4"/>
      <c r="AJ7" s="157">
        <f>+I6*$X6</f>
        <v>6.838138396036751E-5</v>
      </c>
      <c r="AK7" s="157">
        <f t="shared" ref="AK7:AS22" si="1">+J6*$X6</f>
        <v>1.0976195260971609E-4</v>
      </c>
      <c r="AL7" s="157">
        <f t="shared" si="1"/>
        <v>3.2367627623035049E-5</v>
      </c>
      <c r="AM7" s="157">
        <f t="shared" si="1"/>
        <v>4.5776883701845427E-5</v>
      </c>
      <c r="AN7" s="157">
        <f t="shared" si="1"/>
        <v>1.6090364908118259E-5</v>
      </c>
      <c r="AO7" s="157">
        <f t="shared" si="1"/>
        <v>3.3476674443548789E-5</v>
      </c>
      <c r="AP7" s="157">
        <f t="shared" si="1"/>
        <v>1.3820024727317407E-6</v>
      </c>
      <c r="AQ7" s="157">
        <f t="shared" si="1"/>
        <v>2.9102845119235418E-6</v>
      </c>
      <c r="AR7" s="157">
        <f t="shared" si="1"/>
        <v>1.8541388956482447E-5</v>
      </c>
      <c r="AS7" s="157">
        <f t="shared" si="1"/>
        <v>2.7598109952398297E-5</v>
      </c>
      <c r="AT7" s="134"/>
      <c r="AU7" s="157">
        <f>+$Y6*C6</f>
        <v>1.4861769028343345E-3</v>
      </c>
      <c r="AV7" s="157">
        <f>+$Y6*D6</f>
        <v>2.0382030924735992E-3</v>
      </c>
      <c r="AW7" s="155"/>
      <c r="AX7" s="157">
        <f>+$Y6*F6</f>
        <v>4.4834435363269289E-4</v>
      </c>
      <c r="AY7" s="157">
        <f>+$Y6*G6</f>
        <v>5.9601222631462149E-4</v>
      </c>
      <c r="AZ7" s="4"/>
      <c r="BA7" s="157">
        <f t="shared" ref="BA7:BJ22" si="2">+$Y6*I6</f>
        <v>5.403450393829862E-5</v>
      </c>
      <c r="BB7" s="157">
        <f t="shared" si="2"/>
        <v>8.6733147489417622E-5</v>
      </c>
      <c r="BC7" s="157">
        <f t="shared" si="2"/>
        <v>2.5576678928930979E-5</v>
      </c>
      <c r="BD7" s="157">
        <f t="shared" si="2"/>
        <v>3.6172581767342036E-5</v>
      </c>
      <c r="BE7" s="157">
        <f t="shared" si="2"/>
        <v>1.2714496777372701E-5</v>
      </c>
      <c r="BF7" s="157">
        <f t="shared" si="2"/>
        <v>2.6453040174054942E-5</v>
      </c>
      <c r="BG7" s="157">
        <f t="shared" si="2"/>
        <v>1.0920489427187127E-6</v>
      </c>
      <c r="BH7" s="157">
        <f t="shared" si="2"/>
        <v>2.2996870027117968E-6</v>
      </c>
      <c r="BI7" s="157">
        <f t="shared" si="2"/>
        <v>1.4651279289276218E-5</v>
      </c>
      <c r="BJ7" s="157">
        <f t="shared" si="2"/>
        <v>2.1807838545308812E-5</v>
      </c>
      <c r="BL7" s="157">
        <f>+C6*$Z6</f>
        <v>8.0502064737442169E-4</v>
      </c>
      <c r="BM7" s="157">
        <f>+D6*$Z6</f>
        <v>1.1040378637660378E-3</v>
      </c>
      <c r="BN7" s="155"/>
      <c r="BO7" s="157">
        <f>+F6*$Z6</f>
        <v>2.4285565272863741E-4</v>
      </c>
      <c r="BP7" s="157">
        <f>+G6*$Z6</f>
        <v>3.2284322771792591E-4</v>
      </c>
      <c r="BQ7" s="4"/>
      <c r="BR7" s="157">
        <f t="shared" ref="BR7:CA22" si="3">+I6*$Z6</f>
        <v>2.9268986254601853E-5</v>
      </c>
      <c r="BS7" s="157">
        <f t="shared" si="3"/>
        <v>4.6980931010024778E-5</v>
      </c>
      <c r="BT7" s="157">
        <f t="shared" si="3"/>
        <v>1.3854174822518356E-5</v>
      </c>
      <c r="BU7" s="157">
        <f t="shared" si="3"/>
        <v>1.9593680359326566E-5</v>
      </c>
      <c r="BV7" s="157">
        <f t="shared" si="3"/>
        <v>6.8870888837259243E-6</v>
      </c>
      <c r="BW7" s="157">
        <f t="shared" si="3"/>
        <v>1.4328875307728485E-5</v>
      </c>
      <c r="BX7" s="157">
        <f t="shared" si="3"/>
        <v>5.9153250542070044E-7</v>
      </c>
      <c r="BY7" s="157">
        <f t="shared" si="3"/>
        <v>1.2456764172225597E-6</v>
      </c>
      <c r="BZ7" s="157">
        <f t="shared" si="3"/>
        <v>7.9361900429368672E-6</v>
      </c>
      <c r="CA7" s="157">
        <f t="shared" si="3"/>
        <v>1.1812698925747147E-5</v>
      </c>
      <c r="CC7" s="157">
        <f>+C6*$AA6</f>
        <v>0</v>
      </c>
      <c r="CD7" s="157">
        <f>+D6*$AA6</f>
        <v>0</v>
      </c>
      <c r="CE7" s="155"/>
      <c r="CF7" s="157">
        <f>+F6*$AA6</f>
        <v>0</v>
      </c>
      <c r="CG7" s="157">
        <f>+G6*$AA6</f>
        <v>0</v>
      </c>
      <c r="CH7" s="4"/>
      <c r="CI7" s="157">
        <f t="shared" ref="CI7:CR22" si="4">+I6*$AA6</f>
        <v>0</v>
      </c>
      <c r="CJ7" s="157">
        <f t="shared" si="4"/>
        <v>0</v>
      </c>
      <c r="CK7" s="157">
        <f t="shared" si="4"/>
        <v>0</v>
      </c>
      <c r="CL7" s="157">
        <f t="shared" si="4"/>
        <v>0</v>
      </c>
      <c r="CM7" s="157">
        <f t="shared" si="4"/>
        <v>0</v>
      </c>
      <c r="CN7" s="157">
        <f t="shared" si="4"/>
        <v>0</v>
      </c>
      <c r="CO7" s="157">
        <f t="shared" si="4"/>
        <v>0</v>
      </c>
      <c r="CP7" s="157">
        <f t="shared" si="4"/>
        <v>0</v>
      </c>
      <c r="CQ7" s="157">
        <f t="shared" si="4"/>
        <v>0</v>
      </c>
      <c r="CR7" s="157">
        <f t="shared" si="4"/>
        <v>0</v>
      </c>
      <c r="CT7" s="157">
        <f>+C6*$AB6</f>
        <v>0</v>
      </c>
      <c r="CU7" s="157">
        <f>+D6*$AB6</f>
        <v>0</v>
      </c>
      <c r="CV7" s="155"/>
      <c r="CW7" s="157">
        <f>+F6*$AB6</f>
        <v>0</v>
      </c>
      <c r="CX7" s="157">
        <f>+G6*$AB6</f>
        <v>0</v>
      </c>
      <c r="CY7" s="4"/>
      <c r="CZ7" s="157">
        <f t="shared" ref="CZ7:DI22" si="5">+I6*$AB6</f>
        <v>0</v>
      </c>
      <c r="DA7" s="157">
        <f t="shared" si="5"/>
        <v>0</v>
      </c>
      <c r="DB7" s="157">
        <f t="shared" si="5"/>
        <v>0</v>
      </c>
      <c r="DC7" s="157">
        <f t="shared" si="5"/>
        <v>0</v>
      </c>
      <c r="DD7" s="157">
        <f t="shared" si="5"/>
        <v>0</v>
      </c>
      <c r="DE7" s="157">
        <f t="shared" si="5"/>
        <v>0</v>
      </c>
      <c r="DF7" s="157">
        <f t="shared" si="5"/>
        <v>0</v>
      </c>
      <c r="DG7" s="157">
        <f t="shared" si="5"/>
        <v>0</v>
      </c>
      <c r="DH7" s="157">
        <f t="shared" si="5"/>
        <v>0</v>
      </c>
      <c r="DI7" s="157">
        <f t="shared" si="5"/>
        <v>0</v>
      </c>
    </row>
    <row r="8" spans="1:113" x14ac:dyDescent="0.25">
      <c r="A8">
        <f t="shared" ref="A8:A67" si="6">A7+1</f>
        <v>3</v>
      </c>
      <c r="B8" s="11" t="s">
        <v>2</v>
      </c>
      <c r="C8" s="158">
        <v>1.4311491176171038</v>
      </c>
      <c r="D8" s="17">
        <v>2.055818870100603</v>
      </c>
      <c r="E8" s="155"/>
      <c r="F8" s="162">
        <v>0.50734396604285248</v>
      </c>
      <c r="G8" s="17">
        <v>0.67444410587184145</v>
      </c>
      <c r="H8" s="4"/>
      <c r="I8" s="167">
        <v>5.8773102729842118E-2</v>
      </c>
      <c r="J8" s="17">
        <v>9.5774705112097652E-2</v>
      </c>
      <c r="K8" s="167">
        <v>3.0829759930058633E-2</v>
      </c>
      <c r="L8" s="17">
        <v>4.2820024391487084E-2</v>
      </c>
      <c r="M8" s="167">
        <v>1.6477138707420621E-2</v>
      </c>
      <c r="N8" s="17">
        <v>3.2023597669263458E-2</v>
      </c>
      <c r="O8" s="168">
        <v>6.4616984369065319E-4</v>
      </c>
      <c r="P8" s="17">
        <v>2.0127263263069886E-3</v>
      </c>
      <c r="Q8" s="167">
        <v>1.0820034248672193E-2</v>
      </c>
      <c r="R8" s="17">
        <v>1.8918356725040074E-2</v>
      </c>
      <c r="S8" s="3"/>
      <c r="T8" s="104">
        <f t="shared" si="0"/>
        <v>1.3520515859962745</v>
      </c>
      <c r="U8" s="105">
        <f t="shared" si="0"/>
        <v>1.7973668438836639</v>
      </c>
      <c r="V8" s="134"/>
      <c r="W8" s="3">
        <v>0.37524009534666558</v>
      </c>
      <c r="X8" s="172">
        <f>+'I-O'!BO5/'I-O'!BO$75</f>
        <v>3.3285234439072001E-4</v>
      </c>
      <c r="Y8" s="172">
        <f>+'I-O'!BP5/'I-O'!BP$75</f>
        <v>9.1018812377407005E-5</v>
      </c>
      <c r="Z8" s="172">
        <f>+'I-O'!BT5/'I-O'!BT$75</f>
        <v>7.4389257289737511E-5</v>
      </c>
      <c r="AA8" s="172">
        <f>+'I-O'!BU5/'I-O'!BU$75</f>
        <v>0</v>
      </c>
      <c r="AB8" s="172">
        <f>+'I-O'!BW5/'I-O'!BW$75</f>
        <v>0</v>
      </c>
      <c r="AC8" s="134"/>
      <c r="AD8" s="157">
        <f t="shared" ref="AD8:AD68" si="7">+C7*$X7</f>
        <v>5.8893181258696744E-4</v>
      </c>
      <c r="AE8" s="157">
        <f t="shared" ref="AE8:AE68" si="8">+D7*$X7</f>
        <v>8.1017383302669761E-4</v>
      </c>
      <c r="AF8" s="155"/>
      <c r="AG8" s="157">
        <f t="shared" ref="AG8:AG68" si="9">+F7*$X7</f>
        <v>1.7968823311673198E-4</v>
      </c>
      <c r="AH8" s="157">
        <f t="shared" ref="AH8:AJ68" si="10">+G7*$X7</f>
        <v>2.3887082104346756E-4</v>
      </c>
      <c r="AI8" s="4"/>
      <c r="AJ8" s="157">
        <f t="shared" si="10"/>
        <v>1.6911950135841164E-5</v>
      </c>
      <c r="AK8" s="157">
        <f t="shared" si="1"/>
        <v>3.001696960894901E-5</v>
      </c>
      <c r="AL8" s="157">
        <f t="shared" si="1"/>
        <v>8.6036390310959569E-6</v>
      </c>
      <c r="AM8" s="157">
        <f t="shared" si="1"/>
        <v>1.2850283477231823E-5</v>
      </c>
      <c r="AN8" s="157">
        <f t="shared" si="1"/>
        <v>2.9745050622534174E-6</v>
      </c>
      <c r="AO8" s="157">
        <f t="shared" si="1"/>
        <v>8.4806624801961231E-6</v>
      </c>
      <c r="AP8" s="157">
        <f t="shared" si="1"/>
        <v>2.923486912904069E-7</v>
      </c>
      <c r="AQ8" s="157">
        <f t="shared" si="1"/>
        <v>7.7634798220698571E-7</v>
      </c>
      <c r="AR8" s="157">
        <f t="shared" si="1"/>
        <v>5.0414573512013803E-6</v>
      </c>
      <c r="AS8" s="157">
        <f t="shared" si="1"/>
        <v>7.9096756693140862E-6</v>
      </c>
      <c r="AT8" s="134"/>
      <c r="AU8" s="157">
        <f t="shared" ref="AU8:AU68" si="11">+$Y7*C7</f>
        <v>9.7997953239842425E-5</v>
      </c>
      <c r="AV8" s="157">
        <f t="shared" ref="AV8:AV68" si="12">+$Y7*D7</f>
        <v>1.3481251260029345E-4</v>
      </c>
      <c r="AW8" s="155"/>
      <c r="AX8" s="157">
        <f t="shared" ref="AX8:AX68" si="13">+$Y7*F7</f>
        <v>2.9900030343704818E-5</v>
      </c>
      <c r="AY8" s="157">
        <f t="shared" ref="AY8:AY68" si="14">+$Y7*G7</f>
        <v>3.9747982789643785E-5</v>
      </c>
      <c r="AZ8" s="4"/>
      <c r="BA8" s="157">
        <f t="shared" si="2"/>
        <v>2.8141398769521736E-6</v>
      </c>
      <c r="BB8" s="157">
        <f t="shared" si="2"/>
        <v>4.9948084332855945E-6</v>
      </c>
      <c r="BC8" s="157">
        <f t="shared" si="2"/>
        <v>1.4316411466349826E-6</v>
      </c>
      <c r="BD8" s="157">
        <f t="shared" si="2"/>
        <v>2.1382806165434016E-6</v>
      </c>
      <c r="BE8" s="157">
        <f t="shared" si="2"/>
        <v>4.9495612526338088E-7</v>
      </c>
      <c r="BF8" s="157">
        <f t="shared" si="2"/>
        <v>1.4111779112873432E-6</v>
      </c>
      <c r="BG8" s="157">
        <f t="shared" si="2"/>
        <v>4.8646673123258637E-8</v>
      </c>
      <c r="BH8" s="157">
        <f t="shared" si="2"/>
        <v>1.2918390827619183E-7</v>
      </c>
      <c r="BI8" s="157">
        <f t="shared" si="2"/>
        <v>8.3889593193055112E-7</v>
      </c>
      <c r="BJ8" s="157">
        <f t="shared" si="2"/>
        <v>1.3161659971786592E-6</v>
      </c>
      <c r="BL8" s="157">
        <f t="shared" ref="BL8:BL68" si="15">+C7*$Z7</f>
        <v>7.2872988246020881E-5</v>
      </c>
      <c r="BM8" s="157">
        <f t="shared" ref="BM8:BM68" si="16">+D7*$Z7</f>
        <v>1.0024893705783609E-4</v>
      </c>
      <c r="BN8" s="155"/>
      <c r="BO8" s="157">
        <f t="shared" ref="BO8:BO68" si="17">+F7*$Z7</f>
        <v>2.2234184365664944E-5</v>
      </c>
      <c r="BP8" s="157">
        <f t="shared" ref="BP8:BP68" si="18">+G7*$Z7</f>
        <v>2.9557293666569332E-5</v>
      </c>
      <c r="BQ8" s="4"/>
      <c r="BR8" s="157">
        <f t="shared" si="3"/>
        <v>2.0926435236243117E-6</v>
      </c>
      <c r="BS8" s="157">
        <f t="shared" si="3"/>
        <v>3.7142267181756133E-6</v>
      </c>
      <c r="BT8" s="157">
        <f t="shared" si="3"/>
        <v>1.0645933410049524E-6</v>
      </c>
      <c r="BU8" s="157">
        <f t="shared" si="3"/>
        <v>1.5900627827878924E-6</v>
      </c>
      <c r="BV8" s="157">
        <f t="shared" si="3"/>
        <v>3.6805801250091894E-7</v>
      </c>
      <c r="BW8" s="157">
        <f t="shared" si="3"/>
        <v>1.0493765220851281E-6</v>
      </c>
      <c r="BX8" s="157">
        <f t="shared" si="3"/>
        <v>3.6174515094647573E-8</v>
      </c>
      <c r="BY8" s="157">
        <f t="shared" si="3"/>
        <v>9.6063408654524516E-8</v>
      </c>
      <c r="BZ8" s="157">
        <f t="shared" si="3"/>
        <v>6.2381765502379268E-7</v>
      </c>
      <c r="CA8" s="157">
        <f t="shared" si="3"/>
        <v>9.7872400464806902E-7</v>
      </c>
      <c r="CC8" s="157">
        <f t="shared" ref="CC8:CC68" si="19">+C7*$AA7</f>
        <v>0</v>
      </c>
      <c r="CD8" s="157">
        <f t="shared" ref="CD8:CD68" si="20">+D7*$AA7</f>
        <v>0</v>
      </c>
      <c r="CE8" s="155"/>
      <c r="CF8" s="157">
        <f t="shared" ref="CF8:CF68" si="21">+F7*$AA7</f>
        <v>0</v>
      </c>
      <c r="CG8" s="157">
        <f t="shared" ref="CG8:CG68" si="22">+G7*$AA7</f>
        <v>0</v>
      </c>
      <c r="CH8" s="4"/>
      <c r="CI8" s="157">
        <f t="shared" si="4"/>
        <v>0</v>
      </c>
      <c r="CJ8" s="157">
        <f t="shared" si="4"/>
        <v>0</v>
      </c>
      <c r="CK8" s="157">
        <f t="shared" si="4"/>
        <v>0</v>
      </c>
      <c r="CL8" s="157">
        <f t="shared" si="4"/>
        <v>0</v>
      </c>
      <c r="CM8" s="157">
        <f t="shared" si="4"/>
        <v>0</v>
      </c>
      <c r="CN8" s="157">
        <f t="shared" si="4"/>
        <v>0</v>
      </c>
      <c r="CO8" s="157">
        <f t="shared" si="4"/>
        <v>0</v>
      </c>
      <c r="CP8" s="157">
        <f t="shared" si="4"/>
        <v>0</v>
      </c>
      <c r="CQ8" s="157">
        <f t="shared" si="4"/>
        <v>0</v>
      </c>
      <c r="CR8" s="157">
        <f t="shared" si="4"/>
        <v>0</v>
      </c>
      <c r="CT8" s="157">
        <f t="shared" ref="CT8:CT68" si="23">+C7*$AB7</f>
        <v>0</v>
      </c>
      <c r="CU8" s="157">
        <f t="shared" ref="CU8:CU68" si="24">+D7*$AB7</f>
        <v>0</v>
      </c>
      <c r="CV8" s="155"/>
      <c r="CW8" s="157">
        <f t="shared" ref="CW8:CW68" si="25">+F7*$AB7</f>
        <v>0</v>
      </c>
      <c r="CX8" s="157">
        <f t="shared" ref="CX8:CX68" si="26">+G7*$AB7</f>
        <v>0</v>
      </c>
      <c r="CY8" s="4"/>
      <c r="CZ8" s="157">
        <f t="shared" si="5"/>
        <v>0</v>
      </c>
      <c r="DA8" s="157">
        <f t="shared" si="5"/>
        <v>0</v>
      </c>
      <c r="DB8" s="157">
        <f t="shared" si="5"/>
        <v>0</v>
      </c>
      <c r="DC8" s="157">
        <f t="shared" si="5"/>
        <v>0</v>
      </c>
      <c r="DD8" s="157">
        <f t="shared" si="5"/>
        <v>0</v>
      </c>
      <c r="DE8" s="157">
        <f t="shared" si="5"/>
        <v>0</v>
      </c>
      <c r="DF8" s="157">
        <f t="shared" si="5"/>
        <v>0</v>
      </c>
      <c r="DG8" s="157">
        <f t="shared" si="5"/>
        <v>0</v>
      </c>
      <c r="DH8" s="157">
        <f t="shared" si="5"/>
        <v>0</v>
      </c>
      <c r="DI8" s="157">
        <f t="shared" si="5"/>
        <v>0</v>
      </c>
    </row>
    <row r="9" spans="1:113" x14ac:dyDescent="0.25">
      <c r="A9">
        <f t="shared" si="6"/>
        <v>4</v>
      </c>
      <c r="B9" s="11" t="s">
        <v>126</v>
      </c>
      <c r="C9" s="158">
        <v>1.5222267539692171</v>
      </c>
      <c r="D9" s="17">
        <v>2.2192086036270098</v>
      </c>
      <c r="E9" s="155"/>
      <c r="F9" s="162">
        <v>0.56607436883156736</v>
      </c>
      <c r="G9" s="17">
        <v>0.75251810822034326</v>
      </c>
      <c r="H9" s="4"/>
      <c r="I9" s="167">
        <v>4.8089113377761949E-2</v>
      </c>
      <c r="J9" s="17">
        <v>8.9374040599154644E-2</v>
      </c>
      <c r="K9" s="167">
        <v>3.1976120529718925E-2</v>
      </c>
      <c r="L9" s="17">
        <v>4.5354384274661964E-2</v>
      </c>
      <c r="M9" s="167">
        <v>5.4054892421639047E-3</v>
      </c>
      <c r="N9" s="17">
        <v>2.2751614422349298E-2</v>
      </c>
      <c r="O9" s="168">
        <v>9.1402346191741185E-5</v>
      </c>
      <c r="P9" s="17">
        <v>1.6161521217796697E-3</v>
      </c>
      <c r="Q9" s="167">
        <v>1.0616101259687396E-2</v>
      </c>
      <c r="R9" s="17">
        <v>1.965188978036379E-2</v>
      </c>
      <c r="S9" s="3"/>
      <c r="T9" s="104">
        <f t="shared" si="0"/>
        <v>1.5085657845508207</v>
      </c>
      <c r="U9" s="105">
        <f t="shared" si="0"/>
        <v>2.0054309695373287</v>
      </c>
      <c r="V9" s="134"/>
      <c r="W9" s="3">
        <v>0.37524009534666564</v>
      </c>
      <c r="X9" s="172">
        <f>+'I-O'!BO6/'I-O'!BO$75</f>
        <v>0</v>
      </c>
      <c r="Y9" s="172">
        <f>+'I-O'!BP6/'I-O'!BP$75</f>
        <v>0</v>
      </c>
      <c r="Z9" s="172">
        <f>+'I-O'!BT6/'I-O'!BT$75</f>
        <v>0</v>
      </c>
      <c r="AA9" s="172">
        <f>+'I-O'!BU6/'I-O'!BU$75</f>
        <v>0</v>
      </c>
      <c r="AB9" s="172">
        <f>+'I-O'!BW6/'I-O'!BW$75</f>
        <v>0</v>
      </c>
      <c r="AC9" s="134"/>
      <c r="AD9" s="157">
        <f t="shared" si="7"/>
        <v>4.7636133897156329E-4</v>
      </c>
      <c r="AE9" s="157">
        <f t="shared" si="8"/>
        <v>6.8428413055566682E-4</v>
      </c>
      <c r="AF9" s="155"/>
      <c r="AG9" s="157">
        <f t="shared" si="9"/>
        <v>1.6887062850984928E-4</v>
      </c>
      <c r="AH9" s="157">
        <f t="shared" si="10"/>
        <v>2.244903017999454E-4</v>
      </c>
      <c r="AI9" s="4"/>
      <c r="AJ9" s="157">
        <f t="shared" si="10"/>
        <v>1.9562765030744575E-5</v>
      </c>
      <c r="AK9" s="157">
        <f t="shared" si="1"/>
        <v>3.187883512989158E-5</v>
      </c>
      <c r="AL9" s="157">
        <f t="shared" si="1"/>
        <v>1.0261757869723096E-5</v>
      </c>
      <c r="AM9" s="157">
        <f t="shared" si="1"/>
        <v>1.4252745505574289E-5</v>
      </c>
      <c r="AN9" s="157">
        <f t="shared" si="1"/>
        <v>5.4844542476160313E-6</v>
      </c>
      <c r="AO9" s="157">
        <f t="shared" si="1"/>
        <v>1.0659129560039538E-5</v>
      </c>
      <c r="AP9" s="157">
        <f t="shared" si="1"/>
        <v>2.1507914734701902E-7</v>
      </c>
      <c r="AQ9" s="157">
        <f t="shared" si="1"/>
        <v>6.699406763282025E-7</v>
      </c>
      <c r="AR9" s="157">
        <f t="shared" si="1"/>
        <v>3.6014737660584221E-6</v>
      </c>
      <c r="AS9" s="157">
        <f t="shared" si="1"/>
        <v>6.2970193879495326E-6</v>
      </c>
      <c r="AT9" s="134"/>
      <c r="AU9" s="157">
        <f t="shared" si="11"/>
        <v>1.3026149302048276E-4</v>
      </c>
      <c r="AV9" s="157">
        <f t="shared" si="12"/>
        <v>1.8711819201961964E-4</v>
      </c>
      <c r="AW9" s="155"/>
      <c r="AX9" s="157">
        <f t="shared" si="13"/>
        <v>4.6177845256063942E-5</v>
      </c>
      <c r="AY9" s="157">
        <f t="shared" si="14"/>
        <v>6.1387101531397168E-5</v>
      </c>
      <c r="AZ9" s="4"/>
      <c r="BA9" s="157">
        <f t="shared" si="2"/>
        <v>5.3494580102055674E-6</v>
      </c>
      <c r="BB9" s="157">
        <f t="shared" si="2"/>
        <v>8.7172999150994994E-6</v>
      </c>
      <c r="BC9" s="157">
        <f t="shared" si="2"/>
        <v>2.8060881347145071E-6</v>
      </c>
      <c r="BD9" s="157">
        <f t="shared" si="2"/>
        <v>3.8974277660847544E-6</v>
      </c>
      <c r="BE9" s="157">
        <f t="shared" si="2"/>
        <v>1.499729596527228E-6</v>
      </c>
      <c r="BF9" s="157">
        <f t="shared" si="2"/>
        <v>2.9147498279082588E-6</v>
      </c>
      <c r="BG9" s="157">
        <f t="shared" si="2"/>
        <v>5.8813611766817972E-8</v>
      </c>
      <c r="BH9" s="157">
        <f t="shared" si="2"/>
        <v>1.8319595986120347E-7</v>
      </c>
      <c r="BI9" s="157">
        <f t="shared" si="2"/>
        <v>9.8482666719701239E-7</v>
      </c>
      <c r="BJ9" s="157">
        <f t="shared" si="2"/>
        <v>1.7219263612452785E-6</v>
      </c>
      <c r="BL9" s="157">
        <f t="shared" si="15"/>
        <v>1.0646211993039955E-4</v>
      </c>
      <c r="BM9" s="157">
        <f t="shared" si="16"/>
        <v>1.5293083886901122E-4</v>
      </c>
      <c r="BN9" s="155"/>
      <c r="BO9" s="157">
        <f t="shared" si="17"/>
        <v>3.7740940824357603E-5</v>
      </c>
      <c r="BP9" s="157">
        <f t="shared" si="18"/>
        <v>5.017139611924738E-5</v>
      </c>
      <c r="BQ9" s="4"/>
      <c r="BR9" s="157">
        <f t="shared" si="3"/>
        <v>4.3720874606863998E-6</v>
      </c>
      <c r="BS9" s="157">
        <f t="shared" si="3"/>
        <v>7.1246091804325706E-6</v>
      </c>
      <c r="BT9" s="157">
        <f t="shared" si="3"/>
        <v>2.2934029436179716E-6</v>
      </c>
      <c r="BU9" s="157">
        <f t="shared" si="3"/>
        <v>3.1853498116111688E-6</v>
      </c>
      <c r="BV9" s="157">
        <f t="shared" si="3"/>
        <v>1.2257221107050056E-6</v>
      </c>
      <c r="BW9" s="157">
        <f t="shared" si="3"/>
        <v>2.3822116463618778E-6</v>
      </c>
      <c r="BX9" s="157">
        <f t="shared" si="3"/>
        <v>4.8068094755173469E-8</v>
      </c>
      <c r="BY9" s="157">
        <f t="shared" si="3"/>
        <v>1.4972521654147874E-7</v>
      </c>
      <c r="BZ9" s="157">
        <f t="shared" si="3"/>
        <v>8.048943116082475E-7</v>
      </c>
      <c r="CA9" s="157">
        <f t="shared" si="3"/>
        <v>1.4073225059180419E-6</v>
      </c>
      <c r="CC9" s="157">
        <f t="shared" si="19"/>
        <v>0</v>
      </c>
      <c r="CD9" s="157">
        <f t="shared" si="20"/>
        <v>0</v>
      </c>
      <c r="CE9" s="155"/>
      <c r="CF9" s="157">
        <f t="shared" si="21"/>
        <v>0</v>
      </c>
      <c r="CG9" s="157">
        <f t="shared" si="22"/>
        <v>0</v>
      </c>
      <c r="CH9" s="4"/>
      <c r="CI9" s="157">
        <f t="shared" si="4"/>
        <v>0</v>
      </c>
      <c r="CJ9" s="157">
        <f t="shared" si="4"/>
        <v>0</v>
      </c>
      <c r="CK9" s="157">
        <f t="shared" si="4"/>
        <v>0</v>
      </c>
      <c r="CL9" s="157">
        <f t="shared" si="4"/>
        <v>0</v>
      </c>
      <c r="CM9" s="157">
        <f t="shared" si="4"/>
        <v>0</v>
      </c>
      <c r="CN9" s="157">
        <f t="shared" si="4"/>
        <v>0</v>
      </c>
      <c r="CO9" s="157">
        <f t="shared" si="4"/>
        <v>0</v>
      </c>
      <c r="CP9" s="157">
        <f t="shared" si="4"/>
        <v>0</v>
      </c>
      <c r="CQ9" s="157">
        <f t="shared" si="4"/>
        <v>0</v>
      </c>
      <c r="CR9" s="157">
        <f t="shared" si="4"/>
        <v>0</v>
      </c>
      <c r="CT9" s="157">
        <f t="shared" si="23"/>
        <v>0</v>
      </c>
      <c r="CU9" s="157">
        <f t="shared" si="24"/>
        <v>0</v>
      </c>
      <c r="CV9" s="155"/>
      <c r="CW9" s="157">
        <f t="shared" si="25"/>
        <v>0</v>
      </c>
      <c r="CX9" s="157">
        <f t="shared" si="26"/>
        <v>0</v>
      </c>
      <c r="CY9" s="4"/>
      <c r="CZ9" s="157">
        <f t="shared" si="5"/>
        <v>0</v>
      </c>
      <c r="DA9" s="157">
        <f t="shared" si="5"/>
        <v>0</v>
      </c>
      <c r="DB9" s="157">
        <f t="shared" si="5"/>
        <v>0</v>
      </c>
      <c r="DC9" s="157">
        <f t="shared" si="5"/>
        <v>0</v>
      </c>
      <c r="DD9" s="157">
        <f t="shared" si="5"/>
        <v>0</v>
      </c>
      <c r="DE9" s="157">
        <f t="shared" si="5"/>
        <v>0</v>
      </c>
      <c r="DF9" s="157">
        <f t="shared" si="5"/>
        <v>0</v>
      </c>
      <c r="DG9" s="157">
        <f t="shared" si="5"/>
        <v>0</v>
      </c>
      <c r="DH9" s="157">
        <f t="shared" si="5"/>
        <v>0</v>
      </c>
      <c r="DI9" s="157">
        <f t="shared" si="5"/>
        <v>0</v>
      </c>
    </row>
    <row r="10" spans="1:113" x14ac:dyDescent="0.25">
      <c r="A10">
        <f t="shared" si="6"/>
        <v>5</v>
      </c>
      <c r="B10" s="11" t="s">
        <v>19</v>
      </c>
      <c r="C10" s="158">
        <v>1.4320570040574507</v>
      </c>
      <c r="D10" s="17">
        <v>1.9579289871934813</v>
      </c>
      <c r="E10" s="155"/>
      <c r="F10" s="162">
        <v>0.4271024433220027</v>
      </c>
      <c r="G10" s="17">
        <v>0.56777402468930993</v>
      </c>
      <c r="H10" s="4"/>
      <c r="I10" s="167">
        <v>6.5141687344660706E-2</v>
      </c>
      <c r="J10" s="17">
        <v>9.6291116217449818E-2</v>
      </c>
      <c r="K10" s="167">
        <v>2.5662069389037596E-2</v>
      </c>
      <c r="L10" s="17">
        <v>3.5755953598395722E-2</v>
      </c>
      <c r="M10" s="167">
        <v>2.6738047328167324E-2</v>
      </c>
      <c r="N10" s="17">
        <v>3.9825678308383766E-2</v>
      </c>
      <c r="O10" s="168">
        <v>4.935391248359263E-4</v>
      </c>
      <c r="P10" s="17">
        <v>1.643961031329361E-3</v>
      </c>
      <c r="Q10" s="167">
        <v>1.224803150261986E-2</v>
      </c>
      <c r="R10" s="17">
        <v>1.9065523279340954E-2</v>
      </c>
      <c r="S10" s="3"/>
      <c r="T10" s="104">
        <f t="shared" si="0"/>
        <v>1.3880818537311479</v>
      </c>
      <c r="U10" s="105">
        <f t="shared" si="0"/>
        <v>1.8452641351361969</v>
      </c>
      <c r="V10" s="134"/>
      <c r="W10" s="3">
        <v>0.30769254865911277</v>
      </c>
      <c r="X10" s="172">
        <f>+'I-O'!BO7/'I-O'!BO$75</f>
        <v>1.4894768828267167E-3</v>
      </c>
      <c r="Y10" s="172">
        <f>+'I-O'!BP7/'I-O'!BP$75</f>
        <v>0</v>
      </c>
      <c r="Z10" s="172">
        <f>+'I-O'!BT7/'I-O'!BT$75</f>
        <v>0</v>
      </c>
      <c r="AA10" s="172">
        <f>+'I-O'!BU7/'I-O'!BU$75</f>
        <v>0</v>
      </c>
      <c r="AB10" s="172">
        <f>+'I-O'!BW7/'I-O'!BW$75</f>
        <v>0</v>
      </c>
      <c r="AC10" s="134"/>
      <c r="AD10" s="157">
        <f t="shared" si="7"/>
        <v>0</v>
      </c>
      <c r="AE10" s="157">
        <f t="shared" si="8"/>
        <v>0</v>
      </c>
      <c r="AF10" s="155"/>
      <c r="AG10" s="157">
        <f t="shared" si="9"/>
        <v>0</v>
      </c>
      <c r="AH10" s="157">
        <f t="shared" si="10"/>
        <v>0</v>
      </c>
      <c r="AI10" s="4"/>
      <c r="AJ10" s="157">
        <f t="shared" si="10"/>
        <v>0</v>
      </c>
      <c r="AK10" s="157">
        <f t="shared" si="1"/>
        <v>0</v>
      </c>
      <c r="AL10" s="157">
        <f t="shared" si="1"/>
        <v>0</v>
      </c>
      <c r="AM10" s="157">
        <f t="shared" si="1"/>
        <v>0</v>
      </c>
      <c r="AN10" s="157">
        <f t="shared" si="1"/>
        <v>0</v>
      </c>
      <c r="AO10" s="157">
        <f t="shared" si="1"/>
        <v>0</v>
      </c>
      <c r="AP10" s="157">
        <f t="shared" si="1"/>
        <v>0</v>
      </c>
      <c r="AQ10" s="157">
        <f t="shared" si="1"/>
        <v>0</v>
      </c>
      <c r="AR10" s="157">
        <f t="shared" si="1"/>
        <v>0</v>
      </c>
      <c r="AS10" s="157">
        <f t="shared" si="1"/>
        <v>0</v>
      </c>
      <c r="AT10" s="134"/>
      <c r="AU10" s="157">
        <f t="shared" si="11"/>
        <v>0</v>
      </c>
      <c r="AV10" s="157">
        <f t="shared" si="12"/>
        <v>0</v>
      </c>
      <c r="AW10" s="155"/>
      <c r="AX10" s="157">
        <f t="shared" si="13"/>
        <v>0</v>
      </c>
      <c r="AY10" s="157">
        <f t="shared" si="14"/>
        <v>0</v>
      </c>
      <c r="AZ10" s="4"/>
      <c r="BA10" s="157">
        <f t="shared" si="2"/>
        <v>0</v>
      </c>
      <c r="BB10" s="157">
        <f t="shared" si="2"/>
        <v>0</v>
      </c>
      <c r="BC10" s="157">
        <f t="shared" si="2"/>
        <v>0</v>
      </c>
      <c r="BD10" s="157">
        <f t="shared" si="2"/>
        <v>0</v>
      </c>
      <c r="BE10" s="157">
        <f t="shared" si="2"/>
        <v>0</v>
      </c>
      <c r="BF10" s="157">
        <f t="shared" si="2"/>
        <v>0</v>
      </c>
      <c r="BG10" s="157">
        <f t="shared" si="2"/>
        <v>0</v>
      </c>
      <c r="BH10" s="157">
        <f t="shared" si="2"/>
        <v>0</v>
      </c>
      <c r="BI10" s="157">
        <f t="shared" si="2"/>
        <v>0</v>
      </c>
      <c r="BJ10" s="157">
        <f t="shared" si="2"/>
        <v>0</v>
      </c>
      <c r="BL10" s="157">
        <f t="shared" si="15"/>
        <v>0</v>
      </c>
      <c r="BM10" s="157">
        <f t="shared" si="16"/>
        <v>0</v>
      </c>
      <c r="BN10" s="155"/>
      <c r="BO10" s="157">
        <f t="shared" si="17"/>
        <v>0</v>
      </c>
      <c r="BP10" s="157">
        <f t="shared" si="18"/>
        <v>0</v>
      </c>
      <c r="BQ10" s="4"/>
      <c r="BR10" s="157">
        <f t="shared" si="3"/>
        <v>0</v>
      </c>
      <c r="BS10" s="157">
        <f t="shared" si="3"/>
        <v>0</v>
      </c>
      <c r="BT10" s="157">
        <f t="shared" si="3"/>
        <v>0</v>
      </c>
      <c r="BU10" s="157">
        <f t="shared" si="3"/>
        <v>0</v>
      </c>
      <c r="BV10" s="157">
        <f t="shared" si="3"/>
        <v>0</v>
      </c>
      <c r="BW10" s="157">
        <f t="shared" si="3"/>
        <v>0</v>
      </c>
      <c r="BX10" s="157">
        <f t="shared" si="3"/>
        <v>0</v>
      </c>
      <c r="BY10" s="157">
        <f t="shared" si="3"/>
        <v>0</v>
      </c>
      <c r="BZ10" s="157">
        <f t="shared" si="3"/>
        <v>0</v>
      </c>
      <c r="CA10" s="157">
        <f t="shared" si="3"/>
        <v>0</v>
      </c>
      <c r="CC10" s="157">
        <f t="shared" si="19"/>
        <v>0</v>
      </c>
      <c r="CD10" s="157">
        <f t="shared" si="20"/>
        <v>0</v>
      </c>
      <c r="CE10" s="155"/>
      <c r="CF10" s="157">
        <f t="shared" si="21"/>
        <v>0</v>
      </c>
      <c r="CG10" s="157">
        <f t="shared" si="22"/>
        <v>0</v>
      </c>
      <c r="CH10" s="4"/>
      <c r="CI10" s="157">
        <f t="shared" si="4"/>
        <v>0</v>
      </c>
      <c r="CJ10" s="157">
        <f t="shared" si="4"/>
        <v>0</v>
      </c>
      <c r="CK10" s="157">
        <f t="shared" si="4"/>
        <v>0</v>
      </c>
      <c r="CL10" s="157">
        <f t="shared" si="4"/>
        <v>0</v>
      </c>
      <c r="CM10" s="157">
        <f t="shared" si="4"/>
        <v>0</v>
      </c>
      <c r="CN10" s="157">
        <f t="shared" si="4"/>
        <v>0</v>
      </c>
      <c r="CO10" s="157">
        <f t="shared" si="4"/>
        <v>0</v>
      </c>
      <c r="CP10" s="157">
        <f t="shared" si="4"/>
        <v>0</v>
      </c>
      <c r="CQ10" s="157">
        <f t="shared" si="4"/>
        <v>0</v>
      </c>
      <c r="CR10" s="157">
        <f t="shared" si="4"/>
        <v>0</v>
      </c>
      <c r="CT10" s="157">
        <f t="shared" si="23"/>
        <v>0</v>
      </c>
      <c r="CU10" s="157">
        <f t="shared" si="24"/>
        <v>0</v>
      </c>
      <c r="CV10" s="155"/>
      <c r="CW10" s="157">
        <f t="shared" si="25"/>
        <v>0</v>
      </c>
      <c r="CX10" s="157">
        <f t="shared" si="26"/>
        <v>0</v>
      </c>
      <c r="CY10" s="4"/>
      <c r="CZ10" s="157">
        <f t="shared" si="5"/>
        <v>0</v>
      </c>
      <c r="DA10" s="157">
        <f t="shared" si="5"/>
        <v>0</v>
      </c>
      <c r="DB10" s="157">
        <f t="shared" si="5"/>
        <v>0</v>
      </c>
      <c r="DC10" s="157">
        <f t="shared" si="5"/>
        <v>0</v>
      </c>
      <c r="DD10" s="157">
        <f t="shared" si="5"/>
        <v>0</v>
      </c>
      <c r="DE10" s="157">
        <f t="shared" si="5"/>
        <v>0</v>
      </c>
      <c r="DF10" s="157">
        <f t="shared" si="5"/>
        <v>0</v>
      </c>
      <c r="DG10" s="157">
        <f t="shared" si="5"/>
        <v>0</v>
      </c>
      <c r="DH10" s="157">
        <f t="shared" si="5"/>
        <v>0</v>
      </c>
      <c r="DI10" s="157">
        <f t="shared" si="5"/>
        <v>0</v>
      </c>
    </row>
    <row r="11" spans="1:113" x14ac:dyDescent="0.25">
      <c r="A11">
        <f t="shared" si="6"/>
        <v>6</v>
      </c>
      <c r="B11" s="11" t="s">
        <v>3</v>
      </c>
      <c r="C11" s="158">
        <v>1.4978495615118774</v>
      </c>
      <c r="D11" s="17">
        <v>1.9308596265132241</v>
      </c>
      <c r="E11" s="155"/>
      <c r="F11" s="162">
        <v>0.35168189725987986</v>
      </c>
      <c r="G11" s="17">
        <v>0.46751276968714039</v>
      </c>
      <c r="H11" s="4"/>
      <c r="I11" s="167">
        <v>5.631620479873875E-2</v>
      </c>
      <c r="J11" s="17">
        <v>8.1965063558099974E-2</v>
      </c>
      <c r="K11" s="167">
        <v>2.6068494663104687E-2</v>
      </c>
      <c r="L11" s="17">
        <v>3.4379934705118909E-2</v>
      </c>
      <c r="M11" s="167">
        <v>1.4158334699896529E-2</v>
      </c>
      <c r="N11" s="17">
        <v>2.4934866105242835E-2</v>
      </c>
      <c r="O11" s="168">
        <v>1.5339172562411363E-3</v>
      </c>
      <c r="P11" s="17">
        <v>2.4811901296485001E-3</v>
      </c>
      <c r="Q11" s="167">
        <v>1.4555458179496394E-2</v>
      </c>
      <c r="R11" s="17">
        <v>2.016907261808976E-2</v>
      </c>
      <c r="S11" s="3"/>
      <c r="T11" s="104">
        <f t="shared" si="0"/>
        <v>1.7223401000572149</v>
      </c>
      <c r="U11" s="105">
        <f t="shared" si="0"/>
        <v>2.2896145545016506</v>
      </c>
      <c r="V11" s="134"/>
      <c r="W11" s="3">
        <v>0.20418841624148287</v>
      </c>
      <c r="X11" s="172">
        <f>+'I-O'!BO8/'I-O'!BO$75</f>
        <v>0</v>
      </c>
      <c r="Y11" s="172">
        <f>+'I-O'!BP8/'I-O'!BP$75</f>
        <v>0</v>
      </c>
      <c r="Z11" s="172">
        <f>+'I-O'!BT8/'I-O'!BT$75</f>
        <v>0</v>
      </c>
      <c r="AA11" s="172">
        <f>+'I-O'!BU8/'I-O'!BU$75</f>
        <v>0</v>
      </c>
      <c r="AB11" s="172">
        <f>+'I-O'!BW8/'I-O'!BW$75</f>
        <v>9.0479775566119003E-5</v>
      </c>
      <c r="AC11" s="134"/>
      <c r="AD11" s="157">
        <f t="shared" si="7"/>
        <v>2.1330158024336584E-3</v>
      </c>
      <c r="AE11" s="157">
        <f t="shared" si="8"/>
        <v>2.9162899646410171E-3</v>
      </c>
      <c r="AF11" s="155"/>
      <c r="AG11" s="157">
        <f t="shared" si="9"/>
        <v>6.3615921592693103E-4</v>
      </c>
      <c r="AH11" s="157">
        <f t="shared" si="10"/>
        <v>8.4568628444421266E-4</v>
      </c>
      <c r="AI11" s="4"/>
      <c r="AJ11" s="157">
        <f t="shared" si="10"/>
        <v>9.7027037408197814E-5</v>
      </c>
      <c r="AK11" s="157">
        <f t="shared" si="1"/>
        <v>1.4342339162747226E-4</v>
      </c>
      <c r="AL11" s="157">
        <f t="shared" si="1"/>
        <v>3.8223059120466623E-5</v>
      </c>
      <c r="AM11" s="157">
        <f t="shared" si="1"/>
        <v>5.3257666308235185E-5</v>
      </c>
      <c r="AN11" s="157">
        <f t="shared" si="1"/>
        <v>3.9825703387231888E-5</v>
      </c>
      <c r="AO11" s="157">
        <f t="shared" si="1"/>
        <v>5.9319427183231042E-5</v>
      </c>
      <c r="AP11" s="157">
        <f t="shared" si="1"/>
        <v>7.3511511721364125E-7</v>
      </c>
      <c r="AQ11" s="157">
        <f t="shared" si="1"/>
        <v>2.448641952433051E-6</v>
      </c>
      <c r="AR11" s="157">
        <f t="shared" si="1"/>
        <v>1.8243159783285657E-5</v>
      </c>
      <c r="AS11" s="157">
        <f t="shared" si="1"/>
        <v>2.8397656183572965E-5</v>
      </c>
      <c r="AT11" s="134"/>
      <c r="AU11" s="157">
        <f t="shared" si="11"/>
        <v>0</v>
      </c>
      <c r="AV11" s="157">
        <f t="shared" si="12"/>
        <v>0</v>
      </c>
      <c r="AW11" s="155"/>
      <c r="AX11" s="157">
        <f t="shared" si="13"/>
        <v>0</v>
      </c>
      <c r="AY11" s="157">
        <f t="shared" si="14"/>
        <v>0</v>
      </c>
      <c r="AZ11" s="4"/>
      <c r="BA11" s="157">
        <f t="shared" si="2"/>
        <v>0</v>
      </c>
      <c r="BB11" s="157">
        <f t="shared" si="2"/>
        <v>0</v>
      </c>
      <c r="BC11" s="157">
        <f t="shared" si="2"/>
        <v>0</v>
      </c>
      <c r="BD11" s="157">
        <f t="shared" si="2"/>
        <v>0</v>
      </c>
      <c r="BE11" s="157">
        <f t="shared" si="2"/>
        <v>0</v>
      </c>
      <c r="BF11" s="157">
        <f t="shared" si="2"/>
        <v>0</v>
      </c>
      <c r="BG11" s="157">
        <f t="shared" si="2"/>
        <v>0</v>
      </c>
      <c r="BH11" s="157">
        <f t="shared" si="2"/>
        <v>0</v>
      </c>
      <c r="BI11" s="157">
        <f t="shared" si="2"/>
        <v>0</v>
      </c>
      <c r="BJ11" s="157">
        <f t="shared" si="2"/>
        <v>0</v>
      </c>
      <c r="BL11" s="157">
        <f t="shared" si="15"/>
        <v>0</v>
      </c>
      <c r="BM11" s="157">
        <f t="shared" si="16"/>
        <v>0</v>
      </c>
      <c r="BN11" s="155"/>
      <c r="BO11" s="157">
        <f t="shared" si="17"/>
        <v>0</v>
      </c>
      <c r="BP11" s="157">
        <f t="shared" si="18"/>
        <v>0</v>
      </c>
      <c r="BQ11" s="4"/>
      <c r="BR11" s="157">
        <f t="shared" si="3"/>
        <v>0</v>
      </c>
      <c r="BS11" s="157">
        <f t="shared" si="3"/>
        <v>0</v>
      </c>
      <c r="BT11" s="157">
        <f t="shared" si="3"/>
        <v>0</v>
      </c>
      <c r="BU11" s="157">
        <f t="shared" si="3"/>
        <v>0</v>
      </c>
      <c r="BV11" s="157">
        <f t="shared" si="3"/>
        <v>0</v>
      </c>
      <c r="BW11" s="157">
        <f t="shared" si="3"/>
        <v>0</v>
      </c>
      <c r="BX11" s="157">
        <f t="shared" si="3"/>
        <v>0</v>
      </c>
      <c r="BY11" s="157">
        <f t="shared" si="3"/>
        <v>0</v>
      </c>
      <c r="BZ11" s="157">
        <f t="shared" si="3"/>
        <v>0</v>
      </c>
      <c r="CA11" s="157">
        <f t="shared" si="3"/>
        <v>0</v>
      </c>
      <c r="CC11" s="157">
        <f t="shared" si="19"/>
        <v>0</v>
      </c>
      <c r="CD11" s="157">
        <f t="shared" si="20"/>
        <v>0</v>
      </c>
      <c r="CE11" s="155"/>
      <c r="CF11" s="157">
        <f t="shared" si="21"/>
        <v>0</v>
      </c>
      <c r="CG11" s="157">
        <f t="shared" si="22"/>
        <v>0</v>
      </c>
      <c r="CH11" s="4"/>
      <c r="CI11" s="157">
        <f t="shared" si="4"/>
        <v>0</v>
      </c>
      <c r="CJ11" s="157">
        <f t="shared" si="4"/>
        <v>0</v>
      </c>
      <c r="CK11" s="157">
        <f t="shared" si="4"/>
        <v>0</v>
      </c>
      <c r="CL11" s="157">
        <f t="shared" si="4"/>
        <v>0</v>
      </c>
      <c r="CM11" s="157">
        <f t="shared" si="4"/>
        <v>0</v>
      </c>
      <c r="CN11" s="157">
        <f t="shared" si="4"/>
        <v>0</v>
      </c>
      <c r="CO11" s="157">
        <f t="shared" si="4"/>
        <v>0</v>
      </c>
      <c r="CP11" s="157">
        <f t="shared" si="4"/>
        <v>0</v>
      </c>
      <c r="CQ11" s="157">
        <f t="shared" si="4"/>
        <v>0</v>
      </c>
      <c r="CR11" s="157">
        <f t="shared" si="4"/>
        <v>0</v>
      </c>
      <c r="CT11" s="157">
        <f t="shared" si="23"/>
        <v>0</v>
      </c>
      <c r="CU11" s="157">
        <f t="shared" si="24"/>
        <v>0</v>
      </c>
      <c r="CV11" s="155"/>
      <c r="CW11" s="157">
        <f t="shared" si="25"/>
        <v>0</v>
      </c>
      <c r="CX11" s="157">
        <f t="shared" si="26"/>
        <v>0</v>
      </c>
      <c r="CY11" s="4"/>
      <c r="CZ11" s="157">
        <f t="shared" si="5"/>
        <v>0</v>
      </c>
      <c r="DA11" s="157">
        <f t="shared" si="5"/>
        <v>0</v>
      </c>
      <c r="DB11" s="157">
        <f t="shared" si="5"/>
        <v>0</v>
      </c>
      <c r="DC11" s="157">
        <f t="shared" si="5"/>
        <v>0</v>
      </c>
      <c r="DD11" s="157">
        <f t="shared" si="5"/>
        <v>0</v>
      </c>
      <c r="DE11" s="157">
        <f t="shared" si="5"/>
        <v>0</v>
      </c>
      <c r="DF11" s="157">
        <f t="shared" si="5"/>
        <v>0</v>
      </c>
      <c r="DG11" s="157">
        <f t="shared" si="5"/>
        <v>0</v>
      </c>
      <c r="DH11" s="157">
        <f t="shared" si="5"/>
        <v>0</v>
      </c>
      <c r="DI11" s="157">
        <f t="shared" si="5"/>
        <v>0</v>
      </c>
    </row>
    <row r="12" spans="1:113" x14ac:dyDescent="0.25">
      <c r="A12">
        <f t="shared" si="6"/>
        <v>7</v>
      </c>
      <c r="B12" s="11" t="s">
        <v>127</v>
      </c>
      <c r="C12" s="158">
        <v>1.4745154822845477</v>
      </c>
      <c r="D12" s="17">
        <v>2.0447627850170607</v>
      </c>
      <c r="E12" s="155"/>
      <c r="F12" s="162">
        <v>0.46314316811937245</v>
      </c>
      <c r="G12" s="17">
        <v>0.61568521716988045</v>
      </c>
      <c r="H12" s="4"/>
      <c r="I12" s="167">
        <v>0.10147813676239596</v>
      </c>
      <c r="J12" s="17">
        <v>0.1352560872256201</v>
      </c>
      <c r="K12" s="167">
        <v>3.1368155143303537E-2</v>
      </c>
      <c r="L12" s="17">
        <v>4.2313804329926666E-2</v>
      </c>
      <c r="M12" s="167">
        <v>5.3871173111950936E-2</v>
      </c>
      <c r="N12" s="17">
        <v>6.8063194183543854E-2</v>
      </c>
      <c r="O12" s="168">
        <v>1.7761671296420772E-3</v>
      </c>
      <c r="P12" s="17">
        <v>3.023666540563498E-3</v>
      </c>
      <c r="Q12" s="167">
        <v>1.4462641377499409E-2</v>
      </c>
      <c r="R12" s="17">
        <v>2.1855422171586033E-2</v>
      </c>
      <c r="S12" s="3"/>
      <c r="T12" s="104">
        <f t="shared" si="0"/>
        <v>1.4035267548272488</v>
      </c>
      <c r="U12" s="105">
        <f t="shared" si="0"/>
        <v>1.8657960093817632</v>
      </c>
      <c r="V12" s="134"/>
      <c r="W12" s="3">
        <v>0.32998527924491033</v>
      </c>
      <c r="X12" s="172">
        <f>+'I-O'!BO9/'I-O'!BO$75</f>
        <v>0</v>
      </c>
      <c r="Y12" s="172">
        <f>+'I-O'!BP9/'I-O'!BP$75</f>
        <v>0</v>
      </c>
      <c r="Z12" s="172">
        <f>+'I-O'!BT9/'I-O'!BT$75</f>
        <v>0</v>
      </c>
      <c r="AA12" s="172">
        <f>+'I-O'!BU9/'I-O'!BU$75</f>
        <v>0</v>
      </c>
      <c r="AB12" s="172">
        <f>+'I-O'!BW9/'I-O'!BW$75</f>
        <v>0</v>
      </c>
      <c r="AC12" s="134"/>
      <c r="AD12" s="157">
        <f t="shared" si="7"/>
        <v>0</v>
      </c>
      <c r="AE12" s="157">
        <f t="shared" si="8"/>
        <v>0</v>
      </c>
      <c r="AF12" s="155"/>
      <c r="AG12" s="157">
        <f t="shared" si="9"/>
        <v>0</v>
      </c>
      <c r="AH12" s="157">
        <f t="shared" si="10"/>
        <v>0</v>
      </c>
      <c r="AI12" s="4"/>
      <c r="AJ12" s="157">
        <f t="shared" si="10"/>
        <v>0</v>
      </c>
      <c r="AK12" s="157">
        <f t="shared" si="1"/>
        <v>0</v>
      </c>
      <c r="AL12" s="157">
        <f t="shared" si="1"/>
        <v>0</v>
      </c>
      <c r="AM12" s="157">
        <f t="shared" si="1"/>
        <v>0</v>
      </c>
      <c r="AN12" s="157">
        <f t="shared" si="1"/>
        <v>0</v>
      </c>
      <c r="AO12" s="157">
        <f t="shared" si="1"/>
        <v>0</v>
      </c>
      <c r="AP12" s="157">
        <f t="shared" si="1"/>
        <v>0</v>
      </c>
      <c r="AQ12" s="157">
        <f t="shared" si="1"/>
        <v>0</v>
      </c>
      <c r="AR12" s="157">
        <f t="shared" si="1"/>
        <v>0</v>
      </c>
      <c r="AS12" s="157">
        <f t="shared" si="1"/>
        <v>0</v>
      </c>
      <c r="AT12" s="134"/>
      <c r="AU12" s="157">
        <f t="shared" si="11"/>
        <v>0</v>
      </c>
      <c r="AV12" s="157">
        <f t="shared" si="12"/>
        <v>0</v>
      </c>
      <c r="AW12" s="155"/>
      <c r="AX12" s="157">
        <f t="shared" si="13"/>
        <v>0</v>
      </c>
      <c r="AY12" s="157">
        <f t="shared" si="14"/>
        <v>0</v>
      </c>
      <c r="AZ12" s="4"/>
      <c r="BA12" s="157">
        <f t="shared" si="2"/>
        <v>0</v>
      </c>
      <c r="BB12" s="157">
        <f t="shared" si="2"/>
        <v>0</v>
      </c>
      <c r="BC12" s="157">
        <f t="shared" si="2"/>
        <v>0</v>
      </c>
      <c r="BD12" s="157">
        <f t="shared" si="2"/>
        <v>0</v>
      </c>
      <c r="BE12" s="157">
        <f t="shared" si="2"/>
        <v>0</v>
      </c>
      <c r="BF12" s="157">
        <f t="shared" si="2"/>
        <v>0</v>
      </c>
      <c r="BG12" s="157">
        <f t="shared" si="2"/>
        <v>0</v>
      </c>
      <c r="BH12" s="157">
        <f t="shared" si="2"/>
        <v>0</v>
      </c>
      <c r="BI12" s="157">
        <f t="shared" si="2"/>
        <v>0</v>
      </c>
      <c r="BJ12" s="157">
        <f t="shared" si="2"/>
        <v>0</v>
      </c>
      <c r="BL12" s="157">
        <f t="shared" si="15"/>
        <v>0</v>
      </c>
      <c r="BM12" s="157">
        <f t="shared" si="16"/>
        <v>0</v>
      </c>
      <c r="BN12" s="155"/>
      <c r="BO12" s="157">
        <f t="shared" si="17"/>
        <v>0</v>
      </c>
      <c r="BP12" s="157">
        <f t="shared" si="18"/>
        <v>0</v>
      </c>
      <c r="BQ12" s="4"/>
      <c r="BR12" s="157">
        <f t="shared" si="3"/>
        <v>0</v>
      </c>
      <c r="BS12" s="157">
        <f t="shared" si="3"/>
        <v>0</v>
      </c>
      <c r="BT12" s="157">
        <f t="shared" si="3"/>
        <v>0</v>
      </c>
      <c r="BU12" s="157">
        <f t="shared" si="3"/>
        <v>0</v>
      </c>
      <c r="BV12" s="157">
        <f t="shared" si="3"/>
        <v>0</v>
      </c>
      <c r="BW12" s="157">
        <f t="shared" si="3"/>
        <v>0</v>
      </c>
      <c r="BX12" s="157">
        <f t="shared" si="3"/>
        <v>0</v>
      </c>
      <c r="BY12" s="157">
        <f t="shared" si="3"/>
        <v>0</v>
      </c>
      <c r="BZ12" s="157">
        <f t="shared" si="3"/>
        <v>0</v>
      </c>
      <c r="CA12" s="157">
        <f t="shared" si="3"/>
        <v>0</v>
      </c>
      <c r="CC12" s="157">
        <f t="shared" si="19"/>
        <v>0</v>
      </c>
      <c r="CD12" s="157">
        <f t="shared" si="20"/>
        <v>0</v>
      </c>
      <c r="CE12" s="155"/>
      <c r="CF12" s="157">
        <f t="shared" si="21"/>
        <v>0</v>
      </c>
      <c r="CG12" s="157">
        <f t="shared" si="22"/>
        <v>0</v>
      </c>
      <c r="CH12" s="4"/>
      <c r="CI12" s="157">
        <f t="shared" si="4"/>
        <v>0</v>
      </c>
      <c r="CJ12" s="157">
        <f t="shared" si="4"/>
        <v>0</v>
      </c>
      <c r="CK12" s="157">
        <f t="shared" si="4"/>
        <v>0</v>
      </c>
      <c r="CL12" s="157">
        <f t="shared" si="4"/>
        <v>0</v>
      </c>
      <c r="CM12" s="157">
        <f t="shared" si="4"/>
        <v>0</v>
      </c>
      <c r="CN12" s="157">
        <f t="shared" si="4"/>
        <v>0</v>
      </c>
      <c r="CO12" s="157">
        <f t="shared" si="4"/>
        <v>0</v>
      </c>
      <c r="CP12" s="157">
        <f t="shared" si="4"/>
        <v>0</v>
      </c>
      <c r="CQ12" s="157">
        <f t="shared" si="4"/>
        <v>0</v>
      </c>
      <c r="CR12" s="157">
        <f t="shared" si="4"/>
        <v>0</v>
      </c>
      <c r="CT12" s="157">
        <f t="shared" si="23"/>
        <v>1.3552509215740443E-4</v>
      </c>
      <c r="CU12" s="157">
        <f t="shared" si="24"/>
        <v>1.7470374565659686E-4</v>
      </c>
      <c r="CV12" s="155"/>
      <c r="CW12" s="157">
        <f t="shared" si="25"/>
        <v>3.1820099134740852E-5</v>
      </c>
      <c r="CX12" s="157">
        <f t="shared" si="26"/>
        <v>4.2300450475587149E-5</v>
      </c>
      <c r="CY12" s="4"/>
      <c r="CZ12" s="157">
        <f t="shared" si="5"/>
        <v>5.0954775709254762E-6</v>
      </c>
      <c r="DA12" s="157">
        <f t="shared" si="5"/>
        <v>7.4161805549995647E-6</v>
      </c>
      <c r="DB12" s="157">
        <f t="shared" si="5"/>
        <v>2.3586715464642832E-6</v>
      </c>
      <c r="DC12" s="157">
        <f t="shared" si="5"/>
        <v>3.1106887760969845E-6</v>
      </c>
      <c r="DD12" s="157">
        <f t="shared" si="5"/>
        <v>1.2810429460366327E-6</v>
      </c>
      <c r="DE12" s="157">
        <f t="shared" si="5"/>
        <v>2.2561010889735996E-6</v>
      </c>
      <c r="DF12" s="157">
        <f t="shared" si="5"/>
        <v>1.3878848908169507E-7</v>
      </c>
      <c r="DG12" s="157">
        <f t="shared" si="5"/>
        <v>2.2449752606746599E-7</v>
      </c>
      <c r="DH12" s="157">
        <f t="shared" si="5"/>
        <v>1.3169745893428648E-6</v>
      </c>
      <c r="DI12" s="157">
        <f t="shared" si="5"/>
        <v>1.8248931638615176E-6</v>
      </c>
    </row>
    <row r="13" spans="1:113" x14ac:dyDescent="0.25">
      <c r="A13">
        <f t="shared" si="6"/>
        <v>8</v>
      </c>
      <c r="B13" s="11" t="s">
        <v>128</v>
      </c>
      <c r="C13" s="158">
        <v>1.5152142032279652</v>
      </c>
      <c r="D13" s="17">
        <v>2.1186078691801518</v>
      </c>
      <c r="E13" s="155"/>
      <c r="F13" s="162">
        <v>0.49006396476257164</v>
      </c>
      <c r="G13" s="17">
        <v>0.65147271803048312</v>
      </c>
      <c r="H13" s="4"/>
      <c r="I13" s="167">
        <v>0.10431305908217216</v>
      </c>
      <c r="J13" s="17">
        <v>0.14005439667498931</v>
      </c>
      <c r="K13" s="167">
        <v>3.3237907559755003E-2</v>
      </c>
      <c r="L13" s="17">
        <v>4.4819786785304093E-2</v>
      </c>
      <c r="M13" s="167">
        <v>5.4756075608401171E-2</v>
      </c>
      <c r="N13" s="17">
        <v>6.9773026290368689E-2</v>
      </c>
      <c r="O13" s="168">
        <v>2.2917197719146158E-3</v>
      </c>
      <c r="P13" s="17">
        <v>3.6117317022159403E-3</v>
      </c>
      <c r="Q13" s="167">
        <v>1.4027356142101374E-2</v>
      </c>
      <c r="R13" s="17">
        <v>2.1849851897100609E-2</v>
      </c>
      <c r="S13" s="3"/>
      <c r="T13" s="104">
        <f t="shared" si="0"/>
        <v>1.4851085657031782</v>
      </c>
      <c r="U13" s="105">
        <f t="shared" si="0"/>
        <v>1.9742478195427904</v>
      </c>
      <c r="V13" s="134"/>
      <c r="W13" s="3">
        <v>0.32998527924491039</v>
      </c>
      <c r="X13" s="172">
        <f>+'I-O'!BO10/'I-O'!BO$75</f>
        <v>0</v>
      </c>
      <c r="Y13" s="172">
        <f>+'I-O'!BP10/'I-O'!BP$75</f>
        <v>0</v>
      </c>
      <c r="Z13" s="172">
        <f>+'I-O'!BT10/'I-O'!BT$75</f>
        <v>0</v>
      </c>
      <c r="AA13" s="172">
        <f>+'I-O'!BU10/'I-O'!BU$75</f>
        <v>0</v>
      </c>
      <c r="AB13" s="172">
        <f>+'I-O'!BW10/'I-O'!BW$75</f>
        <v>0</v>
      </c>
      <c r="AC13" s="134"/>
      <c r="AD13" s="157">
        <f t="shared" si="7"/>
        <v>0</v>
      </c>
      <c r="AE13" s="157">
        <f t="shared" si="8"/>
        <v>0</v>
      </c>
      <c r="AF13" s="155"/>
      <c r="AG13" s="157">
        <f t="shared" si="9"/>
        <v>0</v>
      </c>
      <c r="AH13" s="157">
        <f t="shared" si="10"/>
        <v>0</v>
      </c>
      <c r="AI13" s="4"/>
      <c r="AJ13" s="157">
        <f t="shared" si="10"/>
        <v>0</v>
      </c>
      <c r="AK13" s="157">
        <f t="shared" si="1"/>
        <v>0</v>
      </c>
      <c r="AL13" s="157">
        <f t="shared" si="1"/>
        <v>0</v>
      </c>
      <c r="AM13" s="157">
        <f t="shared" si="1"/>
        <v>0</v>
      </c>
      <c r="AN13" s="157">
        <f t="shared" si="1"/>
        <v>0</v>
      </c>
      <c r="AO13" s="157">
        <f t="shared" si="1"/>
        <v>0</v>
      </c>
      <c r="AP13" s="157">
        <f t="shared" si="1"/>
        <v>0</v>
      </c>
      <c r="AQ13" s="157">
        <f t="shared" si="1"/>
        <v>0</v>
      </c>
      <c r="AR13" s="157">
        <f t="shared" si="1"/>
        <v>0</v>
      </c>
      <c r="AS13" s="157">
        <f t="shared" si="1"/>
        <v>0</v>
      </c>
      <c r="AT13" s="134"/>
      <c r="AU13" s="157">
        <f t="shared" si="11"/>
        <v>0</v>
      </c>
      <c r="AV13" s="157">
        <f t="shared" si="12"/>
        <v>0</v>
      </c>
      <c r="AW13" s="155"/>
      <c r="AX13" s="157">
        <f t="shared" si="13"/>
        <v>0</v>
      </c>
      <c r="AY13" s="157">
        <f t="shared" si="14"/>
        <v>0</v>
      </c>
      <c r="AZ13" s="4"/>
      <c r="BA13" s="157">
        <f t="shared" si="2"/>
        <v>0</v>
      </c>
      <c r="BB13" s="157">
        <f t="shared" si="2"/>
        <v>0</v>
      </c>
      <c r="BC13" s="157">
        <f t="shared" si="2"/>
        <v>0</v>
      </c>
      <c r="BD13" s="157">
        <f t="shared" si="2"/>
        <v>0</v>
      </c>
      <c r="BE13" s="157">
        <f t="shared" si="2"/>
        <v>0</v>
      </c>
      <c r="BF13" s="157">
        <f t="shared" si="2"/>
        <v>0</v>
      </c>
      <c r="BG13" s="157">
        <f t="shared" si="2"/>
        <v>0</v>
      </c>
      <c r="BH13" s="157">
        <f t="shared" si="2"/>
        <v>0</v>
      </c>
      <c r="BI13" s="157">
        <f t="shared" si="2"/>
        <v>0</v>
      </c>
      <c r="BJ13" s="157">
        <f t="shared" si="2"/>
        <v>0</v>
      </c>
      <c r="BL13" s="157">
        <f t="shared" si="15"/>
        <v>0</v>
      </c>
      <c r="BM13" s="157">
        <f t="shared" si="16"/>
        <v>0</v>
      </c>
      <c r="BN13" s="155"/>
      <c r="BO13" s="157">
        <f t="shared" si="17"/>
        <v>0</v>
      </c>
      <c r="BP13" s="157">
        <f t="shared" si="18"/>
        <v>0</v>
      </c>
      <c r="BQ13" s="4"/>
      <c r="BR13" s="157">
        <f t="shared" si="3"/>
        <v>0</v>
      </c>
      <c r="BS13" s="157">
        <f t="shared" si="3"/>
        <v>0</v>
      </c>
      <c r="BT13" s="157">
        <f t="shared" si="3"/>
        <v>0</v>
      </c>
      <c r="BU13" s="157">
        <f t="shared" si="3"/>
        <v>0</v>
      </c>
      <c r="BV13" s="157">
        <f t="shared" si="3"/>
        <v>0</v>
      </c>
      <c r="BW13" s="157">
        <f t="shared" si="3"/>
        <v>0</v>
      </c>
      <c r="BX13" s="157">
        <f t="shared" si="3"/>
        <v>0</v>
      </c>
      <c r="BY13" s="157">
        <f t="shared" si="3"/>
        <v>0</v>
      </c>
      <c r="BZ13" s="157">
        <f t="shared" si="3"/>
        <v>0</v>
      </c>
      <c r="CA13" s="157">
        <f t="shared" si="3"/>
        <v>0</v>
      </c>
      <c r="CC13" s="157">
        <f t="shared" si="19"/>
        <v>0</v>
      </c>
      <c r="CD13" s="157">
        <f t="shared" si="20"/>
        <v>0</v>
      </c>
      <c r="CE13" s="155"/>
      <c r="CF13" s="157">
        <f t="shared" si="21"/>
        <v>0</v>
      </c>
      <c r="CG13" s="157">
        <f t="shared" si="22"/>
        <v>0</v>
      </c>
      <c r="CH13" s="4"/>
      <c r="CI13" s="157">
        <f t="shared" si="4"/>
        <v>0</v>
      </c>
      <c r="CJ13" s="157">
        <f t="shared" si="4"/>
        <v>0</v>
      </c>
      <c r="CK13" s="157">
        <f t="shared" si="4"/>
        <v>0</v>
      </c>
      <c r="CL13" s="157">
        <f t="shared" si="4"/>
        <v>0</v>
      </c>
      <c r="CM13" s="157">
        <f t="shared" si="4"/>
        <v>0</v>
      </c>
      <c r="CN13" s="157">
        <f t="shared" si="4"/>
        <v>0</v>
      </c>
      <c r="CO13" s="157">
        <f t="shared" si="4"/>
        <v>0</v>
      </c>
      <c r="CP13" s="157">
        <f t="shared" si="4"/>
        <v>0</v>
      </c>
      <c r="CQ13" s="157">
        <f t="shared" si="4"/>
        <v>0</v>
      </c>
      <c r="CR13" s="157">
        <f t="shared" si="4"/>
        <v>0</v>
      </c>
      <c r="CT13" s="157">
        <f t="shared" si="23"/>
        <v>0</v>
      </c>
      <c r="CU13" s="157">
        <f t="shared" si="24"/>
        <v>0</v>
      </c>
      <c r="CV13" s="155"/>
      <c r="CW13" s="157">
        <f t="shared" si="25"/>
        <v>0</v>
      </c>
      <c r="CX13" s="157">
        <f t="shared" si="26"/>
        <v>0</v>
      </c>
      <c r="CY13" s="4"/>
      <c r="CZ13" s="157">
        <f t="shared" si="5"/>
        <v>0</v>
      </c>
      <c r="DA13" s="157">
        <f t="shared" si="5"/>
        <v>0</v>
      </c>
      <c r="DB13" s="157">
        <f t="shared" si="5"/>
        <v>0</v>
      </c>
      <c r="DC13" s="157">
        <f t="shared" si="5"/>
        <v>0</v>
      </c>
      <c r="DD13" s="157">
        <f t="shared" si="5"/>
        <v>0</v>
      </c>
      <c r="DE13" s="157">
        <f t="shared" si="5"/>
        <v>0</v>
      </c>
      <c r="DF13" s="157">
        <f t="shared" si="5"/>
        <v>0</v>
      </c>
      <c r="DG13" s="157">
        <f t="shared" si="5"/>
        <v>0</v>
      </c>
      <c r="DH13" s="157">
        <f t="shared" si="5"/>
        <v>0</v>
      </c>
      <c r="DI13" s="157">
        <f t="shared" si="5"/>
        <v>0</v>
      </c>
    </row>
    <row r="14" spans="1:113" x14ac:dyDescent="0.25">
      <c r="A14">
        <f t="shared" si="6"/>
        <v>9</v>
      </c>
      <c r="B14" s="11" t="s">
        <v>129</v>
      </c>
      <c r="C14" s="158">
        <v>1.5218927501558266</v>
      </c>
      <c r="D14" s="17">
        <v>2.1304739591087882</v>
      </c>
      <c r="E14" s="155"/>
      <c r="F14" s="162">
        <v>0.49427718083325173</v>
      </c>
      <c r="G14" s="17">
        <v>0.65707361000087205</v>
      </c>
      <c r="H14" s="4"/>
      <c r="I14" s="167">
        <v>0.10067601462541739</v>
      </c>
      <c r="J14" s="17">
        <v>0.13672463042834865</v>
      </c>
      <c r="K14" s="167">
        <v>3.3509371826456129E-2</v>
      </c>
      <c r="L14" s="17">
        <v>4.5190823685764138E-2</v>
      </c>
      <c r="M14" s="167">
        <v>5.0237778161910281E-2</v>
      </c>
      <c r="N14" s="17">
        <v>6.5383833741391562E-2</v>
      </c>
      <c r="O14" s="168">
        <v>2.5399429198891938E-3</v>
      </c>
      <c r="P14" s="17">
        <v>3.8713033595242528E-3</v>
      </c>
      <c r="Q14" s="167">
        <v>1.4388921717161812E-2</v>
      </c>
      <c r="R14" s="17">
        <v>2.2278669641668664E-2</v>
      </c>
      <c r="S14" s="3"/>
      <c r="T14" s="104">
        <f t="shared" si="0"/>
        <v>1.4978764566840159</v>
      </c>
      <c r="U14" s="105">
        <f t="shared" si="0"/>
        <v>1.9912209765975699</v>
      </c>
      <c r="V14" s="134"/>
      <c r="W14" s="3">
        <v>0.32998527924491028</v>
      </c>
      <c r="X14" s="172">
        <f>+'I-O'!BO11/'I-O'!BO$75</f>
        <v>0</v>
      </c>
      <c r="Y14" s="172">
        <f>+'I-O'!BP11/'I-O'!BP$75</f>
        <v>0</v>
      </c>
      <c r="Z14" s="172">
        <f>+'I-O'!BT11/'I-O'!BT$75</f>
        <v>0</v>
      </c>
      <c r="AA14" s="172">
        <f>+'I-O'!BU11/'I-O'!BU$75</f>
        <v>0</v>
      </c>
      <c r="AB14" s="172">
        <f>+'I-O'!BW11/'I-O'!BW$75</f>
        <v>0</v>
      </c>
      <c r="AC14" s="134"/>
      <c r="AD14" s="157">
        <f t="shared" si="7"/>
        <v>0</v>
      </c>
      <c r="AE14" s="157">
        <f t="shared" si="8"/>
        <v>0</v>
      </c>
      <c r="AF14" s="155"/>
      <c r="AG14" s="157">
        <f t="shared" si="9"/>
        <v>0</v>
      </c>
      <c r="AH14" s="157">
        <f t="shared" si="10"/>
        <v>0</v>
      </c>
      <c r="AI14" s="4"/>
      <c r="AJ14" s="157">
        <f t="shared" si="10"/>
        <v>0</v>
      </c>
      <c r="AK14" s="157">
        <f t="shared" si="1"/>
        <v>0</v>
      </c>
      <c r="AL14" s="157">
        <f t="shared" si="1"/>
        <v>0</v>
      </c>
      <c r="AM14" s="157">
        <f t="shared" si="1"/>
        <v>0</v>
      </c>
      <c r="AN14" s="157">
        <f t="shared" si="1"/>
        <v>0</v>
      </c>
      <c r="AO14" s="157">
        <f t="shared" si="1"/>
        <v>0</v>
      </c>
      <c r="AP14" s="157">
        <f t="shared" si="1"/>
        <v>0</v>
      </c>
      <c r="AQ14" s="157">
        <f t="shared" si="1"/>
        <v>0</v>
      </c>
      <c r="AR14" s="157">
        <f t="shared" si="1"/>
        <v>0</v>
      </c>
      <c r="AS14" s="157">
        <f t="shared" si="1"/>
        <v>0</v>
      </c>
      <c r="AT14" s="134"/>
      <c r="AU14" s="157">
        <f t="shared" si="11"/>
        <v>0</v>
      </c>
      <c r="AV14" s="157">
        <f t="shared" si="12"/>
        <v>0</v>
      </c>
      <c r="AW14" s="155"/>
      <c r="AX14" s="157">
        <f t="shared" si="13"/>
        <v>0</v>
      </c>
      <c r="AY14" s="157">
        <f t="shared" si="14"/>
        <v>0</v>
      </c>
      <c r="AZ14" s="4"/>
      <c r="BA14" s="157">
        <f t="shared" si="2"/>
        <v>0</v>
      </c>
      <c r="BB14" s="157">
        <f t="shared" si="2"/>
        <v>0</v>
      </c>
      <c r="BC14" s="157">
        <f t="shared" si="2"/>
        <v>0</v>
      </c>
      <c r="BD14" s="157">
        <f t="shared" si="2"/>
        <v>0</v>
      </c>
      <c r="BE14" s="157">
        <f t="shared" si="2"/>
        <v>0</v>
      </c>
      <c r="BF14" s="157">
        <f t="shared" si="2"/>
        <v>0</v>
      </c>
      <c r="BG14" s="157">
        <f t="shared" si="2"/>
        <v>0</v>
      </c>
      <c r="BH14" s="157">
        <f t="shared" si="2"/>
        <v>0</v>
      </c>
      <c r="BI14" s="157">
        <f t="shared" si="2"/>
        <v>0</v>
      </c>
      <c r="BJ14" s="157">
        <f t="shared" si="2"/>
        <v>0</v>
      </c>
      <c r="BL14" s="157">
        <f t="shared" si="15"/>
        <v>0</v>
      </c>
      <c r="BM14" s="157">
        <f t="shared" si="16"/>
        <v>0</v>
      </c>
      <c r="BN14" s="155"/>
      <c r="BO14" s="157">
        <f t="shared" si="17"/>
        <v>0</v>
      </c>
      <c r="BP14" s="157">
        <f t="shared" si="18"/>
        <v>0</v>
      </c>
      <c r="BQ14" s="4"/>
      <c r="BR14" s="157">
        <f t="shared" si="3"/>
        <v>0</v>
      </c>
      <c r="BS14" s="157">
        <f t="shared" si="3"/>
        <v>0</v>
      </c>
      <c r="BT14" s="157">
        <f t="shared" si="3"/>
        <v>0</v>
      </c>
      <c r="BU14" s="157">
        <f t="shared" si="3"/>
        <v>0</v>
      </c>
      <c r="BV14" s="157">
        <f t="shared" si="3"/>
        <v>0</v>
      </c>
      <c r="BW14" s="157">
        <f t="shared" si="3"/>
        <v>0</v>
      </c>
      <c r="BX14" s="157">
        <f t="shared" si="3"/>
        <v>0</v>
      </c>
      <c r="BY14" s="157">
        <f t="shared" si="3"/>
        <v>0</v>
      </c>
      <c r="BZ14" s="157">
        <f t="shared" si="3"/>
        <v>0</v>
      </c>
      <c r="CA14" s="157">
        <f t="shared" si="3"/>
        <v>0</v>
      </c>
      <c r="CC14" s="157">
        <f t="shared" si="19"/>
        <v>0</v>
      </c>
      <c r="CD14" s="157">
        <f t="shared" si="20"/>
        <v>0</v>
      </c>
      <c r="CE14" s="155"/>
      <c r="CF14" s="157">
        <f t="shared" si="21"/>
        <v>0</v>
      </c>
      <c r="CG14" s="157">
        <f t="shared" si="22"/>
        <v>0</v>
      </c>
      <c r="CH14" s="4"/>
      <c r="CI14" s="157">
        <f t="shared" si="4"/>
        <v>0</v>
      </c>
      <c r="CJ14" s="157">
        <f t="shared" si="4"/>
        <v>0</v>
      </c>
      <c r="CK14" s="157">
        <f t="shared" si="4"/>
        <v>0</v>
      </c>
      <c r="CL14" s="157">
        <f t="shared" si="4"/>
        <v>0</v>
      </c>
      <c r="CM14" s="157">
        <f t="shared" si="4"/>
        <v>0</v>
      </c>
      <c r="CN14" s="157">
        <f t="shared" si="4"/>
        <v>0</v>
      </c>
      <c r="CO14" s="157">
        <f t="shared" si="4"/>
        <v>0</v>
      </c>
      <c r="CP14" s="157">
        <f t="shared" si="4"/>
        <v>0</v>
      </c>
      <c r="CQ14" s="157">
        <f t="shared" si="4"/>
        <v>0</v>
      </c>
      <c r="CR14" s="157">
        <f t="shared" si="4"/>
        <v>0</v>
      </c>
      <c r="CT14" s="157">
        <f t="shared" si="23"/>
        <v>0</v>
      </c>
      <c r="CU14" s="157">
        <f t="shared" si="24"/>
        <v>0</v>
      </c>
      <c r="CV14" s="155"/>
      <c r="CW14" s="157">
        <f t="shared" si="25"/>
        <v>0</v>
      </c>
      <c r="CX14" s="157">
        <f t="shared" si="26"/>
        <v>0</v>
      </c>
      <c r="CY14" s="4"/>
      <c r="CZ14" s="157">
        <f t="shared" si="5"/>
        <v>0</v>
      </c>
      <c r="DA14" s="157">
        <f t="shared" si="5"/>
        <v>0</v>
      </c>
      <c r="DB14" s="157">
        <f t="shared" si="5"/>
        <v>0</v>
      </c>
      <c r="DC14" s="157">
        <f t="shared" si="5"/>
        <v>0</v>
      </c>
      <c r="DD14" s="157">
        <f t="shared" si="5"/>
        <v>0</v>
      </c>
      <c r="DE14" s="157">
        <f t="shared" si="5"/>
        <v>0</v>
      </c>
      <c r="DF14" s="157">
        <f t="shared" si="5"/>
        <v>0</v>
      </c>
      <c r="DG14" s="157">
        <f t="shared" si="5"/>
        <v>0</v>
      </c>
      <c r="DH14" s="157">
        <f t="shared" si="5"/>
        <v>0</v>
      </c>
      <c r="DI14" s="157">
        <f t="shared" si="5"/>
        <v>0</v>
      </c>
    </row>
    <row r="15" spans="1:113" x14ac:dyDescent="0.25">
      <c r="A15">
        <f t="shared" si="6"/>
        <v>10</v>
      </c>
      <c r="B15" s="11" t="s">
        <v>130</v>
      </c>
      <c r="C15" s="158">
        <v>1.4720761605955532</v>
      </c>
      <c r="D15" s="17">
        <v>2.0506088352872349</v>
      </c>
      <c r="E15" s="155"/>
      <c r="F15" s="162">
        <v>0.46987237735864446</v>
      </c>
      <c r="G15" s="17">
        <v>0.62463077642035159</v>
      </c>
      <c r="H15" s="4"/>
      <c r="I15" s="167">
        <v>0.10408979275026158</v>
      </c>
      <c r="J15" s="17">
        <v>0.13835851779894223</v>
      </c>
      <c r="K15" s="155">
        <v>3.1724652151661092E-2</v>
      </c>
      <c r="L15" s="17">
        <v>4.2829335452801168E-2</v>
      </c>
      <c r="M15" s="167">
        <v>5.7285192625950276E-2</v>
      </c>
      <c r="N15" s="17">
        <v>7.1683415766131839E-2</v>
      </c>
      <c r="O15" s="168">
        <v>1.9951486762195452E-3</v>
      </c>
      <c r="P15" s="17">
        <v>3.2607735505825321E-3</v>
      </c>
      <c r="Q15" s="167">
        <v>1.3084799296430669E-2</v>
      </c>
      <c r="R15" s="17">
        <v>2.0584993029426624E-2</v>
      </c>
      <c r="S15" s="3"/>
      <c r="T15" s="104">
        <f t="shared" si="0"/>
        <v>1.423919207650205</v>
      </c>
      <c r="U15" s="105">
        <f t="shared" si="0"/>
        <v>1.8929049739723678</v>
      </c>
      <c r="V15" s="134"/>
      <c r="W15" s="3">
        <v>0.32998527924491039</v>
      </c>
      <c r="X15" s="172">
        <f>+'I-O'!BO12/'I-O'!BO$75</f>
        <v>5.6221615909795297E-3</v>
      </c>
      <c r="Y15" s="172">
        <f>+'I-O'!BP12/'I-O'!BP$75</f>
        <v>0</v>
      </c>
      <c r="Z15" s="172">
        <f>+'I-O'!BT12/'I-O'!BT$75</f>
        <v>0</v>
      </c>
      <c r="AA15" s="172">
        <f>+'I-O'!BU12/'I-O'!BU$75</f>
        <v>3.4347756720511068E-3</v>
      </c>
      <c r="AB15" s="172">
        <f>+'I-O'!BW12/'I-O'!BW$75</f>
        <v>0</v>
      </c>
      <c r="AC15" s="134"/>
      <c r="AD15" s="157">
        <f t="shared" si="7"/>
        <v>0</v>
      </c>
      <c r="AE15" s="157">
        <f t="shared" si="8"/>
        <v>0</v>
      </c>
      <c r="AF15" s="155"/>
      <c r="AG15" s="157">
        <f t="shared" si="9"/>
        <v>0</v>
      </c>
      <c r="AH15" s="157">
        <f t="shared" si="10"/>
        <v>0</v>
      </c>
      <c r="AI15" s="4"/>
      <c r="AJ15" s="157">
        <f t="shared" si="10"/>
        <v>0</v>
      </c>
      <c r="AK15" s="157">
        <f t="shared" si="1"/>
        <v>0</v>
      </c>
      <c r="AL15" s="157">
        <f t="shared" si="1"/>
        <v>0</v>
      </c>
      <c r="AM15" s="157">
        <f t="shared" si="1"/>
        <v>0</v>
      </c>
      <c r="AN15" s="157">
        <f t="shared" si="1"/>
        <v>0</v>
      </c>
      <c r="AO15" s="157">
        <f t="shared" si="1"/>
        <v>0</v>
      </c>
      <c r="AP15" s="157">
        <f t="shared" si="1"/>
        <v>0</v>
      </c>
      <c r="AQ15" s="157">
        <f t="shared" si="1"/>
        <v>0</v>
      </c>
      <c r="AR15" s="157">
        <f t="shared" si="1"/>
        <v>0</v>
      </c>
      <c r="AS15" s="157">
        <f t="shared" si="1"/>
        <v>0</v>
      </c>
      <c r="AT15" s="134"/>
      <c r="AU15" s="157">
        <f t="shared" si="11"/>
        <v>0</v>
      </c>
      <c r="AV15" s="157">
        <f t="shared" si="12"/>
        <v>0</v>
      </c>
      <c r="AW15" s="155"/>
      <c r="AX15" s="157">
        <f t="shared" si="13"/>
        <v>0</v>
      </c>
      <c r="AY15" s="157">
        <f t="shared" si="14"/>
        <v>0</v>
      </c>
      <c r="AZ15" s="4"/>
      <c r="BA15" s="157">
        <f t="shared" si="2"/>
        <v>0</v>
      </c>
      <c r="BB15" s="157">
        <f t="shared" si="2"/>
        <v>0</v>
      </c>
      <c r="BC15" s="157">
        <f t="shared" si="2"/>
        <v>0</v>
      </c>
      <c r="BD15" s="157">
        <f t="shared" si="2"/>
        <v>0</v>
      </c>
      <c r="BE15" s="157">
        <f t="shared" si="2"/>
        <v>0</v>
      </c>
      <c r="BF15" s="157">
        <f t="shared" si="2"/>
        <v>0</v>
      </c>
      <c r="BG15" s="157">
        <f t="shared" si="2"/>
        <v>0</v>
      </c>
      <c r="BH15" s="157">
        <f t="shared" si="2"/>
        <v>0</v>
      </c>
      <c r="BI15" s="157">
        <f t="shared" si="2"/>
        <v>0</v>
      </c>
      <c r="BJ15" s="157">
        <f t="shared" si="2"/>
        <v>0</v>
      </c>
      <c r="BL15" s="157">
        <f t="shared" si="15"/>
        <v>0</v>
      </c>
      <c r="BM15" s="157">
        <f t="shared" si="16"/>
        <v>0</v>
      </c>
      <c r="BN15" s="155"/>
      <c r="BO15" s="157">
        <f t="shared" si="17"/>
        <v>0</v>
      </c>
      <c r="BP15" s="157">
        <f t="shared" si="18"/>
        <v>0</v>
      </c>
      <c r="BQ15" s="4"/>
      <c r="BR15" s="157">
        <f t="shared" si="3"/>
        <v>0</v>
      </c>
      <c r="BS15" s="157">
        <f t="shared" si="3"/>
        <v>0</v>
      </c>
      <c r="BT15" s="157">
        <f t="shared" si="3"/>
        <v>0</v>
      </c>
      <c r="BU15" s="157">
        <f t="shared" si="3"/>
        <v>0</v>
      </c>
      <c r="BV15" s="157">
        <f t="shared" si="3"/>
        <v>0</v>
      </c>
      <c r="BW15" s="157">
        <f t="shared" si="3"/>
        <v>0</v>
      </c>
      <c r="BX15" s="157">
        <f t="shared" si="3"/>
        <v>0</v>
      </c>
      <c r="BY15" s="157">
        <f t="shared" si="3"/>
        <v>0</v>
      </c>
      <c r="BZ15" s="157">
        <f t="shared" si="3"/>
        <v>0</v>
      </c>
      <c r="CA15" s="157">
        <f t="shared" si="3"/>
        <v>0</v>
      </c>
      <c r="CC15" s="157">
        <f t="shared" si="19"/>
        <v>0</v>
      </c>
      <c r="CD15" s="157">
        <f t="shared" si="20"/>
        <v>0</v>
      </c>
      <c r="CE15" s="155"/>
      <c r="CF15" s="157">
        <f t="shared" si="21"/>
        <v>0</v>
      </c>
      <c r="CG15" s="157">
        <f t="shared" si="22"/>
        <v>0</v>
      </c>
      <c r="CH15" s="4"/>
      <c r="CI15" s="157">
        <f t="shared" si="4"/>
        <v>0</v>
      </c>
      <c r="CJ15" s="157">
        <f t="shared" si="4"/>
        <v>0</v>
      </c>
      <c r="CK15" s="157">
        <f t="shared" si="4"/>
        <v>0</v>
      </c>
      <c r="CL15" s="157">
        <f t="shared" si="4"/>
        <v>0</v>
      </c>
      <c r="CM15" s="157">
        <f t="shared" si="4"/>
        <v>0</v>
      </c>
      <c r="CN15" s="157">
        <f t="shared" si="4"/>
        <v>0</v>
      </c>
      <c r="CO15" s="157">
        <f t="shared" si="4"/>
        <v>0</v>
      </c>
      <c r="CP15" s="157">
        <f t="shared" si="4"/>
        <v>0</v>
      </c>
      <c r="CQ15" s="157">
        <f t="shared" si="4"/>
        <v>0</v>
      </c>
      <c r="CR15" s="157">
        <f t="shared" si="4"/>
        <v>0</v>
      </c>
      <c r="CT15" s="157">
        <f t="shared" si="23"/>
        <v>0</v>
      </c>
      <c r="CU15" s="157">
        <f t="shared" si="24"/>
        <v>0</v>
      </c>
      <c r="CV15" s="155"/>
      <c r="CW15" s="157">
        <f t="shared" si="25"/>
        <v>0</v>
      </c>
      <c r="CX15" s="157">
        <f t="shared" si="26"/>
        <v>0</v>
      </c>
      <c r="CY15" s="4"/>
      <c r="CZ15" s="157">
        <f t="shared" si="5"/>
        <v>0</v>
      </c>
      <c r="DA15" s="157">
        <f t="shared" si="5"/>
        <v>0</v>
      </c>
      <c r="DB15" s="157">
        <f t="shared" si="5"/>
        <v>0</v>
      </c>
      <c r="DC15" s="157">
        <f t="shared" si="5"/>
        <v>0</v>
      </c>
      <c r="DD15" s="157">
        <f t="shared" si="5"/>
        <v>0</v>
      </c>
      <c r="DE15" s="157">
        <f t="shared" si="5"/>
        <v>0</v>
      </c>
      <c r="DF15" s="157">
        <f t="shared" si="5"/>
        <v>0</v>
      </c>
      <c r="DG15" s="157">
        <f t="shared" si="5"/>
        <v>0</v>
      </c>
      <c r="DH15" s="157">
        <f t="shared" si="5"/>
        <v>0</v>
      </c>
      <c r="DI15" s="157">
        <f t="shared" si="5"/>
        <v>0</v>
      </c>
    </row>
    <row r="16" spans="1:113" x14ac:dyDescent="0.25">
      <c r="A16">
        <f t="shared" si="6"/>
        <v>11</v>
      </c>
      <c r="B16" s="11" t="s">
        <v>131</v>
      </c>
      <c r="C16" s="158">
        <v>1.5958612633694813</v>
      </c>
      <c r="D16" s="17">
        <v>2.1138049862414361</v>
      </c>
      <c r="E16" s="155"/>
      <c r="F16" s="162">
        <v>0.42066327288001554</v>
      </c>
      <c r="G16" s="17">
        <v>0.55921403217540344</v>
      </c>
      <c r="H16" s="4"/>
      <c r="I16" s="155">
        <v>6.4371557676550742E-2</v>
      </c>
      <c r="J16" s="17">
        <v>9.5051365069016874E-2</v>
      </c>
      <c r="K16" s="155">
        <v>3.1255458059976059E-2</v>
      </c>
      <c r="L16" s="17">
        <v>4.1197162758628968E-2</v>
      </c>
      <c r="M16" s="155">
        <v>1.5719985331217257E-2</v>
      </c>
      <c r="N16" s="17">
        <v>2.861030185472407E-2</v>
      </c>
      <c r="O16" s="169">
        <v>3.8267073832449175E-3</v>
      </c>
      <c r="P16" s="17">
        <v>4.9597850603808951E-3</v>
      </c>
      <c r="Q16" s="155">
        <v>1.356940690211253E-2</v>
      </c>
      <c r="R16" s="17">
        <v>2.0284115395282937E-2</v>
      </c>
      <c r="S16" s="3"/>
      <c r="T16" s="104">
        <f t="shared" si="0"/>
        <v>1.838756191062235</v>
      </c>
      <c r="U16" s="105">
        <f t="shared" si="0"/>
        <v>2.4443737546935451</v>
      </c>
      <c r="V16" s="166"/>
      <c r="W16" s="3">
        <v>0.22877599266545592</v>
      </c>
      <c r="X16" s="172">
        <f>+'I-O'!BO13/'I-O'!BO$75</f>
        <v>3.7793375946764685E-3</v>
      </c>
      <c r="Y16" s="172">
        <f>+'I-O'!BP13/'I-O'!BP$75</f>
        <v>1.623221070851546E-3</v>
      </c>
      <c r="Z16" s="172">
        <f>+'I-O'!BT13/'I-O'!BT$75</f>
        <v>1.4020593080825397E-3</v>
      </c>
      <c r="AA16" s="172">
        <f>+'I-O'!BU13/'I-O'!BU$75</f>
        <v>4.9205335784685783E-4</v>
      </c>
      <c r="AB16" s="172">
        <f>+'I-O'!BW13/'I-O'!BW$75</f>
        <v>1.914808233437528E-4</v>
      </c>
      <c r="AC16" s="134"/>
      <c r="AD16" s="157">
        <f t="shared" si="7"/>
        <v>8.2762500490969337E-3</v>
      </c>
      <c r="AE16" s="157">
        <f t="shared" si="8"/>
        <v>1.1528854231875161E-2</v>
      </c>
      <c r="AF16" s="155"/>
      <c r="AG16" s="157">
        <f t="shared" si="9"/>
        <v>2.6416984326480103E-3</v>
      </c>
      <c r="AH16" s="157">
        <f t="shared" si="10"/>
        <v>3.5117751597342228E-3</v>
      </c>
      <c r="AI16" s="4"/>
      <c r="AJ16" s="157">
        <f t="shared" si="10"/>
        <v>5.8520963481354011E-4</v>
      </c>
      <c r="AK16" s="157">
        <f t="shared" si="1"/>
        <v>7.7787394455407059E-4</v>
      </c>
      <c r="AL16" s="157">
        <f t="shared" si="1"/>
        <v>1.7836112081425509E-4</v>
      </c>
      <c r="AM16" s="157">
        <f t="shared" si="1"/>
        <v>2.4079344474991658E-4</v>
      </c>
      <c r="AN16" s="157">
        <f t="shared" si="1"/>
        <v>3.2206660971348145E-4</v>
      </c>
      <c r="AO16" s="157">
        <f t="shared" si="1"/>
        <v>4.0301574683056289E-4</v>
      </c>
      <c r="AP16" s="157">
        <f t="shared" si="1"/>
        <v>1.121704825573518E-5</v>
      </c>
      <c r="AQ16" s="157">
        <f t="shared" si="1"/>
        <v>1.8332595812967058E-5</v>
      </c>
      <c r="AR16" s="157">
        <f t="shared" si="1"/>
        <v>7.3564856030068488E-5</v>
      </c>
      <c r="AS16" s="157">
        <f t="shared" si="1"/>
        <v>1.1573215716062372E-4</v>
      </c>
      <c r="AT16" s="134"/>
      <c r="AU16" s="157">
        <f t="shared" si="11"/>
        <v>0</v>
      </c>
      <c r="AV16" s="157">
        <f t="shared" si="12"/>
        <v>0</v>
      </c>
      <c r="AW16" s="155"/>
      <c r="AX16" s="157">
        <f t="shared" si="13"/>
        <v>0</v>
      </c>
      <c r="AY16" s="157">
        <f t="shared" si="14"/>
        <v>0</v>
      </c>
      <c r="AZ16" s="4"/>
      <c r="BA16" s="157">
        <f t="shared" si="2"/>
        <v>0</v>
      </c>
      <c r="BB16" s="157">
        <f t="shared" si="2"/>
        <v>0</v>
      </c>
      <c r="BC16" s="157">
        <f t="shared" si="2"/>
        <v>0</v>
      </c>
      <c r="BD16" s="157">
        <f t="shared" si="2"/>
        <v>0</v>
      </c>
      <c r="BE16" s="157">
        <f t="shared" si="2"/>
        <v>0</v>
      </c>
      <c r="BF16" s="157">
        <f t="shared" si="2"/>
        <v>0</v>
      </c>
      <c r="BG16" s="157">
        <f t="shared" si="2"/>
        <v>0</v>
      </c>
      <c r="BH16" s="157">
        <f t="shared" si="2"/>
        <v>0</v>
      </c>
      <c r="BI16" s="157">
        <f t="shared" si="2"/>
        <v>0</v>
      </c>
      <c r="BJ16" s="157">
        <f t="shared" si="2"/>
        <v>0</v>
      </c>
      <c r="BL16" s="157">
        <f t="shared" si="15"/>
        <v>0</v>
      </c>
      <c r="BM16" s="157">
        <f t="shared" si="16"/>
        <v>0</v>
      </c>
      <c r="BN16" s="155"/>
      <c r="BO16" s="157">
        <f t="shared" si="17"/>
        <v>0</v>
      </c>
      <c r="BP16" s="157">
        <f t="shared" si="18"/>
        <v>0</v>
      </c>
      <c r="BQ16" s="4"/>
      <c r="BR16" s="157">
        <f t="shared" si="3"/>
        <v>0</v>
      </c>
      <c r="BS16" s="157">
        <f t="shared" si="3"/>
        <v>0</v>
      </c>
      <c r="BT16" s="157">
        <f t="shared" si="3"/>
        <v>0</v>
      </c>
      <c r="BU16" s="157">
        <f t="shared" si="3"/>
        <v>0</v>
      </c>
      <c r="BV16" s="157">
        <f t="shared" si="3"/>
        <v>0</v>
      </c>
      <c r="BW16" s="157">
        <f t="shared" si="3"/>
        <v>0</v>
      </c>
      <c r="BX16" s="157">
        <f t="shared" si="3"/>
        <v>0</v>
      </c>
      <c r="BY16" s="157">
        <f t="shared" si="3"/>
        <v>0</v>
      </c>
      <c r="BZ16" s="157">
        <f t="shared" si="3"/>
        <v>0</v>
      </c>
      <c r="CA16" s="157">
        <f t="shared" si="3"/>
        <v>0</v>
      </c>
      <c r="CC16" s="157">
        <f t="shared" si="19"/>
        <v>5.0562513838200047E-3</v>
      </c>
      <c r="CD16" s="157">
        <f t="shared" si="20"/>
        <v>7.04338134033765E-3</v>
      </c>
      <c r="CE16" s="155"/>
      <c r="CF16" s="157">
        <f t="shared" si="21"/>
        <v>1.6139062107202893E-3</v>
      </c>
      <c r="CG16" s="157">
        <f t="shared" si="22"/>
        <v>2.1454665948630177E-3</v>
      </c>
      <c r="CH16" s="4"/>
      <c r="CI16" s="157">
        <f t="shared" si="4"/>
        <v>3.5752508784744013E-4</v>
      </c>
      <c r="CJ16" s="157">
        <f t="shared" si="4"/>
        <v>4.7523047095685683E-4</v>
      </c>
      <c r="CK16" s="157">
        <f t="shared" si="4"/>
        <v>1.0896706341480932E-4</v>
      </c>
      <c r="CL16" s="157">
        <f t="shared" si="4"/>
        <v>1.4710915946339743E-4</v>
      </c>
      <c r="CM16" s="157">
        <f t="shared" si="4"/>
        <v>1.9676178600037546E-4</v>
      </c>
      <c r="CN16" s="157">
        <f t="shared" si="4"/>
        <v>2.4621645256303441E-4</v>
      </c>
      <c r="CO16" s="157">
        <f t="shared" si="4"/>
        <v>6.8528881352038646E-6</v>
      </c>
      <c r="CP16" s="157">
        <f t="shared" si="4"/>
        <v>1.1200025663608591E-5</v>
      </c>
      <c r="CQ16" s="157">
        <f t="shared" si="4"/>
        <v>4.4943350297051504E-5</v>
      </c>
      <c r="CR16" s="157">
        <f t="shared" si="4"/>
        <v>7.0704833266816176E-5</v>
      </c>
      <c r="CT16" s="157">
        <f t="shared" si="23"/>
        <v>0</v>
      </c>
      <c r="CU16" s="157">
        <f t="shared" si="24"/>
        <v>0</v>
      </c>
      <c r="CV16" s="155"/>
      <c r="CW16" s="157">
        <f t="shared" si="25"/>
        <v>0</v>
      </c>
      <c r="CX16" s="157">
        <f t="shared" si="26"/>
        <v>0</v>
      </c>
      <c r="CY16" s="4"/>
      <c r="CZ16" s="157">
        <f t="shared" si="5"/>
        <v>0</v>
      </c>
      <c r="DA16" s="157">
        <f t="shared" si="5"/>
        <v>0</v>
      </c>
      <c r="DB16" s="157">
        <f t="shared" si="5"/>
        <v>0</v>
      </c>
      <c r="DC16" s="157">
        <f t="shared" si="5"/>
        <v>0</v>
      </c>
      <c r="DD16" s="157">
        <f t="shared" si="5"/>
        <v>0</v>
      </c>
      <c r="DE16" s="157">
        <f t="shared" si="5"/>
        <v>0</v>
      </c>
      <c r="DF16" s="157">
        <f t="shared" si="5"/>
        <v>0</v>
      </c>
      <c r="DG16" s="157">
        <f t="shared" si="5"/>
        <v>0</v>
      </c>
      <c r="DH16" s="157">
        <f t="shared" si="5"/>
        <v>0</v>
      </c>
      <c r="DI16" s="157">
        <f t="shared" si="5"/>
        <v>0</v>
      </c>
    </row>
    <row r="17" spans="1:113" x14ac:dyDescent="0.25">
      <c r="A17">
        <f t="shared" si="6"/>
        <v>12</v>
      </c>
      <c r="B17" s="11" t="s">
        <v>132</v>
      </c>
      <c r="C17" s="158">
        <v>1.584110426004363</v>
      </c>
      <c r="D17" s="17">
        <v>2.0003106468762306</v>
      </c>
      <c r="E17" s="155"/>
      <c r="F17" s="162">
        <v>0.33802928649185959</v>
      </c>
      <c r="G17" s="17">
        <v>0.44936349921473673</v>
      </c>
      <c r="H17" s="4"/>
      <c r="I17" s="155">
        <v>5.7266879645789262E-2</v>
      </c>
      <c r="J17" s="17">
        <v>8.1920026405147561E-2</v>
      </c>
      <c r="K17" s="155">
        <v>2.5324344115565913E-2</v>
      </c>
      <c r="L17" s="17">
        <v>3.3313126503889484E-2</v>
      </c>
      <c r="M17" s="155">
        <v>1.548177535840266E-2</v>
      </c>
      <c r="N17" s="17">
        <v>2.5839952023704385E-2</v>
      </c>
      <c r="O17" s="169">
        <v>3.118964910430439E-3</v>
      </c>
      <c r="P17" s="17">
        <v>4.0294637902586628E-3</v>
      </c>
      <c r="Q17" s="155">
        <v>1.3341795261390262E-2</v>
      </c>
      <c r="R17" s="17">
        <v>1.8737484087295031E-2</v>
      </c>
      <c r="S17" s="3"/>
      <c r="T17" s="104">
        <f t="shared" si="0"/>
        <v>2.0832193439979538</v>
      </c>
      <c r="U17" s="105">
        <f t="shared" si="0"/>
        <v>2.7693539331045289</v>
      </c>
      <c r="V17" s="166"/>
      <c r="W17" s="3">
        <v>0.16226293571330797</v>
      </c>
      <c r="X17" s="172">
        <f>+'I-O'!BO14/'I-O'!BO$75</f>
        <v>4.270343455452537E-3</v>
      </c>
      <c r="Y17" s="172">
        <f>+'I-O'!BP14/'I-O'!BP$75</f>
        <v>6.7466466840833557E-4</v>
      </c>
      <c r="Z17" s="172">
        <f>+'I-O'!BT14/'I-O'!BT$75</f>
        <v>1.6426879038528186E-3</v>
      </c>
      <c r="AA17" s="172">
        <f>+'I-O'!BU14/'I-O'!BU$75</f>
        <v>3.0036365156085427E-7</v>
      </c>
      <c r="AB17" s="172">
        <f>+'I-O'!BW14/'I-O'!BW$75</f>
        <v>5.5978912812405949E-5</v>
      </c>
      <c r="AC17" s="134"/>
      <c r="AD17" s="157">
        <f t="shared" si="7"/>
        <v>6.0312984685401659E-3</v>
      </c>
      <c r="AE17" s="157">
        <f t="shared" si="8"/>
        <v>7.9887826523168341E-3</v>
      </c>
      <c r="AF17" s="155"/>
      <c r="AG17" s="157">
        <f t="shared" si="9"/>
        <v>1.5898285218950887E-3</v>
      </c>
      <c r="AH17" s="157">
        <f t="shared" si="10"/>
        <v>2.1134586152711187E-3</v>
      </c>
      <c r="AI17" s="4"/>
      <c r="AJ17" s="157">
        <f t="shared" si="10"/>
        <v>2.4328184795487285E-4</v>
      </c>
      <c r="AK17" s="157">
        <f t="shared" si="1"/>
        <v>3.592311974306531E-4</v>
      </c>
      <c r="AL17" s="157">
        <f t="shared" si="1"/>
        <v>1.1812492768490116E-4</v>
      </c>
      <c r="AM17" s="157">
        <f t="shared" si="1"/>
        <v>1.5569798600769178E-4</v>
      </c>
      <c r="AN17" s="157">
        <f t="shared" si="1"/>
        <v>5.9411131550031994E-5</v>
      </c>
      <c r="AO17" s="157">
        <f t="shared" si="1"/>
        <v>1.0812798939460057E-4</v>
      </c>
      <c r="AP17" s="157">
        <f t="shared" si="1"/>
        <v>1.446241907732353E-5</v>
      </c>
      <c r="AQ17" s="157">
        <f t="shared" si="1"/>
        <v>1.8744702140212216E-5</v>
      </c>
      <c r="AR17" s="157">
        <f t="shared" si="1"/>
        <v>5.1283369642616236E-5</v>
      </c>
      <c r="AS17" s="157">
        <f t="shared" si="1"/>
        <v>7.6660519888148537E-5</v>
      </c>
      <c r="AT17" s="134"/>
      <c r="AU17" s="157">
        <f t="shared" si="11"/>
        <v>2.5904356288571104E-3</v>
      </c>
      <c r="AV17" s="157">
        <f t="shared" si="12"/>
        <v>3.4311727933381614E-3</v>
      </c>
      <c r="AW17" s="155"/>
      <c r="AX17" s="157">
        <f t="shared" si="13"/>
        <v>6.828294882722149E-4</v>
      </c>
      <c r="AY17" s="157">
        <f t="shared" si="14"/>
        <v>9.077280001429693E-4</v>
      </c>
      <c r="AZ17" s="4"/>
      <c r="BA17" s="157">
        <f t="shared" si="2"/>
        <v>1.0448926878411275E-4</v>
      </c>
      <c r="BB17" s="157">
        <f t="shared" si="2"/>
        <v>1.5428937859323079E-4</v>
      </c>
      <c r="BC17" s="157">
        <f t="shared" si="2"/>
        <v>5.0734518102069919E-5</v>
      </c>
      <c r="BD17" s="157">
        <f t="shared" si="2"/>
        <v>6.6872102649107143E-5</v>
      </c>
      <c r="BE17" s="157">
        <f t="shared" si="2"/>
        <v>2.5517011423109071E-5</v>
      </c>
      <c r="BF17" s="157">
        <f t="shared" si="2"/>
        <v>4.6440844814011176E-5</v>
      </c>
      <c r="BG17" s="157">
        <f t="shared" si="2"/>
        <v>6.2115920564663322E-6</v>
      </c>
      <c r="BH17" s="157">
        <f t="shared" si="2"/>
        <v>8.0508276169049762E-6</v>
      </c>
      <c r="BI17" s="157">
        <f t="shared" si="2"/>
        <v>2.2026147202467459E-5</v>
      </c>
      <c r="BJ17" s="157">
        <f t="shared" si="2"/>
        <v>3.2925603513207502E-5</v>
      </c>
      <c r="BL17" s="157">
        <f t="shared" si="15"/>
        <v>2.2374921387155427E-3</v>
      </c>
      <c r="BM17" s="157">
        <f t="shared" si="16"/>
        <v>2.9636799564310905E-3</v>
      </c>
      <c r="BN17" s="155"/>
      <c r="BO17" s="157">
        <f t="shared" si="17"/>
        <v>5.8979485730989119E-4</v>
      </c>
      <c r="BP17" s="157">
        <f t="shared" si="18"/>
        <v>7.8405123902189323E-4</v>
      </c>
      <c r="BQ17" s="4"/>
      <c r="BR17" s="157">
        <f t="shared" si="3"/>
        <v>9.0252741616180036E-5</v>
      </c>
      <c r="BS17" s="157">
        <f t="shared" si="3"/>
        <v>1.3326765114096668E-4</v>
      </c>
      <c r="BT17" s="157">
        <f t="shared" si="3"/>
        <v>4.3822005901372871E-5</v>
      </c>
      <c r="BU17" s="157">
        <f t="shared" si="3"/>
        <v>5.7760865512327101E-5</v>
      </c>
      <c r="BV17" s="157">
        <f t="shared" si="3"/>
        <v>2.2040351756554141E-5</v>
      </c>
      <c r="BW17" s="157">
        <f t="shared" si="3"/>
        <v>4.0113340022467031E-5</v>
      </c>
      <c r="BX17" s="157">
        <f t="shared" si="3"/>
        <v>5.3652707059867155E-6</v>
      </c>
      <c r="BY17" s="157">
        <f t="shared" si="3"/>
        <v>6.9539128099957556E-6</v>
      </c>
      <c r="BZ17" s="157">
        <f t="shared" si="3"/>
        <v>1.9025113252266331E-5</v>
      </c>
      <c r="CA17" s="157">
        <f t="shared" si="3"/>
        <v>2.8439532796176786E-5</v>
      </c>
      <c r="CC17" s="157">
        <f t="shared" si="19"/>
        <v>7.8524889329868199E-4</v>
      </c>
      <c r="CD17" s="157">
        <f t="shared" si="20"/>
        <v>1.0401048413135297E-3</v>
      </c>
      <c r="CE17" s="155"/>
      <c r="CF17" s="157">
        <f t="shared" si="21"/>
        <v>2.0698877594346068E-4</v>
      </c>
      <c r="CG17" s="157">
        <f t="shared" si="22"/>
        <v>2.7516314228698805E-4</v>
      </c>
      <c r="CH17" s="4"/>
      <c r="CI17" s="157">
        <f t="shared" si="4"/>
        <v>3.1674241104579473E-5</v>
      </c>
      <c r="CJ17" s="157">
        <f t="shared" si="4"/>
        <v>4.6770343350137284E-5</v>
      </c>
      <c r="CK17" s="157">
        <f t="shared" si="4"/>
        <v>1.5379353089452858E-5</v>
      </c>
      <c r="CL17" s="157">
        <f t="shared" si="4"/>
        <v>2.0271202269146903E-5</v>
      </c>
      <c r="CM17" s="157">
        <f t="shared" si="4"/>
        <v>7.7350715675288007E-6</v>
      </c>
      <c r="CN17" s="157">
        <f t="shared" si="4"/>
        <v>1.4077795096629163E-5</v>
      </c>
      <c r="CO17" s="157">
        <f t="shared" si="4"/>
        <v>1.8829442174230243E-6</v>
      </c>
      <c r="CP17" s="157">
        <f t="shared" si="4"/>
        <v>2.4404788931591001E-6</v>
      </c>
      <c r="CQ17" s="157">
        <f t="shared" si="4"/>
        <v>6.6768722301747995E-6</v>
      </c>
      <c r="CR17" s="157">
        <f t="shared" si="4"/>
        <v>9.9808670912021137E-6</v>
      </c>
      <c r="CT17" s="157">
        <f t="shared" si="23"/>
        <v>3.0557682865238982E-4</v>
      </c>
      <c r="CU17" s="157">
        <f t="shared" si="24"/>
        <v>4.0475311915364023E-4</v>
      </c>
      <c r="CV17" s="155"/>
      <c r="CW17" s="157">
        <f t="shared" si="25"/>
        <v>8.0548949841543135E-5</v>
      </c>
      <c r="CX17" s="157">
        <f t="shared" si="26"/>
        <v>1.0707876330632613E-4</v>
      </c>
      <c r="CY17" s="4"/>
      <c r="CZ17" s="157">
        <f t="shared" si="5"/>
        <v>1.2325918863825807E-5</v>
      </c>
      <c r="DA17" s="157">
        <f t="shared" si="5"/>
        <v>1.8200513643362976E-5</v>
      </c>
      <c r="DB17" s="157">
        <f t="shared" si="5"/>
        <v>5.9848208433103505E-6</v>
      </c>
      <c r="DC17" s="157">
        <f t="shared" si="5"/>
        <v>7.8884666444488644E-6</v>
      </c>
      <c r="DD17" s="157">
        <f t="shared" si="5"/>
        <v>3.0100757341731971E-6</v>
      </c>
      <c r="DE17" s="157">
        <f t="shared" si="5"/>
        <v>5.4783241552558626E-6</v>
      </c>
      <c r="DF17" s="157">
        <f t="shared" si="5"/>
        <v>7.3274108043935454E-7</v>
      </c>
      <c r="DG17" s="157">
        <f t="shared" si="5"/>
        <v>9.4970372696977845E-7</v>
      </c>
      <c r="DH17" s="157">
        <f t="shared" si="5"/>
        <v>2.5982812059029092E-6</v>
      </c>
      <c r="DI17" s="157">
        <f t="shared" si="5"/>
        <v>3.8840191166884683E-6</v>
      </c>
    </row>
    <row r="18" spans="1:113" x14ac:dyDescent="0.25">
      <c r="A18">
        <f t="shared" si="6"/>
        <v>13</v>
      </c>
      <c r="B18" s="11" t="s">
        <v>133</v>
      </c>
      <c r="C18" s="158">
        <v>1.4189270336830238</v>
      </c>
      <c r="D18" s="17">
        <v>2.0151392344655013</v>
      </c>
      <c r="E18" s="155"/>
      <c r="F18" s="162">
        <v>0.48423132598550128</v>
      </c>
      <c r="G18" s="17">
        <v>0.64371902604207309</v>
      </c>
      <c r="H18" s="4"/>
      <c r="I18" s="155">
        <v>6.7233142920022984E-2</v>
      </c>
      <c r="J18" s="17">
        <v>0.1025490945906386</v>
      </c>
      <c r="K18" s="155">
        <v>3.7903784307267145E-2</v>
      </c>
      <c r="L18" s="17">
        <v>4.9347818429442795E-2</v>
      </c>
      <c r="M18" s="155">
        <v>1.3692008995461151E-2</v>
      </c>
      <c r="N18" s="17">
        <v>2.8530231072269058E-2</v>
      </c>
      <c r="O18" s="169">
        <v>2.5253249271084866E-3</v>
      </c>
      <c r="P18" s="17">
        <v>3.8296263515892074E-3</v>
      </c>
      <c r="Q18" s="155">
        <v>1.311202469018617E-2</v>
      </c>
      <c r="R18" s="17">
        <v>2.0841418737337573E-2</v>
      </c>
      <c r="S18" s="3"/>
      <c r="T18" s="104">
        <f t="shared" si="0"/>
        <v>1.3667485191701163</v>
      </c>
      <c r="U18" s="105">
        <f t="shared" si="0"/>
        <v>1.816904397529572</v>
      </c>
      <c r="V18" s="166"/>
      <c r="W18" s="3">
        <v>0.35429438495351318</v>
      </c>
      <c r="X18" s="172">
        <f>+'I-O'!BO15/'I-O'!BO$75</f>
        <v>2.5298303411832083E-4</v>
      </c>
      <c r="Y18" s="172">
        <f>+'I-O'!BP15/'I-O'!BP$75</f>
        <v>4.064501185682804E-4</v>
      </c>
      <c r="Z18" s="172">
        <f>+'I-O'!BT15/'I-O'!BT$75</f>
        <v>7.3016842584865059E-5</v>
      </c>
      <c r="AA18" s="172">
        <f>+'I-O'!BU15/'I-O'!BU$75</f>
        <v>1.1622672196942854E-7</v>
      </c>
      <c r="AB18" s="172">
        <f>+'I-O'!BW15/'I-O'!BW$75</f>
        <v>2.1051215394922651E-5</v>
      </c>
      <c r="AC18" s="134"/>
      <c r="AD18" s="157">
        <f t="shared" si="7"/>
        <v>6.7646955904018622E-3</v>
      </c>
      <c r="AE18" s="157">
        <f t="shared" si="8"/>
        <v>8.5420134797599429E-3</v>
      </c>
      <c r="AF18" s="155"/>
      <c r="AG18" s="157">
        <f t="shared" si="9"/>
        <v>1.4435011513218032E-3</v>
      </c>
      <c r="AH18" s="157">
        <f t="shared" si="10"/>
        <v>1.9189364779909023E-3</v>
      </c>
      <c r="AI18" s="4"/>
      <c r="AJ18" s="157">
        <f t="shared" si="10"/>
        <v>2.4454924470958429E-4</v>
      </c>
      <c r="AK18" s="157">
        <f t="shared" si="1"/>
        <v>3.4982664862972092E-4</v>
      </c>
      <c r="AL18" s="157">
        <f t="shared" si="1"/>
        <v>1.0814364715753486E-4</v>
      </c>
      <c r="AM18" s="157">
        <f t="shared" si="1"/>
        <v>1.4225849174654692E-4</v>
      </c>
      <c r="AN18" s="157">
        <f t="shared" si="1"/>
        <v>6.611249808054116E-5</v>
      </c>
      <c r="AO18" s="157">
        <f t="shared" si="1"/>
        <v>1.1034547001363356E-4</v>
      </c>
      <c r="AP18" s="157">
        <f t="shared" si="1"/>
        <v>1.3319051393042734E-5</v>
      </c>
      <c r="AQ18" s="157">
        <f t="shared" si="1"/>
        <v>1.7207194325714055E-5</v>
      </c>
      <c r="AR18" s="157">
        <f t="shared" si="1"/>
        <v>5.6974048078465573E-5</v>
      </c>
      <c r="AS18" s="157">
        <f t="shared" si="1"/>
        <v>8.0015492543826389E-5</v>
      </c>
      <c r="AT18" s="134"/>
      <c r="AU18" s="157">
        <f t="shared" si="11"/>
        <v>1.0687433352824208E-3</v>
      </c>
      <c r="AV18" s="157">
        <f t="shared" si="12"/>
        <v>1.3495389192884153E-3</v>
      </c>
      <c r="AW18" s="155"/>
      <c r="AX18" s="157">
        <f t="shared" si="13"/>
        <v>2.2805641648333672E-4</v>
      </c>
      <c r="AY18" s="157">
        <f t="shared" si="14"/>
        <v>3.0316967619251973E-4</v>
      </c>
      <c r="AZ18" s="4"/>
      <c r="BA18" s="157">
        <f t="shared" si="2"/>
        <v>3.8635940367006477E-5</v>
      </c>
      <c r="BB18" s="157">
        <f t="shared" si="2"/>
        <v>5.5268547450630977E-5</v>
      </c>
      <c r="BC18" s="157">
        <f t="shared" si="2"/>
        <v>1.7085440225386862E-5</v>
      </c>
      <c r="BD18" s="157">
        <f t="shared" si="2"/>
        <v>2.2475189446391535E-5</v>
      </c>
      <c r="BE18" s="157">
        <f t="shared" si="2"/>
        <v>1.0445006838549071E-5</v>
      </c>
      <c r="BF18" s="157">
        <f t="shared" si="2"/>
        <v>1.7433302663759819E-5</v>
      </c>
      <c r="BG18" s="157">
        <f t="shared" si="2"/>
        <v>2.1042554270727861E-6</v>
      </c>
      <c r="BH18" s="157">
        <f t="shared" si="2"/>
        <v>2.718536851918256E-6</v>
      </c>
      <c r="BI18" s="157">
        <f t="shared" si="2"/>
        <v>9.0012378759977631E-6</v>
      </c>
      <c r="BJ18" s="157">
        <f t="shared" si="2"/>
        <v>1.2641518488561367E-5</v>
      </c>
      <c r="BL18" s="157">
        <f t="shared" si="15"/>
        <v>2.6021990351645027E-3</v>
      </c>
      <c r="BM18" s="157">
        <f t="shared" si="16"/>
        <v>3.285886103571591E-3</v>
      </c>
      <c r="BN18" s="155"/>
      <c r="BO18" s="157">
        <f t="shared" si="17"/>
        <v>5.5527662006817676E-4</v>
      </c>
      <c r="BP18" s="157">
        <f t="shared" si="18"/>
        <v>7.3816398459302355E-4</v>
      </c>
      <c r="BQ18" s="4"/>
      <c r="BR18" s="157">
        <f t="shared" si="3"/>
        <v>9.4071610485533207E-5</v>
      </c>
      <c r="BS18" s="157">
        <f t="shared" si="3"/>
        <v>1.3456903645903939E-4</v>
      </c>
      <c r="BT18" s="157">
        <f t="shared" si="3"/>
        <v>4.1599993751646435E-5</v>
      </c>
      <c r="BU18" s="157">
        <f t="shared" si="3"/>
        <v>5.4723069947457993E-5</v>
      </c>
      <c r="BV18" s="157">
        <f t="shared" si="3"/>
        <v>2.5431725111414686E-5</v>
      </c>
      <c r="BW18" s="157">
        <f t="shared" si="3"/>
        <v>4.2446976625476358E-5</v>
      </c>
      <c r="BX18" s="157">
        <f t="shared" si="3"/>
        <v>5.123485930905472E-6</v>
      </c>
      <c r="BY18" s="157">
        <f t="shared" si="3"/>
        <v>6.6191514272708364E-6</v>
      </c>
      <c r="BZ18" s="157">
        <f t="shared" si="3"/>
        <v>2.1916405691566639E-5</v>
      </c>
      <c r="CA18" s="157">
        <f t="shared" si="3"/>
        <v>3.0779838458834221E-5</v>
      </c>
      <c r="CC18" s="157">
        <f t="shared" si="19"/>
        <v>4.7580919203029091E-7</v>
      </c>
      <c r="CD18" s="157">
        <f t="shared" si="20"/>
        <v>6.0082061015179915E-7</v>
      </c>
      <c r="CE18" s="155"/>
      <c r="CF18" s="157">
        <f t="shared" si="21"/>
        <v>1.015317108252051E-7</v>
      </c>
      <c r="CG18" s="157">
        <f t="shared" si="22"/>
        <v>1.3497246150230139E-7</v>
      </c>
      <c r="CH18" s="4"/>
      <c r="CI18" s="157">
        <f t="shared" si="4"/>
        <v>1.7200889083905225E-8</v>
      </c>
      <c r="CJ18" s="157">
        <f t="shared" si="4"/>
        <v>2.4605798267011722E-8</v>
      </c>
      <c r="CK18" s="157">
        <f t="shared" si="4"/>
        <v>7.6065124719350109E-9</v>
      </c>
      <c r="CL18" s="157">
        <f t="shared" si="4"/>
        <v>1.000605232161692E-8</v>
      </c>
      <c r="CM18" s="157">
        <f t="shared" si="4"/>
        <v>4.6501625792946758E-9</v>
      </c>
      <c r="CN18" s="157">
        <f t="shared" si="4"/>
        <v>7.7613823459971351E-9</v>
      </c>
      <c r="CO18" s="157">
        <f t="shared" si="4"/>
        <v>9.3682368958705942E-10</v>
      </c>
      <c r="CP18" s="157">
        <f t="shared" si="4"/>
        <v>1.2103044578743322E-9</v>
      </c>
      <c r="CQ18" s="157">
        <f t="shared" si="4"/>
        <v>4.0073903430884811E-9</v>
      </c>
      <c r="CR18" s="157">
        <f t="shared" si="4"/>
        <v>5.6280591415233358E-9</v>
      </c>
      <c r="CT18" s="157">
        <f t="shared" si="23"/>
        <v>8.8676779422521481E-5</v>
      </c>
      <c r="CU18" s="157">
        <f t="shared" si="24"/>
        <v>1.1197521529921186E-4</v>
      </c>
      <c r="CV18" s="155"/>
      <c r="CW18" s="157">
        <f t="shared" si="25"/>
        <v>1.89225119565676E-5</v>
      </c>
      <c r="CX18" s="157">
        <f t="shared" si="26"/>
        <v>2.5154880143619397E-5</v>
      </c>
      <c r="CY18" s="4"/>
      <c r="CZ18" s="157">
        <f t="shared" si="5"/>
        <v>3.2057376627301819E-6</v>
      </c>
      <c r="DA18" s="157">
        <f t="shared" si="5"/>
        <v>4.5857940157237484E-6</v>
      </c>
      <c r="DB18" s="157">
        <f t="shared" si="5"/>
        <v>1.4176292512766298E-6</v>
      </c>
      <c r="DC18" s="157">
        <f t="shared" si="5"/>
        <v>1.8648326040698792E-6</v>
      </c>
      <c r="DD18" s="157">
        <f t="shared" si="5"/>
        <v>8.6665295296927739E-7</v>
      </c>
      <c r="DE18" s="157">
        <f t="shared" si="5"/>
        <v>1.4464924214117003E-6</v>
      </c>
      <c r="DF18" s="157">
        <f t="shared" si="5"/>
        <v>1.7459626478593907E-7</v>
      </c>
      <c r="DG18" s="157">
        <f t="shared" si="5"/>
        <v>2.255650021956365E-7</v>
      </c>
      <c r="DH18" s="157">
        <f t="shared" si="5"/>
        <v>7.468591936983363E-7</v>
      </c>
      <c r="DI18" s="157">
        <f t="shared" si="5"/>
        <v>1.0489039880465325E-6</v>
      </c>
    </row>
    <row r="19" spans="1:113" x14ac:dyDescent="0.25">
      <c r="A19">
        <f t="shared" si="6"/>
        <v>14</v>
      </c>
      <c r="B19" s="11" t="s">
        <v>134</v>
      </c>
      <c r="C19" s="158">
        <v>1.10107556854338</v>
      </c>
      <c r="D19" s="17">
        <v>1.1596028511722187</v>
      </c>
      <c r="E19" s="155"/>
      <c r="F19" s="162">
        <v>4.753465902995016E-2</v>
      </c>
      <c r="G19" s="17">
        <v>6.3190799049869267E-2</v>
      </c>
      <c r="H19" s="4"/>
      <c r="I19" s="155">
        <v>1.4915458181995711E-2</v>
      </c>
      <c r="J19" s="17">
        <v>1.8382255208322717E-2</v>
      </c>
      <c r="K19" s="155">
        <v>4.0090105561878192E-3</v>
      </c>
      <c r="L19" s="17">
        <v>5.1324163144121915E-3</v>
      </c>
      <c r="M19" s="155">
        <v>1.9467457519423887E-3</v>
      </c>
      <c r="N19" s="17">
        <v>3.4033426079930892E-3</v>
      </c>
      <c r="O19" s="169">
        <v>8.7485216727957698E-4</v>
      </c>
      <c r="P19" s="17">
        <v>1.0028891614967286E-3</v>
      </c>
      <c r="Q19" s="155">
        <v>8.0848497065859337E-3</v>
      </c>
      <c r="R19" s="17">
        <v>8.843607124420701E-3</v>
      </c>
      <c r="S19" s="3"/>
      <c r="T19" s="104">
        <f t="shared" si="0"/>
        <v>2.6567963517582913</v>
      </c>
      <c r="U19" s="105">
        <f t="shared" si="0"/>
        <v>3.5318457690967051</v>
      </c>
      <c r="V19" s="166"/>
      <c r="W19" s="3">
        <v>1.7891720981358359E-2</v>
      </c>
      <c r="X19" s="172">
        <f>+'I-O'!BO16/'I-O'!BO$75</f>
        <v>1.7408396208467011E-2</v>
      </c>
      <c r="Y19" s="172">
        <f>+'I-O'!BP16/'I-O'!BP$75</f>
        <v>7.445463006903653E-4</v>
      </c>
      <c r="Z19" s="172">
        <f>+'I-O'!BT16/'I-O'!BT$75</f>
        <v>9.8435821534305114E-3</v>
      </c>
      <c r="AA19" s="172">
        <f>+'I-O'!BU16/'I-O'!BU$75</f>
        <v>1.9645733087263943E-4</v>
      </c>
      <c r="AB19" s="172">
        <f>+'I-O'!BW16/'I-O'!BW$75</f>
        <v>2.3508986142656289E-5</v>
      </c>
      <c r="AC19" s="134"/>
      <c r="AD19" s="157">
        <f t="shared" si="7"/>
        <v>3.5896446617364014E-4</v>
      </c>
      <c r="AE19" s="157">
        <f t="shared" si="8"/>
        <v>5.097960377059528E-4</v>
      </c>
      <c r="AF19" s="155"/>
      <c r="AG19" s="157">
        <f t="shared" si="9"/>
        <v>1.2250231006294982E-4</v>
      </c>
      <c r="AH19" s="157">
        <f t="shared" si="10"/>
        <v>1.6284999232781404E-4</v>
      </c>
      <c r="AI19" s="4"/>
      <c r="AJ19" s="157">
        <f t="shared" si="10"/>
        <v>1.7008844489218115E-5</v>
      </c>
      <c r="AK19" s="157">
        <f t="shared" si="1"/>
        <v>2.5943181095626436E-5</v>
      </c>
      <c r="AL19" s="157">
        <f t="shared" si="1"/>
        <v>9.5890143586188378E-6</v>
      </c>
      <c r="AM19" s="157">
        <f t="shared" si="1"/>
        <v>1.2484160833400428E-5</v>
      </c>
      <c r="AN19" s="157">
        <f t="shared" si="1"/>
        <v>3.463845978847104E-6</v>
      </c>
      <c r="AO19" s="157">
        <f t="shared" si="1"/>
        <v>7.2176644207594206E-6</v>
      </c>
      <c r="AP19" s="157">
        <f t="shared" si="1"/>
        <v>6.3886436219453227E-7</v>
      </c>
      <c r="AQ19" s="157">
        <f t="shared" si="1"/>
        <v>9.6883049396451294E-7</v>
      </c>
      <c r="AR19" s="157">
        <f t="shared" si="1"/>
        <v>3.3171197895576328E-6</v>
      </c>
      <c r="AS19" s="157">
        <f t="shared" si="1"/>
        <v>5.2725253475020827E-6</v>
      </c>
      <c r="AT19" s="134"/>
      <c r="AU19" s="157">
        <f t="shared" si="11"/>
        <v>5.7672306108020341E-4</v>
      </c>
      <c r="AV19" s="157">
        <f t="shared" si="12"/>
        <v>8.1905358078009679E-4</v>
      </c>
      <c r="AW19" s="155"/>
      <c r="AX19" s="157">
        <f t="shared" si="13"/>
        <v>1.9681587986128263E-4</v>
      </c>
      <c r="AY19" s="157">
        <f t="shared" si="14"/>
        <v>2.6163967445945859E-4</v>
      </c>
      <c r="AZ19" s="4"/>
      <c r="BA19" s="157">
        <f t="shared" si="2"/>
        <v>2.7326918911561483E-5</v>
      </c>
      <c r="BB19" s="157">
        <f t="shared" si="2"/>
        <v>4.1681091655434859E-5</v>
      </c>
      <c r="BC19" s="157">
        <f t="shared" si="2"/>
        <v>1.5405997625875257E-5</v>
      </c>
      <c r="BD19" s="157">
        <f t="shared" si="2"/>
        <v>2.0057426651732998E-5</v>
      </c>
      <c r="BE19" s="157">
        <f t="shared" si="2"/>
        <v>5.565118679643147E-6</v>
      </c>
      <c r="BF19" s="157">
        <f t="shared" si="2"/>
        <v>1.1596115802104197E-5</v>
      </c>
      <c r="BG19" s="157">
        <f t="shared" si="2"/>
        <v>1.0264186160466785E-6</v>
      </c>
      <c r="BH19" s="157">
        <f t="shared" si="2"/>
        <v>1.5565520846756444E-6</v>
      </c>
      <c r="BI19" s="157">
        <f t="shared" si="2"/>
        <v>5.329383989996389E-6</v>
      </c>
      <c r="BJ19" s="157">
        <f t="shared" si="2"/>
        <v>8.4709971169220369E-6</v>
      </c>
      <c r="BL19" s="157">
        <f t="shared" si="15"/>
        <v>1.0360557185784287E-4</v>
      </c>
      <c r="BM19" s="157">
        <f t="shared" si="16"/>
        <v>1.47139104269553E-4</v>
      </c>
      <c r="BN19" s="155"/>
      <c r="BO19" s="157">
        <f t="shared" si="17"/>
        <v>3.5357042504143828E-5</v>
      </c>
      <c r="BP19" s="157">
        <f t="shared" si="18"/>
        <v>4.7002330793396704E-5</v>
      </c>
      <c r="BQ19" s="4"/>
      <c r="BR19" s="157">
        <f t="shared" si="3"/>
        <v>4.9091518130770528E-6</v>
      </c>
      <c r="BS19" s="157">
        <f t="shared" si="3"/>
        <v>7.4878110969450958E-6</v>
      </c>
      <c r="BT19" s="157">
        <f t="shared" si="3"/>
        <v>2.7676146521344036E-6</v>
      </c>
      <c r="BU19" s="157">
        <f t="shared" si="3"/>
        <v>3.6032218901691276E-6</v>
      </c>
      <c r="BV19" s="157">
        <f t="shared" si="3"/>
        <v>9.9974726549214326E-7</v>
      </c>
      <c r="BW19" s="157">
        <f t="shared" si="3"/>
        <v>2.0831873911136959E-6</v>
      </c>
      <c r="BX19" s="157">
        <f t="shared" si="3"/>
        <v>1.843912526783162E-7</v>
      </c>
      <c r="BY19" s="157">
        <f t="shared" si="3"/>
        <v>2.7962722447284027E-7</v>
      </c>
      <c r="BZ19" s="157">
        <f t="shared" si="3"/>
        <v>9.5739864277218772E-7</v>
      </c>
      <c r="CA19" s="157">
        <f t="shared" si="3"/>
        <v>1.5217745911894347E-6</v>
      </c>
      <c r="CC19" s="157">
        <f t="shared" si="19"/>
        <v>1.6491723783878277E-7</v>
      </c>
      <c r="CD19" s="157">
        <f t="shared" si="20"/>
        <v>2.3421302753390887E-7</v>
      </c>
      <c r="CE19" s="155"/>
      <c r="CF19" s="157">
        <f t="shared" si="21"/>
        <v>5.6280619694204573E-8</v>
      </c>
      <c r="CG19" s="157">
        <f t="shared" si="22"/>
        <v>7.4817352266223362E-8</v>
      </c>
      <c r="CH19" s="4"/>
      <c r="CI19" s="157">
        <f t="shared" si="4"/>
        <v>7.8142878092963641E-9</v>
      </c>
      <c r="CJ19" s="157">
        <f t="shared" si="4"/>
        <v>1.1918945105202781E-8</v>
      </c>
      <c r="CK19" s="157">
        <f t="shared" si="4"/>
        <v>4.4054326002699274E-9</v>
      </c>
      <c r="CL19" s="157">
        <f t="shared" si="4"/>
        <v>5.7355351723966893E-9</v>
      </c>
      <c r="CM19" s="157">
        <f t="shared" si="4"/>
        <v>1.5913773227183777E-9</v>
      </c>
      <c r="CN19" s="157">
        <f t="shared" si="4"/>
        <v>3.3159752345601669E-9</v>
      </c>
      <c r="CO19" s="157">
        <f t="shared" si="4"/>
        <v>2.9351023818550544E-10</v>
      </c>
      <c r="CP19" s="157">
        <f t="shared" si="4"/>
        <v>4.451049172129558E-10</v>
      </c>
      <c r="CQ19" s="157">
        <f t="shared" si="4"/>
        <v>1.5239676481225504E-9</v>
      </c>
      <c r="CR19" s="157">
        <f t="shared" si="4"/>
        <v>2.4223297810329725E-9</v>
      </c>
      <c r="CT19" s="157">
        <f t="shared" si="23"/>
        <v>2.9870138615740001E-5</v>
      </c>
      <c r="CU19" s="157">
        <f t="shared" si="24"/>
        <v>4.2421130075492802E-5</v>
      </c>
      <c r="CV19" s="155"/>
      <c r="CW19" s="157">
        <f t="shared" si="25"/>
        <v>1.0193657944289793E-5</v>
      </c>
      <c r="CX19" s="157">
        <f t="shared" si="26"/>
        <v>1.3551067871021504E-5</v>
      </c>
      <c r="CY19" s="4"/>
      <c r="CZ19" s="157">
        <f t="shared" si="5"/>
        <v>1.4153393732870226E-6</v>
      </c>
      <c r="DA19" s="157">
        <f t="shared" si="5"/>
        <v>2.1587830787818303E-6</v>
      </c>
      <c r="DB19" s="157">
        <f t="shared" si="5"/>
        <v>7.9792072773496967E-7</v>
      </c>
      <c r="DC19" s="157">
        <f t="shared" si="5"/>
        <v>1.0388315550277339E-6</v>
      </c>
      <c r="DD19" s="157">
        <f t="shared" si="5"/>
        <v>2.8823343055267119E-7</v>
      </c>
      <c r="DE19" s="157">
        <f t="shared" si="5"/>
        <v>6.0059603956925098E-7</v>
      </c>
      <c r="DF19" s="157">
        <f t="shared" si="5"/>
        <v>5.3161158982728095E-8</v>
      </c>
      <c r="DG19" s="157">
        <f t="shared" si="5"/>
        <v>8.0618289209376185E-8</v>
      </c>
      <c r="DH19" s="157">
        <f t="shared" si="5"/>
        <v>2.7602405601665299E-7</v>
      </c>
      <c r="DI19" s="157">
        <f t="shared" si="5"/>
        <v>4.387371949754701E-7</v>
      </c>
    </row>
    <row r="20" spans="1:113" x14ac:dyDescent="0.25">
      <c r="A20">
        <f t="shared" si="6"/>
        <v>15</v>
      </c>
      <c r="B20" s="11" t="s">
        <v>135</v>
      </c>
      <c r="C20" s="158">
        <v>1.1899904623952351</v>
      </c>
      <c r="D20" s="17">
        <v>1.7455260521330294</v>
      </c>
      <c r="E20" s="155"/>
      <c r="F20" s="162">
        <v>0.45119461644330577</v>
      </c>
      <c r="G20" s="17">
        <v>0.59980125916307991</v>
      </c>
      <c r="H20" s="4"/>
      <c r="I20" s="155">
        <v>5.3949058365865575E-2</v>
      </c>
      <c r="J20" s="17">
        <v>8.6855577240753212E-2</v>
      </c>
      <c r="K20" s="155">
        <v>3.4413446181722658E-2</v>
      </c>
      <c r="L20" s="17">
        <v>4.5076710430086785E-2</v>
      </c>
      <c r="M20" s="155">
        <v>7.8480451078864946E-3</v>
      </c>
      <c r="N20" s="17">
        <v>2.1673928646132413E-2</v>
      </c>
      <c r="O20" s="169">
        <v>1.1617056656130003E-3</v>
      </c>
      <c r="P20" s="17">
        <v>2.3770210518023198E-3</v>
      </c>
      <c r="Q20" s="155">
        <v>1.0525861410643411E-2</v>
      </c>
      <c r="R20" s="17">
        <v>1.7727917112731677E-2</v>
      </c>
      <c r="S20" s="3"/>
      <c r="T20" s="104">
        <f t="shared" si="0"/>
        <v>1.1579256060045049</v>
      </c>
      <c r="U20" s="105">
        <f t="shared" si="0"/>
        <v>1.5393030217725214</v>
      </c>
      <c r="V20" s="166"/>
      <c r="W20" s="3">
        <v>0.38965768966814818</v>
      </c>
      <c r="X20" s="172">
        <f>+'I-O'!BO17/'I-O'!BO$75</f>
        <v>2.6958679853449343E-3</v>
      </c>
      <c r="Y20" s="172">
        <f>+'I-O'!BP17/'I-O'!BP$75</f>
        <v>1.3801889395983632E-3</v>
      </c>
      <c r="Z20" s="172">
        <f>+'I-O'!BT17/'I-O'!BT$75</f>
        <v>4.4585731812367153E-3</v>
      </c>
      <c r="AA20" s="172">
        <f>+'I-O'!BU17/'I-O'!BU$75</f>
        <v>4.9875018192068405E-3</v>
      </c>
      <c r="AB20" s="172">
        <f>+'I-O'!BW17/'I-O'!BW$75</f>
        <v>1.1579150764852371E-2</v>
      </c>
      <c r="AC20" s="134"/>
      <c r="AD20" s="157">
        <f t="shared" si="7"/>
        <v>1.9167959752666233E-2</v>
      </c>
      <c r="AE20" s="157">
        <f t="shared" si="8"/>
        <v>2.0186825877673988E-2</v>
      </c>
      <c r="AF20" s="155"/>
      <c r="AG20" s="157">
        <f t="shared" si="9"/>
        <v>8.2750217802775652E-4</v>
      </c>
      <c r="AH20" s="157">
        <f t="shared" si="10"/>
        <v>1.1000504665897449E-3</v>
      </c>
      <c r="AI20" s="4"/>
      <c r="AJ20" s="157">
        <f t="shared" si="10"/>
        <v>2.5965420566300237E-4</v>
      </c>
      <c r="AK20" s="157">
        <f t="shared" si="1"/>
        <v>3.2000558187163816E-4</v>
      </c>
      <c r="AL20" s="157">
        <f t="shared" si="1"/>
        <v>6.9790444166044257E-5</v>
      </c>
      <c r="AM20" s="157">
        <f t="shared" si="1"/>
        <v>8.934713670808742E-5</v>
      </c>
      <c r="AN20" s="157">
        <f t="shared" si="1"/>
        <v>3.3889721366963139E-5</v>
      </c>
      <c r="AO20" s="157">
        <f t="shared" si="1"/>
        <v>5.9246736553101118E-5</v>
      </c>
      <c r="AP20" s="157">
        <f t="shared" si="1"/>
        <v>1.5229773151838935E-5</v>
      </c>
      <c r="AQ20" s="157">
        <f t="shared" si="1"/>
        <v>1.7458691876512311E-5</v>
      </c>
      <c r="AR20" s="157">
        <f t="shared" si="1"/>
        <v>1.4074426697815618E-4</v>
      </c>
      <c r="AS20" s="157">
        <f t="shared" si="1"/>
        <v>1.5395301673393717E-4</v>
      </c>
      <c r="AT20" s="134"/>
      <c r="AU20" s="157">
        <f t="shared" si="11"/>
        <v>8.1980174133951429E-4</v>
      </c>
      <c r="AV20" s="157">
        <f t="shared" si="12"/>
        <v>8.6337801311027571E-4</v>
      </c>
      <c r="AW20" s="155"/>
      <c r="AX20" s="157">
        <f t="shared" si="13"/>
        <v>3.5391754535327258E-5</v>
      </c>
      <c r="AY20" s="157">
        <f t="shared" si="14"/>
        <v>4.7048475670248416E-5</v>
      </c>
      <c r="AZ20" s="4"/>
      <c r="BA20" s="157">
        <f t="shared" si="2"/>
        <v>1.1105249212506749E-5</v>
      </c>
      <c r="BB20" s="157">
        <f t="shared" si="2"/>
        <v>1.368644011370288E-5</v>
      </c>
      <c r="BC20" s="157">
        <f t="shared" si="2"/>
        <v>2.9848939790382646E-6</v>
      </c>
      <c r="BD20" s="157">
        <f t="shared" si="2"/>
        <v>3.8213215804984756E-6</v>
      </c>
      <c r="BE20" s="157">
        <f t="shared" si="2"/>
        <v>1.449442347993389E-6</v>
      </c>
      <c r="BF20" s="157">
        <f t="shared" si="2"/>
        <v>2.5339461487631548E-6</v>
      </c>
      <c r="BG20" s="157">
        <f t="shared" si="2"/>
        <v>6.5136794479895768E-7</v>
      </c>
      <c r="BH20" s="157">
        <f t="shared" si="2"/>
        <v>7.4669741519485159E-7</v>
      </c>
      <c r="BI20" s="157">
        <f t="shared" si="2"/>
        <v>6.019544940676142E-6</v>
      </c>
      <c r="BJ20" s="157">
        <f t="shared" si="2"/>
        <v>6.5844749692463921E-6</v>
      </c>
      <c r="BL20" s="157">
        <f t="shared" si="15"/>
        <v>1.0838527816091969E-2</v>
      </c>
      <c r="BM20" s="157">
        <f t="shared" si="16"/>
        <v>1.1414645930865989E-2</v>
      </c>
      <c r="BN20" s="155"/>
      <c r="BO20" s="157">
        <f t="shared" si="17"/>
        <v>4.679113212966219E-4</v>
      </c>
      <c r="BP20" s="157">
        <f t="shared" si="18"/>
        <v>6.2202382178830687E-4</v>
      </c>
      <c r="BQ20" s="4"/>
      <c r="BR20" s="157">
        <f t="shared" si="3"/>
        <v>1.4682153797053208E-4</v>
      </c>
      <c r="BS20" s="157">
        <f t="shared" si="3"/>
        <v>1.8094723930845057E-4</v>
      </c>
      <c r="BT20" s="157">
        <f t="shared" si="3"/>
        <v>3.9463024763804944E-5</v>
      </c>
      <c r="BU20" s="157">
        <f t="shared" si="3"/>
        <v>5.0521361636523448E-5</v>
      </c>
      <c r="BV20" s="157">
        <f t="shared" si="3"/>
        <v>1.9162951741086759E-5</v>
      </c>
      <c r="BW20" s="157">
        <f t="shared" si="3"/>
        <v>3.3501082558050426E-5</v>
      </c>
      <c r="BX20" s="157">
        <f t="shared" si="3"/>
        <v>8.6116791807232479E-6</v>
      </c>
      <c r="BY20" s="157">
        <f t="shared" si="3"/>
        <v>9.872021851978087E-6</v>
      </c>
      <c r="BZ20" s="157">
        <f t="shared" si="3"/>
        <v>7.9583882284917204E-5</v>
      </c>
      <c r="CA20" s="157">
        <f t="shared" si="3"/>
        <v>8.7052773261898542E-5</v>
      </c>
      <c r="CC20" s="157">
        <f t="shared" si="19"/>
        <v>2.1631436728510638E-4</v>
      </c>
      <c r="CD20" s="157">
        <f t="shared" si="20"/>
        <v>2.2781248101359664E-4</v>
      </c>
      <c r="CE20" s="155"/>
      <c r="CF20" s="157">
        <f t="shared" si="21"/>
        <v>9.3385322369650171E-6</v>
      </c>
      <c r="CG20" s="157">
        <f t="shared" si="22"/>
        <v>1.2414295717046636E-5</v>
      </c>
      <c r="CH20" s="4"/>
      <c r="CI20" s="157">
        <f t="shared" si="4"/>
        <v>2.9302511031773487E-6</v>
      </c>
      <c r="CJ20" s="157">
        <f t="shared" si="4"/>
        <v>3.6113287936467556E-6</v>
      </c>
      <c r="CK20" s="157">
        <f t="shared" si="4"/>
        <v>7.8759951330889462E-7</v>
      </c>
      <c r="CL20" s="157">
        <f t="shared" si="4"/>
        <v>1.0083008100566086E-6</v>
      </c>
      <c r="CM20" s="157">
        <f t="shared" si="4"/>
        <v>3.8245247431425109E-7</v>
      </c>
      <c r="CN20" s="157">
        <f t="shared" si="4"/>
        <v>6.6861160481144994E-7</v>
      </c>
      <c r="CO20" s="157">
        <f t="shared" si="4"/>
        <v>1.7187112169188955E-7</v>
      </c>
      <c r="CP20" s="157">
        <f t="shared" si="4"/>
        <v>1.9702492782874673E-7</v>
      </c>
      <c r="CQ20" s="157">
        <f t="shared" si="4"/>
        <v>1.5883279938623146E-6</v>
      </c>
      <c r="CR20" s="157">
        <f t="shared" si="4"/>
        <v>1.7373914509499491E-6</v>
      </c>
      <c r="CT20" s="157">
        <f t="shared" si="23"/>
        <v>2.5885170282903714E-5</v>
      </c>
      <c r="CU20" s="157">
        <f t="shared" si="24"/>
        <v>2.7261087359192412E-5</v>
      </c>
      <c r="CV20" s="155"/>
      <c r="CW20" s="157">
        <f t="shared" si="25"/>
        <v>1.1174916404309899E-6</v>
      </c>
      <c r="CX20" s="157">
        <f t="shared" si="26"/>
        <v>1.4855516192067548E-6</v>
      </c>
      <c r="CY20" s="4"/>
      <c r="CZ20" s="157">
        <f t="shared" si="5"/>
        <v>3.5064729971190655E-7</v>
      </c>
      <c r="DA20" s="157">
        <f t="shared" si="5"/>
        <v>4.3214818296323013E-7</v>
      </c>
      <c r="DB20" s="157">
        <f t="shared" si="5"/>
        <v>9.424777361118223E-8</v>
      </c>
      <c r="DC20" s="157">
        <f t="shared" si="5"/>
        <v>1.2065790401385928E-7</v>
      </c>
      <c r="DD20" s="157">
        <f t="shared" si="5"/>
        <v>4.5766018905688616E-8</v>
      </c>
      <c r="DE20" s="157">
        <f t="shared" si="5"/>
        <v>8.0009134210021245E-8</v>
      </c>
      <c r="DF20" s="157">
        <f t="shared" si="5"/>
        <v>2.0566887477448397E-8</v>
      </c>
      <c r="DG20" s="157">
        <f t="shared" si="5"/>
        <v>2.3576907400246778E-8</v>
      </c>
      <c r="DH20" s="157">
        <f t="shared" si="5"/>
        <v>1.9006661971758749E-7</v>
      </c>
      <c r="DI20" s="157">
        <f t="shared" si="5"/>
        <v>2.079042373391027E-7</v>
      </c>
    </row>
    <row r="21" spans="1:113" x14ac:dyDescent="0.25">
      <c r="A21">
        <f t="shared" si="6"/>
        <v>16</v>
      </c>
      <c r="B21" s="11" t="s">
        <v>4</v>
      </c>
      <c r="C21" s="158">
        <v>1.3596430287390664</v>
      </c>
      <c r="D21" s="17">
        <v>1.7627007249418289</v>
      </c>
      <c r="E21" s="155"/>
      <c r="F21" s="162">
        <v>0.32735519740249719</v>
      </c>
      <c r="G21" s="17">
        <v>0.43517376413614245</v>
      </c>
      <c r="H21" s="4"/>
      <c r="I21" s="155">
        <v>4.6996881003291413E-2</v>
      </c>
      <c r="J21" s="17">
        <v>7.0871545260220561E-2</v>
      </c>
      <c r="K21" s="155">
        <v>2.5755870845149815E-2</v>
      </c>
      <c r="L21" s="17">
        <v>3.349238818326581E-2</v>
      </c>
      <c r="M21" s="155">
        <v>5.9469310088936418E-3</v>
      </c>
      <c r="N21" s="17">
        <v>1.5978023291430075E-2</v>
      </c>
      <c r="O21" s="169">
        <v>7.3225397794421138E-4</v>
      </c>
      <c r="P21" s="17">
        <v>1.6140016620996736E-3</v>
      </c>
      <c r="Q21" s="155">
        <v>1.4561825171303746E-2</v>
      </c>
      <c r="R21" s="17">
        <v>1.9787132123424998E-2</v>
      </c>
      <c r="S21" s="3"/>
      <c r="T21" s="104">
        <f t="shared" si="0"/>
        <v>1.8583714878169795</v>
      </c>
      <c r="U21" s="105">
        <f t="shared" si="0"/>
        <v>2.4704495970542033</v>
      </c>
      <c r="V21" s="166"/>
      <c r="W21" s="3">
        <v>0.17615164650800785</v>
      </c>
      <c r="X21" s="172">
        <f>+'I-O'!BO18/'I-O'!BO$75</f>
        <v>1.1182947994574257E-2</v>
      </c>
      <c r="Y21" s="172">
        <f>+'I-O'!BP18/'I-O'!BP$75</f>
        <v>0.10978768748591021</v>
      </c>
      <c r="Z21" s="172">
        <f>+'I-O'!BT18/'I-O'!BT$75</f>
        <v>4.5201405262405873E-3</v>
      </c>
      <c r="AA21" s="172">
        <f>+'I-O'!BU18/'I-O'!BU$75</f>
        <v>5.3312835453001411E-7</v>
      </c>
      <c r="AB21" s="172">
        <f>+'I-O'!BW18/'I-O'!BW$75</f>
        <v>1.1667052311273042E-3</v>
      </c>
      <c r="AC21" s="134"/>
      <c r="AD21" s="157">
        <f t="shared" si="7"/>
        <v>3.2080571904371294E-3</v>
      </c>
      <c r="AE21" s="157">
        <f t="shared" si="8"/>
        <v>4.7057078015309665E-3</v>
      </c>
      <c r="AF21" s="155"/>
      <c r="AG21" s="157">
        <f t="shared" si="9"/>
        <v>1.2163611216294951E-3</v>
      </c>
      <c r="AH21" s="157">
        <f t="shared" si="10"/>
        <v>1.616985012147327E-3</v>
      </c>
      <c r="AI21" s="4"/>
      <c r="AJ21" s="157">
        <f t="shared" si="10"/>
        <v>1.4543953928804231E-4</v>
      </c>
      <c r="AK21" s="157">
        <f t="shared" si="1"/>
        <v>2.341511700320007E-4</v>
      </c>
      <c r="AL21" s="157">
        <f t="shared" si="1"/>
        <v>9.2774107826696983E-5</v>
      </c>
      <c r="AM21" s="157">
        <f t="shared" si="1"/>
        <v>1.2152086053313505E-4</v>
      </c>
      <c r="AN21" s="157">
        <f t="shared" si="1"/>
        <v>2.1157293553894132E-5</v>
      </c>
      <c r="AO21" s="157">
        <f t="shared" si="1"/>
        <v>5.843005035375885E-5</v>
      </c>
      <c r="AP21" s="157">
        <f t="shared" si="1"/>
        <v>3.1318051123199152E-6</v>
      </c>
      <c r="AQ21" s="157">
        <f t="shared" si="1"/>
        <v>6.4081349540448166E-6</v>
      </c>
      <c r="AR21" s="157">
        <f t="shared" si="1"/>
        <v>2.8376332795131239E-5</v>
      </c>
      <c r="AS21" s="157">
        <f t="shared" si="1"/>
        <v>4.7792124191061934E-5</v>
      </c>
      <c r="AT21" s="134"/>
      <c r="AU21" s="157">
        <f t="shared" si="11"/>
        <v>1.6424116744254455E-3</v>
      </c>
      <c r="AV21" s="157">
        <f t="shared" si="12"/>
        <v>2.4091557509348031E-3</v>
      </c>
      <c r="AW21" s="155"/>
      <c r="AX21" s="157">
        <f t="shared" si="13"/>
        <v>6.2273381922137638E-4</v>
      </c>
      <c r="AY21" s="157">
        <f t="shared" si="14"/>
        <v>8.2783906385405423E-4</v>
      </c>
      <c r="AZ21" s="4"/>
      <c r="BA21" s="157">
        <f t="shared" si="2"/>
        <v>7.4459893658314206E-5</v>
      </c>
      <c r="BB21" s="157">
        <f t="shared" si="2"/>
        <v>1.198771070501189E-4</v>
      </c>
      <c r="BC21" s="157">
        <f t="shared" si="2"/>
        <v>4.7497057793477133E-5</v>
      </c>
      <c r="BD21" s="157">
        <f t="shared" si="2"/>
        <v>6.2214377169083954E-5</v>
      </c>
      <c r="BE21" s="157">
        <f t="shared" si="2"/>
        <v>1.0831785055373982E-5</v>
      </c>
      <c r="BF21" s="157">
        <f t="shared" si="2"/>
        <v>2.9914116595036084E-5</v>
      </c>
      <c r="BG21" s="157">
        <f t="shared" si="2"/>
        <v>1.6033733107478176E-6</v>
      </c>
      <c r="BH21" s="157">
        <f t="shared" si="2"/>
        <v>3.2807381648900298E-6</v>
      </c>
      <c r="BI21" s="157">
        <f t="shared" si="2"/>
        <v>1.4527677498715261E-5</v>
      </c>
      <c r="BJ21" s="157">
        <f t="shared" si="2"/>
        <v>2.446787512110881E-5</v>
      </c>
      <c r="BL21" s="157">
        <f t="shared" si="15"/>
        <v>5.3056595615628734E-3</v>
      </c>
      <c r="BM21" s="157">
        <f t="shared" si="16"/>
        <v>7.7825556431903248E-3</v>
      </c>
      <c r="BN21" s="155"/>
      <c r="BO21" s="157">
        <f t="shared" si="17"/>
        <v>2.0116842163925095E-3</v>
      </c>
      <c r="BP21" s="157">
        <f t="shared" si="18"/>
        <v>2.6742578081765207E-3</v>
      </c>
      <c r="BQ21" s="4"/>
      <c r="BR21" s="157">
        <f t="shared" si="3"/>
        <v>2.4053582478302251E-4</v>
      </c>
      <c r="BS21" s="157">
        <f t="shared" si="3"/>
        <v>3.8725194732645629E-4</v>
      </c>
      <c r="BT21" s="157">
        <f t="shared" si="3"/>
        <v>1.5343486821976169E-4</v>
      </c>
      <c r="BU21" s="157">
        <f t="shared" si="3"/>
        <v>2.0097781222195825E-4</v>
      </c>
      <c r="BV21" s="157">
        <f t="shared" si="3"/>
        <v>3.4991083443158725E-5</v>
      </c>
      <c r="BW21" s="157">
        <f t="shared" si="3"/>
        <v>9.6634796993684167E-5</v>
      </c>
      <c r="BX21" s="157">
        <f t="shared" si="3"/>
        <v>5.1795497251928711E-6</v>
      </c>
      <c r="BY21" s="157">
        <f t="shared" si="3"/>
        <v>1.0598122312800912E-5</v>
      </c>
      <c r="BZ21" s="157">
        <f t="shared" si="3"/>
        <v>4.6930323394909172E-5</v>
      </c>
      <c r="CA21" s="157">
        <f t="shared" si="3"/>
        <v>7.9041215798012873E-5</v>
      </c>
      <c r="CC21" s="157">
        <f t="shared" si="19"/>
        <v>5.9350795960350245E-3</v>
      </c>
      <c r="CD21" s="157">
        <f t="shared" si="20"/>
        <v>8.7058143604864177E-3</v>
      </c>
      <c r="CE21" s="155"/>
      <c r="CF21" s="157">
        <f t="shared" si="21"/>
        <v>2.25033397032732E-3</v>
      </c>
      <c r="CG21" s="157">
        <f t="shared" si="22"/>
        <v>2.9915098712384146E-3</v>
      </c>
      <c r="CH21" s="4"/>
      <c r="CI21" s="157">
        <f t="shared" si="4"/>
        <v>2.690710267442506E-4</v>
      </c>
      <c r="CJ21" s="157">
        <f t="shared" si="4"/>
        <v>4.331923494965169E-4</v>
      </c>
      <c r="CK21" s="157">
        <f t="shared" si="4"/>
        <v>1.7163712543651844E-4</v>
      </c>
      <c r="CL21" s="157">
        <f t="shared" si="4"/>
        <v>2.2482017527391781E-4</v>
      </c>
      <c r="CM21" s="157">
        <f t="shared" si="4"/>
        <v>3.9142139252801238E-5</v>
      </c>
      <c r="CN21" s="157">
        <f t="shared" si="4"/>
        <v>1.0809875855194467E-4</v>
      </c>
      <c r="CO21" s="157">
        <f t="shared" si="4"/>
        <v>5.7940091206277327E-6</v>
      </c>
      <c r="CP21" s="157">
        <f t="shared" si="4"/>
        <v>1.1855396820157028E-5</v>
      </c>
      <c r="CQ21" s="157">
        <f t="shared" si="4"/>
        <v>5.249775293430309E-5</v>
      </c>
      <c r="CR21" s="157">
        <f t="shared" si="4"/>
        <v>8.8418018850497314E-5</v>
      </c>
      <c r="CT21" s="157">
        <f t="shared" si="23"/>
        <v>1.3779078972810813E-2</v>
      </c>
      <c r="CU21" s="157">
        <f t="shared" si="24"/>
        <v>2.0211709321625904E-2</v>
      </c>
      <c r="CV21" s="155"/>
      <c r="CW21" s="157">
        <f t="shared" si="25"/>
        <v>5.2244504880867761E-3</v>
      </c>
      <c r="CX21" s="157">
        <f t="shared" si="26"/>
        <v>6.9451892087975921E-3</v>
      </c>
      <c r="CY21" s="4"/>
      <c r="CZ21" s="157">
        <f t="shared" si="5"/>
        <v>6.2468428044017751E-4</v>
      </c>
      <c r="DA21" s="157">
        <f t="shared" si="5"/>
        <v>1.0057138236389616E-3</v>
      </c>
      <c r="DB21" s="157">
        <f t="shared" si="5"/>
        <v>3.9847848167629983E-4</v>
      </c>
      <c r="DC21" s="157">
        <f t="shared" si="5"/>
        <v>5.2195002605356824E-4</v>
      </c>
      <c r="DD21" s="157">
        <f t="shared" si="5"/>
        <v>9.0873697513579809E-5</v>
      </c>
      <c r="DE21" s="157">
        <f t="shared" si="5"/>
        <v>2.5096568746021985E-4</v>
      </c>
      <c r="DF21" s="157">
        <f t="shared" si="5"/>
        <v>1.3451565046516105E-5</v>
      </c>
      <c r="DG21" s="157">
        <f t="shared" si="5"/>
        <v>2.7523885130047016E-5</v>
      </c>
      <c r="DH21" s="157">
        <f t="shared" si="5"/>
        <v>1.218805362037817E-4</v>
      </c>
      <c r="DI21" s="157">
        <f t="shared" si="5"/>
        <v>2.0527422499512643E-4</v>
      </c>
    </row>
    <row r="22" spans="1:113" x14ac:dyDescent="0.25">
      <c r="A22">
        <f t="shared" si="6"/>
        <v>17</v>
      </c>
      <c r="B22" s="11" t="s">
        <v>18</v>
      </c>
      <c r="C22" s="158">
        <v>1.1275682739883166</v>
      </c>
      <c r="D22" s="17">
        <v>1.5730797035976762</v>
      </c>
      <c r="E22" s="155"/>
      <c r="F22" s="162">
        <v>0.361835249292632</v>
      </c>
      <c r="G22" s="17">
        <v>0.48101025638584521</v>
      </c>
      <c r="H22" s="4"/>
      <c r="I22" s="155">
        <v>5.3317300346947843E-2</v>
      </c>
      <c r="J22" s="17">
        <v>7.9706663221679297E-2</v>
      </c>
      <c r="K22" s="155">
        <v>3.0009466450945554E-2</v>
      </c>
      <c r="L22" s="17">
        <v>3.8560864754397718E-2</v>
      </c>
      <c r="M22" s="155">
        <v>2.182824240757704E-3</v>
      </c>
      <c r="N22" s="17">
        <v>1.3270483167602891E-2</v>
      </c>
      <c r="O22" s="169">
        <v>2.3857569294968167E-4</v>
      </c>
      <c r="P22" s="17">
        <v>1.2131971305843201E-3</v>
      </c>
      <c r="Q22" s="155">
        <v>2.0886433962294913E-2</v>
      </c>
      <c r="R22" s="17">
        <v>2.6662118169094327E-2</v>
      </c>
      <c r="S22" s="3"/>
      <c r="T22" s="104">
        <f t="shared" si="0"/>
        <v>1.1563092371040886</v>
      </c>
      <c r="U22" s="105">
        <f t="shared" si="0"/>
        <v>1.5371542813700227</v>
      </c>
      <c r="V22" s="166"/>
      <c r="W22" s="3">
        <v>0.31292256230593468</v>
      </c>
      <c r="X22" s="172">
        <f>+'I-O'!BO19/'I-O'!BO$75</f>
        <v>1.7923431404824736E-3</v>
      </c>
      <c r="Y22" s="172">
        <f>+'I-O'!BP19/'I-O'!BP$75</f>
        <v>4.9203945635148448E-3</v>
      </c>
      <c r="Z22" s="172">
        <f>+'I-O'!BT19/'I-O'!BT$75</f>
        <v>1.3858676173738927E-3</v>
      </c>
      <c r="AA22" s="172">
        <f>+'I-O'!BU19/'I-O'!BU$75</f>
        <v>8.8635683294181321E-5</v>
      </c>
      <c r="AB22" s="172">
        <f>+'I-O'!BW19/'I-O'!BW$75</f>
        <v>4.9998851985801223E-5</v>
      </c>
      <c r="AC22" s="134"/>
      <c r="AD22" s="157">
        <f t="shared" si="7"/>
        <v>1.520481728157441E-2</v>
      </c>
      <c r="AE22" s="157">
        <f t="shared" si="8"/>
        <v>1.9712190537022816E-2</v>
      </c>
      <c r="AF22" s="155"/>
      <c r="AG22" s="157">
        <f t="shared" si="9"/>
        <v>3.6607961483057158E-3</v>
      </c>
      <c r="AH22" s="157">
        <f t="shared" si="10"/>
        <v>4.8665255729376045E-3</v>
      </c>
      <c r="AI22" s="4"/>
      <c r="AJ22" s="157">
        <f t="shared" si="10"/>
        <v>5.2556367616700265E-4</v>
      </c>
      <c r="AK22" s="157">
        <f t="shared" si="1"/>
        <v>7.9255280494016224E-4</v>
      </c>
      <c r="AL22" s="157">
        <f t="shared" si="1"/>
        <v>2.880265642162817E-4</v>
      </c>
      <c r="AM22" s="157">
        <f t="shared" si="1"/>
        <v>3.7454363526755495E-4</v>
      </c>
      <c r="AN22" s="157">
        <f t="shared" si="1"/>
        <v>6.6504220199778617E-5</v>
      </c>
      <c r="AO22" s="157">
        <f t="shared" si="1"/>
        <v>1.7868140352415873E-4</v>
      </c>
      <c r="AP22" s="157">
        <f t="shared" si="1"/>
        <v>8.1887581541702408E-6</v>
      </c>
      <c r="AQ22" s="157">
        <f t="shared" si="1"/>
        <v>1.8049296650417063E-5</v>
      </c>
      <c r="AR22" s="157">
        <f t="shared" si="1"/>
        <v>1.6284413359677217E-4</v>
      </c>
      <c r="AS22" s="157">
        <f t="shared" si="1"/>
        <v>2.2127846949803143E-4</v>
      </c>
      <c r="AT22" s="134"/>
      <c r="AU22" s="157">
        <f t="shared" si="11"/>
        <v>0.14927206393160106</v>
      </c>
      <c r="AV22" s="157">
        <f t="shared" si="12"/>
        <v>0.1935228363211009</v>
      </c>
      <c r="AW22" s="155"/>
      <c r="AX22" s="157">
        <f t="shared" si="13"/>
        <v>3.5939570109313805E-2</v>
      </c>
      <c r="AY22" s="157">
        <f t="shared" si="14"/>
        <v>4.7776721219046005E-2</v>
      </c>
      <c r="AZ22" s="4"/>
      <c r="BA22" s="157">
        <f t="shared" si="2"/>
        <v>5.1596788844018677E-3</v>
      </c>
      <c r="BB22" s="157">
        <f t="shared" si="2"/>
        <v>7.7808230626726363E-3</v>
      </c>
      <c r="BC22" s="157">
        <f t="shared" si="2"/>
        <v>2.8276774992747741E-3</v>
      </c>
      <c r="BD22" s="157">
        <f t="shared" si="2"/>
        <v>3.6770518470211786E-3</v>
      </c>
      <c r="BE22" s="157">
        <f t="shared" si="2"/>
        <v>6.5289980310468385E-4</v>
      </c>
      <c r="BF22" s="157">
        <f t="shared" si="2"/>
        <v>1.7541902277621196E-3</v>
      </c>
      <c r="BG22" s="157">
        <f t="shared" si="2"/>
        <v>8.0392470890853666E-5</v>
      </c>
      <c r="BH22" s="157">
        <f t="shared" si="2"/>
        <v>1.7719751008033862E-4</v>
      </c>
      <c r="BI22" s="157">
        <f t="shared" si="2"/>
        <v>1.5987091111315567E-3</v>
      </c>
      <c r="BJ22" s="157">
        <f t="shared" si="2"/>
        <v>2.1723834778089985E-3</v>
      </c>
      <c r="BL22" s="157">
        <f t="shared" si="15"/>
        <v>6.1457775554239497E-3</v>
      </c>
      <c r="BM22" s="157">
        <f t="shared" si="16"/>
        <v>7.9676549824432234E-3</v>
      </c>
      <c r="BN22" s="155"/>
      <c r="BO22" s="157">
        <f t="shared" si="17"/>
        <v>1.4796914942545149E-3</v>
      </c>
      <c r="BP22" s="157">
        <f t="shared" si="18"/>
        <v>1.9670465672284401E-3</v>
      </c>
      <c r="BQ22" s="4"/>
      <c r="BR22" s="157">
        <f t="shared" si="3"/>
        <v>2.124325064298839E-4</v>
      </c>
      <c r="BS22" s="157">
        <f t="shared" si="3"/>
        <v>3.2034934388801696E-4</v>
      </c>
      <c r="BT22" s="157">
        <f t="shared" si="3"/>
        <v>1.1642015559578009E-4</v>
      </c>
      <c r="BU22" s="157">
        <f t="shared" si="3"/>
        <v>1.5139030114776116E-4</v>
      </c>
      <c r="BV22" s="157">
        <f t="shared" si="3"/>
        <v>2.6880963860056974E-5</v>
      </c>
      <c r="BW22" s="157">
        <f t="shared" si="3"/>
        <v>7.2222910608809102E-5</v>
      </c>
      <c r="BX22" s="157">
        <f t="shared" si="3"/>
        <v>3.309890881206511E-6</v>
      </c>
      <c r="BY22" s="157">
        <f t="shared" si="3"/>
        <v>7.2955143222764012E-6</v>
      </c>
      <c r="BZ22" s="157">
        <f t="shared" si="3"/>
        <v>6.5821496092840343E-5</v>
      </c>
      <c r="CA22" s="157">
        <f t="shared" si="3"/>
        <v>8.9440617809170302E-5</v>
      </c>
      <c r="CC22" s="157">
        <f t="shared" si="19"/>
        <v>7.2486425065986318E-7</v>
      </c>
      <c r="CD22" s="157">
        <f t="shared" si="20"/>
        <v>9.397457370171003E-7</v>
      </c>
      <c r="CE22" s="155"/>
      <c r="CF22" s="157">
        <f t="shared" si="21"/>
        <v>1.7452233773804128E-7</v>
      </c>
      <c r="CG22" s="157">
        <f t="shared" si="22"/>
        <v>2.3200347280853409E-7</v>
      </c>
      <c r="CH22" s="4"/>
      <c r="CI22" s="157">
        <f t="shared" si="4"/>
        <v>2.5055369837327631E-8</v>
      </c>
      <c r="CJ22" s="157">
        <f t="shared" si="4"/>
        <v>3.7783630307580808E-8</v>
      </c>
      <c r="CK22" s="157">
        <f t="shared" si="4"/>
        <v>1.3731185043162284E-8</v>
      </c>
      <c r="CL22" s="157">
        <f t="shared" si="4"/>
        <v>1.7855741801424989E-8</v>
      </c>
      <c r="CM22" s="157">
        <f t="shared" si="4"/>
        <v>3.170477543274984E-9</v>
      </c>
      <c r="CN22" s="157">
        <f t="shared" si="4"/>
        <v>8.5183372660023563E-9</v>
      </c>
      <c r="CO22" s="157">
        <f t="shared" si="4"/>
        <v>3.9038535835945465E-10</v>
      </c>
      <c r="CP22" s="157">
        <f t="shared" si="4"/>
        <v>8.6047005032390681E-10</v>
      </c>
      <c r="CQ22" s="157">
        <f t="shared" si="4"/>
        <v>7.7633218925309063E-9</v>
      </c>
      <c r="CR22" s="157">
        <f t="shared" si="4"/>
        <v>1.0549081189829553E-8</v>
      </c>
      <c r="CT22" s="157">
        <f t="shared" si="23"/>
        <v>1.5863026340956403E-3</v>
      </c>
      <c r="CU22" s="157">
        <f t="shared" si="24"/>
        <v>2.0565521567015234E-3</v>
      </c>
      <c r="CV22" s="155"/>
      <c r="CW22" s="157">
        <f t="shared" si="25"/>
        <v>3.8192702124620478E-4</v>
      </c>
      <c r="CX22" s="157">
        <f t="shared" si="26"/>
        <v>5.0771950706699702E-4</v>
      </c>
      <c r="CY22" s="4"/>
      <c r="CZ22" s="157">
        <f t="shared" si="5"/>
        <v>5.483150691320752E-5</v>
      </c>
      <c r="DA22" s="157">
        <f t="shared" si="5"/>
        <v>8.2686202593174835E-5</v>
      </c>
      <c r="DB22" s="157">
        <f t="shared" si="5"/>
        <v>3.0049509247275513E-5</v>
      </c>
      <c r="DC22" s="157">
        <f t="shared" si="5"/>
        <v>3.907574449636253E-5</v>
      </c>
      <c r="DD22" s="157">
        <f t="shared" si="5"/>
        <v>6.9383155172293888E-6</v>
      </c>
      <c r="DE22" s="157">
        <f t="shared" si="5"/>
        <v>1.8641643357185377E-5</v>
      </c>
      <c r="DF22" s="157">
        <f t="shared" si="5"/>
        <v>8.5432454658128908E-7</v>
      </c>
      <c r="DG22" s="157">
        <f t="shared" si="5"/>
        <v>1.8830641822198528E-6</v>
      </c>
      <c r="DH22" s="157">
        <f t="shared" si="5"/>
        <v>1.6989357602121332E-5</v>
      </c>
      <c r="DI22" s="157">
        <f t="shared" si="5"/>
        <v>2.3085750557407068E-5</v>
      </c>
    </row>
    <row r="23" spans="1:113" x14ac:dyDescent="0.25">
      <c r="A23">
        <f t="shared" si="6"/>
        <v>18</v>
      </c>
      <c r="B23" s="11" t="s">
        <v>136</v>
      </c>
      <c r="C23" s="158">
        <v>1.1399945145719323</v>
      </c>
      <c r="D23" s="17">
        <v>1.7775988404101903</v>
      </c>
      <c r="E23" s="155"/>
      <c r="F23" s="162">
        <v>0.51784916133810432</v>
      </c>
      <c r="G23" s="17">
        <v>0.68840931985315201</v>
      </c>
      <c r="H23" s="4"/>
      <c r="I23" s="155">
        <v>7.3476648742248643E-2</v>
      </c>
      <c r="J23" s="17">
        <v>0.11124441586732087</v>
      </c>
      <c r="K23" s="155">
        <v>3.8751777660509502E-2</v>
      </c>
      <c r="L23" s="17">
        <v>5.0990315637027682E-2</v>
      </c>
      <c r="M23" s="155">
        <v>2.5028027679817429E-2</v>
      </c>
      <c r="N23" s="17">
        <v>4.0896395639253375E-2</v>
      </c>
      <c r="O23" s="169">
        <v>2.7804134642947574E-4</v>
      </c>
      <c r="P23" s="17">
        <v>1.6728941007918803E-3</v>
      </c>
      <c r="Q23" s="155">
        <v>9.4188020554922605E-3</v>
      </c>
      <c r="R23" s="17">
        <v>1.7684810490247949E-2</v>
      </c>
      <c r="S23" s="3"/>
      <c r="T23" s="104">
        <f t="shared" si="0"/>
        <v>1.1032754569928693</v>
      </c>
      <c r="U23" s="105">
        <f t="shared" si="0"/>
        <v>1.4666531562909202</v>
      </c>
      <c r="V23" s="166"/>
      <c r="W23" s="3">
        <v>0.46937431450670913</v>
      </c>
      <c r="X23" s="172">
        <f>+'I-O'!BO20/'I-O'!BO$75</f>
        <v>2.3794390747701607E-3</v>
      </c>
      <c r="Y23" s="172">
        <f>+'I-O'!BP20/'I-O'!BP$75</f>
        <v>1.785586519170744E-3</v>
      </c>
      <c r="Z23" s="172">
        <f>+'I-O'!BT20/'I-O'!BT$75</f>
        <v>6.396506015033845E-4</v>
      </c>
      <c r="AA23" s="172">
        <f>+'I-O'!BU20/'I-O'!BU$75</f>
        <v>5.6900105937798424E-5</v>
      </c>
      <c r="AB23" s="172">
        <f>+'I-O'!BW20/'I-O'!BW$75</f>
        <v>2.3905136910370243E-5</v>
      </c>
      <c r="AC23" s="134"/>
      <c r="AD23" s="157">
        <f t="shared" si="7"/>
        <v>2.0209892613086218E-3</v>
      </c>
      <c r="AE23" s="157">
        <f t="shared" si="8"/>
        <v>2.8194986161754979E-3</v>
      </c>
      <c r="AF23" s="155"/>
      <c r="AG23" s="157">
        <f t="shared" si="9"/>
        <v>6.4853292705441474E-4</v>
      </c>
      <c r="AH23" s="157">
        <f t="shared" si="10"/>
        <v>8.621354335348856E-4</v>
      </c>
      <c r="AI23" s="4"/>
      <c r="AJ23" s="157">
        <f t="shared" si="10"/>
        <v>9.5562897545895778E-5</v>
      </c>
      <c r="AK23" s="157">
        <f t="shared" ref="AK23:AK68" si="27">+J22*$X22</f>
        <v>1.4286169107612356E-4</v>
      </c>
      <c r="AL23" s="157">
        <f t="shared" ref="AL23:AL68" si="28">+K22*$X22</f>
        <v>5.3787261342891188E-5</v>
      </c>
      <c r="AM23" s="157">
        <f t="shared" ref="AM23:AM68" si="29">+L22*$X22</f>
        <v>6.9114301433617138E-5</v>
      </c>
      <c r="AN23" s="157">
        <f t="shared" ref="AN23:AN68" si="30">+M22*$X22</f>
        <v>3.912370054800934E-6</v>
      </c>
      <c r="AO23" s="157">
        <f t="shared" ref="AO23:AO68" si="31">+N22*$X22</f>
        <v>2.378525947634117E-5</v>
      </c>
      <c r="AP23" s="157">
        <f t="shared" ref="AP23:AP68" si="32">+O22*$X22</f>
        <v>4.2760950674421475E-7</v>
      </c>
      <c r="AQ23" s="157">
        <f t="shared" ref="AQ23:AQ68" si="33">+P22*$X22</f>
        <v>2.174465555055826E-6</v>
      </c>
      <c r="AR23" s="157">
        <f t="shared" ref="AR23:AR68" si="34">+Q22*$X22</f>
        <v>3.7435656641459458E-5</v>
      </c>
      <c r="AS23" s="157">
        <f t="shared" ref="AS23:AS68" si="35">+R22*$X22</f>
        <v>4.7787664611109346E-5</v>
      </c>
      <c r="AT23" s="134"/>
      <c r="AU23" s="157">
        <f t="shared" si="11"/>
        <v>5.5480808053239303E-3</v>
      </c>
      <c r="AV23" s="157">
        <f t="shared" si="12"/>
        <v>7.7401728215575494E-3</v>
      </c>
      <c r="AW23" s="155"/>
      <c r="AX23" s="157">
        <f t="shared" si="13"/>
        <v>1.7803721935075051E-3</v>
      </c>
      <c r="AY23" s="157">
        <f t="shared" si="14"/>
        <v>2.3667602505157946E-3</v>
      </c>
      <c r="AZ23" s="4"/>
      <c r="BA23" s="157">
        <f t="shared" ref="BA23:BA68" si="36">+$Y22*I22</f>
        <v>2.6234215476841032E-4</v>
      </c>
      <c r="BB23" s="157">
        <f t="shared" ref="BB23:BB68" si="37">+$Y22*J22</f>
        <v>3.9218823239185947E-4</v>
      </c>
      <c r="BC23" s="157">
        <f t="shared" ref="BC23:BC68" si="38">+$Y22*K22</f>
        <v>1.4765841557921362E-4</v>
      </c>
      <c r="BD23" s="157">
        <f t="shared" ref="BD23:BD68" si="39">+$Y22*L22</f>
        <v>1.8973466930196972E-4</v>
      </c>
      <c r="BE23" s="157">
        <f t="shared" ref="BE23:BE68" si="40">+$Y22*M22</f>
        <v>1.0740356527332626E-5</v>
      </c>
      <c r="BF23" s="157">
        <f t="shared" ref="BF23:BF68" si="41">+$Y22*N22</f>
        <v>6.5296013233088527E-5</v>
      </c>
      <c r="BG23" s="157">
        <f t="shared" ref="BG23:BG68" si="42">+$Y22*O22</f>
        <v>1.1738865425764006E-6</v>
      </c>
      <c r="BH23" s="157">
        <f t="shared" ref="BH23:BH68" si="43">+$Y22*P22</f>
        <v>5.9694085657988982E-6</v>
      </c>
      <c r="BI23" s="157">
        <f t="shared" ref="BI23:BI68" si="44">+$Y22*Q22</f>
        <v>1.0276949611928771E-4</v>
      </c>
      <c r="BJ23" s="157">
        <f t="shared" ref="BJ23:BJ68" si="45">+$Y22*R22</f>
        <v>1.3118814129100211E-4</v>
      </c>
      <c r="BL23" s="157">
        <f t="shared" si="15"/>
        <v>1.5626603572985809E-3</v>
      </c>
      <c r="BM23" s="157">
        <f t="shared" si="16"/>
        <v>2.1800802207641409E-3</v>
      </c>
      <c r="BN23" s="155"/>
      <c r="BO23" s="157">
        <f t="shared" si="17"/>
        <v>5.014557548190684E-4</v>
      </c>
      <c r="BP23" s="157">
        <f t="shared" si="18"/>
        <v>6.6661653794985662E-4</v>
      </c>
      <c r="BQ23" s="4"/>
      <c r="BR23" s="157">
        <f t="shared" ref="BR23:BR68" si="46">+I22*$Z22</f>
        <v>7.3890719996632829E-5</v>
      </c>
      <c r="BS23" s="157">
        <f t="shared" ref="BS23:BS68" si="47">+J22*$Z22</f>
        <v>1.1046288344785197E-4</v>
      </c>
      <c r="BT23" s="157">
        <f t="shared" ref="BT23:BT68" si="48">+K22*$Z22</f>
        <v>4.1589147769033681E-5</v>
      </c>
      <c r="BU23" s="157">
        <f t="shared" ref="BU23:BU68" si="49">+L22*$Z22</f>
        <v>5.3440253761054084E-5</v>
      </c>
      <c r="BV23" s="157">
        <f t="shared" ref="BV23:BV68" si="50">+M22*$Z22</f>
        <v>3.0251054296848555E-6</v>
      </c>
      <c r="BW23" s="157">
        <f t="shared" ref="BW23:BW68" si="51">+N22*$Z22</f>
        <v>1.8391132888886168E-5</v>
      </c>
      <c r="BX23" s="157">
        <f t="shared" ref="BX23:BX68" si="52">+O22*$Z22</f>
        <v>3.3063432715150075E-7</v>
      </c>
      <c r="BY23" s="157">
        <f t="shared" ref="BY23:BY68" si="53">+P22*$Z22</f>
        <v>1.6813306167677352E-6</v>
      </c>
      <c r="BZ23" s="157">
        <f t="shared" ref="BZ23:BZ68" si="54">+Q22*$Z22</f>
        <v>2.8945832470762803E-5</v>
      </c>
      <c r="CA23" s="157">
        <f t="shared" ref="CA23:CA68" si="55">+R22*$Z22</f>
        <v>3.6950166181143929E-5</v>
      </c>
      <c r="CC23" s="157">
        <f t="shared" si="19"/>
        <v>9.9942784425795098E-5</v>
      </c>
      <c r="CD23" s="157">
        <f t="shared" si="20"/>
        <v>1.3943099440458825E-4</v>
      </c>
      <c r="CE23" s="155"/>
      <c r="CF23" s="157">
        <f t="shared" si="21"/>
        <v>3.2071514560972876E-5</v>
      </c>
      <c r="CG23" s="157">
        <f t="shared" si="22"/>
        <v>4.2634672746268732E-5</v>
      </c>
      <c r="CH23" s="4"/>
      <c r="CI23" s="157">
        <f t="shared" ref="CI23:CI68" si="56">+I22*$AA22</f>
        <v>4.725815347652813E-6</v>
      </c>
      <c r="CJ23" s="157">
        <f t="shared" ref="CJ23:CJ68" si="57">+J22*$AA22</f>
        <v>7.0648545577527363E-6</v>
      </c>
      <c r="CK23" s="157">
        <f t="shared" ref="CK23:CK68" si="58">+K22*$AA22</f>
        <v>2.6599095641733695E-6</v>
      </c>
      <c r="CL23" s="157">
        <f t="shared" ref="CL23:CL68" si="59">+L22*$AA22</f>
        <v>3.417868595920555E-6</v>
      </c>
      <c r="CM23" s="157">
        <f t="shared" ref="CM23:CM68" si="60">+M22*$AA22</f>
        <v>1.9347611809066165E-7</v>
      </c>
      <c r="CN23" s="157">
        <f t="shared" ref="CN23:CN68" si="61">+N22*$AA22</f>
        <v>1.176238343204414E-6</v>
      </c>
      <c r="CO23" s="157">
        <f t="shared" ref="CO23:CO68" si="62">+O22*$AA22</f>
        <v>2.1146319561977831E-8</v>
      </c>
      <c r="CP23" s="157">
        <f t="shared" ref="CP23:CP68" si="63">+P22*$AA22</f>
        <v>1.0753255663988134E-7</v>
      </c>
      <c r="CQ23" s="157">
        <f t="shared" ref="CQ23:CQ68" si="64">+Q22*$AA22</f>
        <v>1.8512833458268045E-6</v>
      </c>
      <c r="CR23" s="157">
        <f t="shared" ref="CR23:CR68" si="65">+R22*$AA22</f>
        <v>2.3632150619878822E-6</v>
      </c>
      <c r="CT23" s="157">
        <f t="shared" si="23"/>
        <v>5.6377119235027199E-5</v>
      </c>
      <c r="CU23" s="157">
        <f t="shared" si="24"/>
        <v>7.8652179262048272E-5</v>
      </c>
      <c r="CV23" s="155"/>
      <c r="CW23" s="157">
        <f t="shared" si="25"/>
        <v>1.8091347072627792E-5</v>
      </c>
      <c r="CX23" s="157">
        <f t="shared" si="26"/>
        <v>2.4049960612688173E-5</v>
      </c>
      <c r="CY23" s="4"/>
      <c r="CZ23" s="157">
        <f t="shared" ref="CZ23:CZ68" si="66">+I22*$AB22</f>
        <v>2.6658038083295532E-6</v>
      </c>
      <c r="DA23" s="157">
        <f t="shared" ref="DA23:DA68" si="67">+J22*$AB22</f>
        <v>3.9852416567028492E-6</v>
      </c>
      <c r="DB23" s="157">
        <f t="shared" ref="DB23:DB68" si="68">+K22*$AB22</f>
        <v>1.5004388712536944E-6</v>
      </c>
      <c r="DC23" s="157">
        <f t="shared" ref="DC23:DC68" si="69">+L22*$AB22</f>
        <v>1.9279989692996307E-6</v>
      </c>
      <c r="DD23" s="157">
        <f t="shared" ref="DD23:DD68" si="70">+M22*$AB22</f>
        <v>1.0913870612466337E-7</v>
      </c>
      <c r="DE23" s="157">
        <f t="shared" ref="DE23:DE68" si="71">+N22*$AB22</f>
        <v>6.6350892367704355E-7</v>
      </c>
      <c r="DF23" s="157">
        <f t="shared" ref="DF23:DF68" si="72">+O22*$AB22</f>
        <v>1.1928510759201095E-8</v>
      </c>
      <c r="DG23" s="157">
        <f t="shared" ref="DG23:DG68" si="73">+P22*$AB22</f>
        <v>6.0658463761684185E-8</v>
      </c>
      <c r="DH23" s="157">
        <f t="shared" ref="DH23:DH68" si="74">+Q22*$AB22</f>
        <v>1.0442977201919951E-6</v>
      </c>
      <c r="DI23" s="157">
        <f t="shared" ref="DI23:DI68" si="75">+R22*$AB22</f>
        <v>1.3330752999644887E-6</v>
      </c>
    </row>
    <row r="24" spans="1:113" x14ac:dyDescent="0.25">
      <c r="A24">
        <f t="shared" si="6"/>
        <v>19</v>
      </c>
      <c r="B24" s="11" t="s">
        <v>137</v>
      </c>
      <c r="C24" s="158">
        <v>1.3238188813163352</v>
      </c>
      <c r="D24" s="17">
        <v>2.1155297641043669</v>
      </c>
      <c r="E24" s="155"/>
      <c r="F24" s="162">
        <v>0.64301134741365351</v>
      </c>
      <c r="G24" s="17">
        <v>0.85479525193607886</v>
      </c>
      <c r="H24" s="4"/>
      <c r="I24" s="155">
        <v>8.1943867370346049E-2</v>
      </c>
      <c r="J24" s="17">
        <v>0.12883996113855048</v>
      </c>
      <c r="K24" s="155">
        <v>4.0778467551374223E-2</v>
      </c>
      <c r="L24" s="17">
        <v>5.597501392468409E-2</v>
      </c>
      <c r="M24" s="155">
        <v>2.8885343884189084E-2</v>
      </c>
      <c r="N24" s="17">
        <v>4.8589036435292117E-2</v>
      </c>
      <c r="O24" s="169">
        <v>1.0946946765405276E-3</v>
      </c>
      <c r="P24" s="17">
        <v>2.8266780724557424E-3</v>
      </c>
      <c r="Q24" s="155">
        <v>1.1185361258242228E-2</v>
      </c>
      <c r="R24" s="17">
        <v>2.1449232706118582E-2</v>
      </c>
      <c r="S24" s="3"/>
      <c r="T24" s="104">
        <f t="shared" si="0"/>
        <v>1.2180610735404953</v>
      </c>
      <c r="U24" s="105">
        <f t="shared" si="0"/>
        <v>1.6192448646800817</v>
      </c>
      <c r="V24" s="166"/>
      <c r="W24" s="3">
        <v>0.52789746046529096</v>
      </c>
      <c r="X24" s="172">
        <f>+'I-O'!BO21/'I-O'!BO$75</f>
        <v>2.9299644609421826E-3</v>
      </c>
      <c r="Y24" s="172">
        <f>+'I-O'!BP21/'I-O'!BP$75</f>
        <v>5.6452513424070701E-3</v>
      </c>
      <c r="Z24" s="172">
        <f>+'I-O'!BT21/'I-O'!BT$75</f>
        <v>5.0059799946833034E-3</v>
      </c>
      <c r="AA24" s="172">
        <f>+'I-O'!BU21/'I-O'!BU$75</f>
        <v>8.4985823977969189E-6</v>
      </c>
      <c r="AB24" s="172">
        <f>+'I-O'!BW21/'I-O'!BW$75</f>
        <v>8.7727960197797042E-6</v>
      </c>
      <c r="AC24" s="134"/>
      <c r="AD24" s="157">
        <f t="shared" si="7"/>
        <v>2.7125474929960971E-3</v>
      </c>
      <c r="AE24" s="157">
        <f t="shared" si="8"/>
        <v>4.2296881401381334E-3</v>
      </c>
      <c r="AF24" s="155"/>
      <c r="AG24" s="157">
        <f t="shared" si="9"/>
        <v>1.2321905293248426E-3</v>
      </c>
      <c r="AH24" s="157">
        <f t="shared" si="10"/>
        <v>1.6380280350945396E-3</v>
      </c>
      <c r="AI24" s="4"/>
      <c r="AJ24" s="157">
        <f t="shared" si="10"/>
        <v>1.7483320910046819E-4</v>
      </c>
      <c r="AK24" s="157">
        <f t="shared" si="27"/>
        <v>2.6469930996468496E-4</v>
      </c>
      <c r="AL24" s="157">
        <f t="shared" si="28"/>
        <v>9.2207493982221711E-5</v>
      </c>
      <c r="AM24" s="157">
        <f t="shared" si="29"/>
        <v>1.213283494616076E-4</v>
      </c>
      <c r="AN24" s="157">
        <f t="shared" si="30"/>
        <v>5.9552667025786752E-5</v>
      </c>
      <c r="AO24" s="157">
        <f t="shared" si="31"/>
        <v>9.7310481801299488E-5</v>
      </c>
      <c r="AP24" s="157">
        <f t="shared" si="32"/>
        <v>6.6158244409600144E-7</v>
      </c>
      <c r="AQ24" s="157">
        <f t="shared" si="33"/>
        <v>3.9805495913766919E-6</v>
      </c>
      <c r="AR24" s="157">
        <f t="shared" si="34"/>
        <v>2.2411465648363793E-5</v>
      </c>
      <c r="AS24" s="157">
        <f t="shared" si="35"/>
        <v>4.2079929110401213E-5</v>
      </c>
      <c r="AT24" s="134"/>
      <c r="AU24" s="157">
        <f t="shared" si="11"/>
        <v>2.0355588371482386E-3</v>
      </c>
      <c r="AV24" s="157">
        <f t="shared" si="12"/>
        <v>3.1740565259299825E-3</v>
      </c>
      <c r="AW24" s="155"/>
      <c r="AX24" s="157">
        <f t="shared" si="13"/>
        <v>9.246644814491947E-4</v>
      </c>
      <c r="AY24" s="157">
        <f t="shared" si="14"/>
        <v>1.2292144012012889E-3</v>
      </c>
      <c r="AZ24" s="4"/>
      <c r="BA24" s="157">
        <f t="shared" si="36"/>
        <v>1.3119891346800318E-4</v>
      </c>
      <c r="BB24" s="157">
        <f t="shared" si="37"/>
        <v>1.9863652930571213E-4</v>
      </c>
      <c r="BC24" s="157">
        <f t="shared" si="38"/>
        <v>6.9194651784507756E-5</v>
      </c>
      <c r="BD24" s="157">
        <f t="shared" si="39"/>
        <v>9.1047620209737813E-5</v>
      </c>
      <c r="BE24" s="157">
        <f t="shared" si="40"/>
        <v>4.4689708826514233E-5</v>
      </c>
      <c r="BF24" s="157">
        <f t="shared" si="41"/>
        <v>7.3024052736124032E-5</v>
      </c>
      <c r="BG24" s="157">
        <f t="shared" si="42"/>
        <v>4.9646687995655458E-7</v>
      </c>
      <c r="BH24" s="157">
        <f t="shared" si="43"/>
        <v>2.9870971543742452E-6</v>
      </c>
      <c r="BI24" s="157">
        <f t="shared" si="44"/>
        <v>1.6818085977024674E-5</v>
      </c>
      <c r="BJ24" s="157">
        <f t="shared" si="45"/>
        <v>3.1577759205476094E-5</v>
      </c>
      <c r="BL24" s="157">
        <f t="shared" si="15"/>
        <v>7.2919817695649538E-4</v>
      </c>
      <c r="BM24" s="157">
        <f t="shared" si="16"/>
        <v>1.1370421675000971E-3</v>
      </c>
      <c r="BN24" s="155"/>
      <c r="BO24" s="157">
        <f t="shared" si="17"/>
        <v>3.3124252753794165E-4</v>
      </c>
      <c r="BP24" s="157">
        <f t="shared" si="18"/>
        <v>4.4034143552460452E-4</v>
      </c>
      <c r="BQ24" s="4"/>
      <c r="BR24" s="157">
        <f t="shared" si="46"/>
        <v>4.6999382564432243E-5</v>
      </c>
      <c r="BS24" s="157">
        <f t="shared" si="47"/>
        <v>7.1157557523424437E-5</v>
      </c>
      <c r="BT24" s="157">
        <f t="shared" si="48"/>
        <v>2.4787597889870322E-5</v>
      </c>
      <c r="BU24" s="157">
        <f t="shared" si="49"/>
        <v>3.2615986068072192E-5</v>
      </c>
      <c r="BV24" s="157">
        <f t="shared" si="50"/>
        <v>1.6009192959838577E-5</v>
      </c>
      <c r="BW24" s="157">
        <f t="shared" si="51"/>
        <v>2.6159404069968811E-5</v>
      </c>
      <c r="BX24" s="157">
        <f t="shared" si="52"/>
        <v>1.7784931448642508E-7</v>
      </c>
      <c r="BY24" s="157">
        <f t="shared" si="53"/>
        <v>1.0700677178229897E-6</v>
      </c>
      <c r="BZ24" s="157">
        <f t="shared" si="54"/>
        <v>6.0247424002369386E-6</v>
      </c>
      <c r="CA24" s="157">
        <f t="shared" si="55"/>
        <v>1.1312099667560464E-5</v>
      </c>
      <c r="CC24" s="157">
        <f t="shared" si="19"/>
        <v>6.4865808647652037E-5</v>
      </c>
      <c r="CD24" s="157">
        <f t="shared" si="20"/>
        <v>1.0114556233424747E-4</v>
      </c>
      <c r="CE24" s="155"/>
      <c r="CF24" s="157">
        <f t="shared" si="21"/>
        <v>2.9465672139938203E-5</v>
      </c>
      <c r="CG24" s="157">
        <f t="shared" si="22"/>
        <v>3.9170563228212109E-5</v>
      </c>
      <c r="CH24" s="4"/>
      <c r="CI24" s="157">
        <f t="shared" si="56"/>
        <v>4.1808290973883509E-6</v>
      </c>
      <c r="CJ24" s="157">
        <f t="shared" si="57"/>
        <v>6.3298190478390616E-6</v>
      </c>
      <c r="CK24" s="157">
        <f t="shared" si="58"/>
        <v>2.2049802541610009E-6</v>
      </c>
      <c r="CL24" s="157">
        <f t="shared" si="59"/>
        <v>2.9013543615486548E-6</v>
      </c>
      <c r="CM24" s="157">
        <f t="shared" si="60"/>
        <v>1.424097426395763E-6</v>
      </c>
      <c r="CN24" s="157">
        <f t="shared" si="61"/>
        <v>2.3270092443476346E-6</v>
      </c>
      <c r="CO24" s="157">
        <f t="shared" si="62"/>
        <v>1.582058206692528E-8</v>
      </c>
      <c r="CP24" s="157">
        <f t="shared" si="63"/>
        <v>9.518785155777602E-8</v>
      </c>
      <c r="CQ24" s="157">
        <f t="shared" si="64"/>
        <v>5.3593083476466319E-7</v>
      </c>
      <c r="CR24" s="157">
        <f t="shared" si="65"/>
        <v>1.0062675903849972E-6</v>
      </c>
      <c r="CT24" s="157">
        <f t="shared" si="23"/>
        <v>2.7251724947913109E-5</v>
      </c>
      <c r="CU24" s="157">
        <f t="shared" si="24"/>
        <v>4.2493743651720987E-5</v>
      </c>
      <c r="CV24" s="155"/>
      <c r="CW24" s="157">
        <f t="shared" si="25"/>
        <v>1.2379255100707793E-5</v>
      </c>
      <c r="CX24" s="157">
        <f t="shared" si="26"/>
        <v>1.6456519041464458E-5</v>
      </c>
      <c r="CY24" s="4"/>
      <c r="CZ24" s="157">
        <f t="shared" si="66"/>
        <v>1.7564693478986373E-6</v>
      </c>
      <c r="DA24" s="157">
        <f t="shared" si="67"/>
        <v>2.6593129918224693E-6</v>
      </c>
      <c r="DB24" s="157">
        <f t="shared" si="68"/>
        <v>9.2636655049470677E-7</v>
      </c>
      <c r="DC24" s="157">
        <f t="shared" si="69"/>
        <v>1.2189304764061395E-6</v>
      </c>
      <c r="DD24" s="157">
        <f t="shared" si="70"/>
        <v>5.9829842828257175E-7</v>
      </c>
      <c r="DE24" s="157">
        <f t="shared" si="71"/>
        <v>9.7763393689702042E-7</v>
      </c>
      <c r="DF24" s="157">
        <f t="shared" si="72"/>
        <v>6.6466164531403003E-9</v>
      </c>
      <c r="DG24" s="157">
        <f t="shared" si="73"/>
        <v>3.9990762515980616E-8</v>
      </c>
      <c r="DH24" s="157">
        <f t="shared" si="74"/>
        <v>2.2515775266821917E-7</v>
      </c>
      <c r="DI24" s="157">
        <f t="shared" si="75"/>
        <v>4.2275781600332913E-7</v>
      </c>
    </row>
    <row r="25" spans="1:113" x14ac:dyDescent="0.25">
      <c r="A25">
        <f t="shared" si="6"/>
        <v>20</v>
      </c>
      <c r="B25" s="11" t="s">
        <v>138</v>
      </c>
      <c r="C25" s="158">
        <v>1.6421301215443251</v>
      </c>
      <c r="D25" s="17">
        <v>2.2645262110886941</v>
      </c>
      <c r="E25" s="155"/>
      <c r="F25" s="162">
        <v>0.50549734361812826</v>
      </c>
      <c r="G25" s="17">
        <v>0.67198927504012751</v>
      </c>
      <c r="H25" s="4"/>
      <c r="I25" s="155">
        <v>8.6045360950886926E-2</v>
      </c>
      <c r="J25" s="17">
        <v>0.12291228549466782</v>
      </c>
      <c r="K25" s="155">
        <v>3.3736838720369762E-2</v>
      </c>
      <c r="L25" s="17">
        <v>4.5683461209655454E-2</v>
      </c>
      <c r="M25" s="155">
        <v>3.6152141999578606E-2</v>
      </c>
      <c r="N25" s="17">
        <v>5.1642015209613042E-2</v>
      </c>
      <c r="O25" s="169">
        <v>1.5634728782601001E-3</v>
      </c>
      <c r="P25" s="17">
        <v>2.9250553905242611E-3</v>
      </c>
      <c r="Q25" s="155">
        <v>1.4592907352678482E-2</v>
      </c>
      <c r="R25" s="17">
        <v>2.266175368487508E-2</v>
      </c>
      <c r="S25" s="3"/>
      <c r="T25" s="104">
        <f t="shared" si="0"/>
        <v>1.6856254634600558</v>
      </c>
      <c r="U25" s="105">
        <f t="shared" si="0"/>
        <v>2.2408074888626972</v>
      </c>
      <c r="V25" s="166"/>
      <c r="W25" s="3">
        <v>0.29988710693803955</v>
      </c>
      <c r="X25" s="172">
        <f>+'I-O'!BO22/'I-O'!BO$75</f>
        <v>1.6531133563013453E-3</v>
      </c>
      <c r="Y25" s="172">
        <f>+'I-O'!BP22/'I-O'!BP$75</f>
        <v>3.7076482209309251E-2</v>
      </c>
      <c r="Z25" s="172">
        <f>+'I-O'!BT22/'I-O'!BT$75</f>
        <v>0</v>
      </c>
      <c r="AA25" s="172">
        <f>+'I-O'!BU22/'I-O'!BU$75</f>
        <v>1.3592717861526705E-3</v>
      </c>
      <c r="AB25" s="172">
        <f>+'I-O'!BW22/'I-O'!BW$75</f>
        <v>4.0102107520840345E-5</v>
      </c>
      <c r="AC25" s="134"/>
      <c r="AD25" s="157">
        <f t="shared" si="7"/>
        <v>3.8787422749810992E-3</v>
      </c>
      <c r="AE25" s="157">
        <f t="shared" si="8"/>
        <v>6.1984270248911944E-3</v>
      </c>
      <c r="AF25" s="155"/>
      <c r="AG25" s="157">
        <f t="shared" si="9"/>
        <v>1.8840003959045518E-3</v>
      </c>
      <c r="AH25" s="157">
        <f t="shared" si="10"/>
        <v>2.5045197095548304E-3</v>
      </c>
      <c r="AI25" s="4"/>
      <c r="AJ25" s="157">
        <f t="shared" si="10"/>
        <v>2.4009261918727366E-4</v>
      </c>
      <c r="AK25" s="157">
        <f t="shared" si="27"/>
        <v>3.7749650728512483E-4</v>
      </c>
      <c r="AL25" s="157">
        <f t="shared" si="28"/>
        <v>1.1947946069721045E-4</v>
      </c>
      <c r="AM25" s="157">
        <f t="shared" si="29"/>
        <v>1.6400480150006818E-4</v>
      </c>
      <c r="AN25" s="157">
        <f t="shared" si="30"/>
        <v>8.4633031022767635E-5</v>
      </c>
      <c r="AO25" s="157">
        <f t="shared" si="31"/>
        <v>1.4236414994683074E-4</v>
      </c>
      <c r="AP25" s="157">
        <f t="shared" si="32"/>
        <v>3.2074164978463439E-6</v>
      </c>
      <c r="AQ25" s="157">
        <f t="shared" si="33"/>
        <v>8.2820662948198769E-6</v>
      </c>
      <c r="AR25" s="157">
        <f t="shared" si="34"/>
        <v>3.2772710969449259E-5</v>
      </c>
      <c r="AS25" s="157">
        <f t="shared" si="35"/>
        <v>6.2845489543406164E-5</v>
      </c>
      <c r="AT25" s="134"/>
      <c r="AU25" s="157">
        <f t="shared" si="11"/>
        <v>7.4732903168548675E-3</v>
      </c>
      <c r="AV25" s="157">
        <f t="shared" si="12"/>
        <v>1.1942697240712289E-2</v>
      </c>
      <c r="AW25" s="155"/>
      <c r="AX25" s="157">
        <f t="shared" si="13"/>
        <v>3.6299606721699063E-3</v>
      </c>
      <c r="AY25" s="157">
        <f t="shared" si="14"/>
        <v>4.825534043475339E-3</v>
      </c>
      <c r="AZ25" s="4"/>
      <c r="BA25" s="157">
        <f t="shared" si="36"/>
        <v>4.6259372727447292E-4</v>
      </c>
      <c r="BB25" s="157">
        <f t="shared" si="37"/>
        <v>7.2733396357307684E-4</v>
      </c>
      <c r="BC25" s="157">
        <f t="shared" si="38"/>
        <v>2.3020469868569848E-4</v>
      </c>
      <c r="BD25" s="157">
        <f t="shared" si="39"/>
        <v>3.1599302249957732E-4</v>
      </c>
      <c r="BE25" s="157">
        <f t="shared" si="40"/>
        <v>1.6306502633810829E-4</v>
      </c>
      <c r="BF25" s="157">
        <f t="shared" si="41"/>
        <v>2.7429732316259885E-4</v>
      </c>
      <c r="BG25" s="157">
        <f t="shared" si="42"/>
        <v>6.1798265922662873E-6</v>
      </c>
      <c r="BH25" s="157">
        <f t="shared" si="43"/>
        <v>1.5957308183083409E-5</v>
      </c>
      <c r="BI25" s="157">
        <f t="shared" si="44"/>
        <v>6.3144175658399966E-5</v>
      </c>
      <c r="BJ25" s="157">
        <f t="shared" si="45"/>
        <v>1.2108630972781756E-4</v>
      </c>
      <c r="BL25" s="157">
        <f t="shared" si="15"/>
        <v>6.6270108364536043E-3</v>
      </c>
      <c r="BM25" s="157">
        <f t="shared" si="16"/>
        <v>1.0590299677263548E-2</v>
      </c>
      <c r="BN25" s="155"/>
      <c r="BO25" s="157">
        <f t="shared" si="17"/>
        <v>3.2189019415071051E-3</v>
      </c>
      <c r="BP25" s="157">
        <f t="shared" si="18"/>
        <v>4.2790879307422853E-3</v>
      </c>
      <c r="BQ25" s="4"/>
      <c r="BR25" s="157">
        <f t="shared" si="46"/>
        <v>4.1020936074293425E-4</v>
      </c>
      <c r="BS25" s="157">
        <f t="shared" si="47"/>
        <v>6.4497026797535797E-4</v>
      </c>
      <c r="BT25" s="157">
        <f t="shared" si="48"/>
        <v>2.041361927760216E-4</v>
      </c>
      <c r="BU25" s="157">
        <f t="shared" si="49"/>
        <v>2.8020979990908787E-4</v>
      </c>
      <c r="BV25" s="157">
        <f t="shared" si="50"/>
        <v>1.4459945362379825E-4</v>
      </c>
      <c r="BW25" s="157">
        <f t="shared" si="51"/>
        <v>2.4323574435601046E-4</v>
      </c>
      <c r="BX25" s="157">
        <f t="shared" si="52"/>
        <v>5.4800196510481905E-6</v>
      </c>
      <c r="BY25" s="157">
        <f t="shared" si="53"/>
        <v>1.4150293882123408E-5</v>
      </c>
      <c r="BZ25" s="157">
        <f t="shared" si="54"/>
        <v>5.5993694692066253E-5</v>
      </c>
      <c r="CA25" s="157">
        <f t="shared" si="55"/>
        <v>1.0737442982813644E-4</v>
      </c>
      <c r="CC25" s="157">
        <f t="shared" si="19"/>
        <v>1.1250583842626215E-5</v>
      </c>
      <c r="CD25" s="157">
        <f t="shared" si="20"/>
        <v>1.797900401523284E-5</v>
      </c>
      <c r="CE25" s="155"/>
      <c r="CF25" s="157">
        <f t="shared" si="21"/>
        <v>5.4646849187133551E-6</v>
      </c>
      <c r="CG25" s="157">
        <f t="shared" si="22"/>
        <v>7.2645478818243426E-6</v>
      </c>
      <c r="CH25" s="4"/>
      <c r="CI25" s="157">
        <f t="shared" si="56"/>
        <v>6.9640670884102822E-7</v>
      </c>
      <c r="CJ25" s="157">
        <f t="shared" si="57"/>
        <v>1.0949570258649241E-6</v>
      </c>
      <c r="CK25" s="157">
        <f t="shared" si="58"/>
        <v>3.4655916654124182E-7</v>
      </c>
      <c r="CL25" s="157">
        <f t="shared" si="59"/>
        <v>4.7570826805675765E-7</v>
      </c>
      <c r="CM25" s="157">
        <f t="shared" si="60"/>
        <v>2.4548447508848025E-7</v>
      </c>
      <c r="CN25" s="157">
        <f t="shared" si="61"/>
        <v>4.1293792977488675E-7</v>
      </c>
      <c r="CO25" s="157">
        <f t="shared" si="62"/>
        <v>9.3033529090093194E-9</v>
      </c>
      <c r="CP25" s="157">
        <f t="shared" si="63"/>
        <v>2.4022756510810896E-8</v>
      </c>
      <c r="CQ25" s="157">
        <f t="shared" si="64"/>
        <v>9.5059714302296993E-8</v>
      </c>
      <c r="CR25" s="157">
        <f t="shared" si="65"/>
        <v>1.8228807152246937E-7</v>
      </c>
      <c r="CT25" s="157">
        <f t="shared" si="23"/>
        <v>1.1613593012921167E-5</v>
      </c>
      <c r="CU25" s="157">
        <f t="shared" si="24"/>
        <v>1.8559111094260286E-5</v>
      </c>
      <c r="CV25" s="155"/>
      <c r="CW25" s="157">
        <f t="shared" si="25"/>
        <v>5.6410073892636842E-6</v>
      </c>
      <c r="CX25" s="157">
        <f t="shared" si="26"/>
        <v>7.4989443839114219E-6</v>
      </c>
      <c r="CY25" s="4"/>
      <c r="CZ25" s="157">
        <f t="shared" si="66"/>
        <v>7.188768335119278E-7</v>
      </c>
      <c r="DA25" s="157">
        <f t="shared" si="67"/>
        <v>1.1302866982648473E-6</v>
      </c>
      <c r="DB25" s="157">
        <f t="shared" si="68"/>
        <v>3.5774117782741159E-7</v>
      </c>
      <c r="DC25" s="157">
        <f t="shared" si="69"/>
        <v>4.9105737936558209E-7</v>
      </c>
      <c r="DD25" s="157">
        <f t="shared" si="70"/>
        <v>2.5340522985718204E-7</v>
      </c>
      <c r="DE25" s="157">
        <f t="shared" si="71"/>
        <v>4.2626170544446169E-7</v>
      </c>
      <c r="DF25" s="157">
        <f t="shared" si="72"/>
        <v>9.6035331012287714E-9</v>
      </c>
      <c r="DG25" s="157">
        <f t="shared" si="73"/>
        <v>2.4797870143238304E-8</v>
      </c>
      <c r="DH25" s="157">
        <f t="shared" si="74"/>
        <v>9.8126892726105515E-8</v>
      </c>
      <c r="DI25" s="157">
        <f t="shared" si="75"/>
        <v>1.8816974331156576E-7</v>
      </c>
    </row>
    <row r="26" spans="1:113" x14ac:dyDescent="0.25">
      <c r="A26">
        <f t="shared" si="6"/>
        <v>21</v>
      </c>
      <c r="B26" s="11" t="s">
        <v>139</v>
      </c>
      <c r="C26" s="158">
        <v>1.5399394204925441</v>
      </c>
      <c r="D26" s="17">
        <v>2.2181701881553217</v>
      </c>
      <c r="E26" s="155"/>
      <c r="F26" s="162">
        <v>0.55084512446824663</v>
      </c>
      <c r="G26" s="17">
        <v>0.73227291997490729</v>
      </c>
      <c r="H26" s="4"/>
      <c r="I26" s="155">
        <v>8.6354213848579622E-2</v>
      </c>
      <c r="J26" s="17">
        <v>0.12652844205267838</v>
      </c>
      <c r="K26" s="155">
        <v>4.2721820994929022E-2</v>
      </c>
      <c r="L26" s="17">
        <v>5.57401658688777E-2</v>
      </c>
      <c r="M26" s="155">
        <v>2.8818389045215196E-2</v>
      </c>
      <c r="N26" s="17">
        <v>4.5697846957509537E-2</v>
      </c>
      <c r="O26" s="169">
        <v>1.5267363203192409E-3</v>
      </c>
      <c r="P26" s="17">
        <v>3.0104653604633843E-3</v>
      </c>
      <c r="Q26" s="155">
        <v>1.3287267488116108E-2</v>
      </c>
      <c r="R26" s="17">
        <v>2.2079963865827789E-2</v>
      </c>
      <c r="S26" s="3"/>
      <c r="T26" s="104">
        <f t="shared" si="0"/>
        <v>1.515097284445329</v>
      </c>
      <c r="U26" s="105">
        <f t="shared" si="0"/>
        <v>2.0141137013744936</v>
      </c>
      <c r="V26" s="166"/>
      <c r="W26" s="3">
        <v>0.3635707951716835</v>
      </c>
      <c r="X26" s="172">
        <f>+'I-O'!BO23/'I-O'!BO$75</f>
        <v>1.8304573334802783E-3</v>
      </c>
      <c r="Y26" s="172">
        <f>+'I-O'!BP23/'I-O'!BP$75</f>
        <v>7.2465900483482384E-4</v>
      </c>
      <c r="Z26" s="172">
        <f>+'I-O'!BT23/'I-O'!BT$75</f>
        <v>2.4864726934030828E-3</v>
      </c>
      <c r="AA26" s="172">
        <f>+'I-O'!BU23/'I-O'!BU$75</f>
        <v>3.2344043862915186E-5</v>
      </c>
      <c r="AB26" s="172">
        <f>+'I-O'!BW23/'I-O'!BW$75</f>
        <v>5.297267142929156E-5</v>
      </c>
      <c r="AC26" s="134"/>
      <c r="AD26" s="157">
        <f t="shared" si="7"/>
        <v>2.7146272367096756E-3</v>
      </c>
      <c r="AE26" s="157">
        <f t="shared" si="8"/>
        <v>3.7435185252451997E-3</v>
      </c>
      <c r="AF26" s="155"/>
      <c r="AG26" s="157">
        <f t="shared" si="9"/>
        <v>8.3564441030997846E-4</v>
      </c>
      <c r="AH26" s="157">
        <f t="shared" si="10"/>
        <v>1.110874445860093E-3</v>
      </c>
      <c r="AI26" s="4"/>
      <c r="AJ26" s="157">
        <f t="shared" si="10"/>
        <v>1.422427354356814E-4</v>
      </c>
      <c r="AK26" s="157">
        <f t="shared" si="27"/>
        <v>2.0318794080475947E-4</v>
      </c>
      <c r="AL26" s="157">
        <f t="shared" si="28"/>
        <v>5.5770818688027638E-5</v>
      </c>
      <c r="AM26" s="157">
        <f t="shared" si="29"/>
        <v>7.5519939887755847E-5</v>
      </c>
      <c r="AN26" s="157">
        <f t="shared" si="30"/>
        <v>5.9763588798406221E-5</v>
      </c>
      <c r="AO26" s="157">
        <f t="shared" si="31"/>
        <v>8.5370105089328533E-5</v>
      </c>
      <c r="AP26" s="157">
        <f t="shared" si="32"/>
        <v>2.5845978972666787E-6</v>
      </c>
      <c r="AQ26" s="157">
        <f t="shared" si="33"/>
        <v>4.8354481339969039E-6</v>
      </c>
      <c r="AR26" s="157">
        <f t="shared" si="34"/>
        <v>2.4123730051980907E-5</v>
      </c>
      <c r="AS26" s="157">
        <f t="shared" si="35"/>
        <v>3.7462447693678226E-5</v>
      </c>
      <c r="AT26" s="134"/>
      <c r="AU26" s="157">
        <f t="shared" si="11"/>
        <v>6.0884408236809011E-2</v>
      </c>
      <c r="AV26" s="157">
        <f t="shared" si="12"/>
        <v>8.3960665777944449E-2</v>
      </c>
      <c r="AW26" s="155"/>
      <c r="AX26" s="157">
        <f t="shared" si="13"/>
        <v>1.8742063267510618E-2</v>
      </c>
      <c r="AY26" s="157">
        <f t="shared" si="14"/>
        <v>2.4914998400871909E-2</v>
      </c>
      <c r="AZ26" s="4"/>
      <c r="BA26" s="157">
        <f t="shared" si="36"/>
        <v>3.1902592944891522E-3</v>
      </c>
      <c r="BB26" s="157">
        <f t="shared" si="37"/>
        <v>4.5571551664485913E-3</v>
      </c>
      <c r="BC26" s="157">
        <f t="shared" si="38"/>
        <v>1.2508433006141249E-3</v>
      </c>
      <c r="BD26" s="157">
        <f t="shared" si="39"/>
        <v>1.6937820367994598E-3</v>
      </c>
      <c r="BE26" s="157">
        <f t="shared" si="40"/>
        <v>1.340394249675798E-3</v>
      </c>
      <c r="BF26" s="157">
        <f t="shared" si="41"/>
        <v>1.9147042581720956E-3</v>
      </c>
      <c r="BG26" s="157">
        <f t="shared" si="42"/>
        <v>5.7968074355548131E-5</v>
      </c>
      <c r="BH26" s="157">
        <f t="shared" si="43"/>
        <v>1.084507641480169E-4</v>
      </c>
      <c r="BI26" s="157">
        <f t="shared" si="44"/>
        <v>5.4105366984368193E-4</v>
      </c>
      <c r="BJ26" s="157">
        <f t="shared" si="45"/>
        <v>8.4021810732901926E-4</v>
      </c>
      <c r="BL26" s="157">
        <f t="shared" si="15"/>
        <v>0</v>
      </c>
      <c r="BM26" s="157">
        <f t="shared" si="16"/>
        <v>0</v>
      </c>
      <c r="BN26" s="155"/>
      <c r="BO26" s="157">
        <f t="shared" si="17"/>
        <v>0</v>
      </c>
      <c r="BP26" s="157">
        <f t="shared" si="18"/>
        <v>0</v>
      </c>
      <c r="BQ26" s="4"/>
      <c r="BR26" s="157">
        <f t="shared" si="46"/>
        <v>0</v>
      </c>
      <c r="BS26" s="157">
        <f t="shared" si="47"/>
        <v>0</v>
      </c>
      <c r="BT26" s="157">
        <f t="shared" si="48"/>
        <v>0</v>
      </c>
      <c r="BU26" s="157">
        <f t="shared" si="49"/>
        <v>0</v>
      </c>
      <c r="BV26" s="157">
        <f t="shared" si="50"/>
        <v>0</v>
      </c>
      <c r="BW26" s="157">
        <f t="shared" si="51"/>
        <v>0</v>
      </c>
      <c r="BX26" s="157">
        <f t="shared" si="52"/>
        <v>0</v>
      </c>
      <c r="BY26" s="157">
        <f t="shared" si="53"/>
        <v>0</v>
      </c>
      <c r="BZ26" s="157">
        <f t="shared" si="54"/>
        <v>0</v>
      </c>
      <c r="CA26" s="157">
        <f t="shared" si="55"/>
        <v>0</v>
      </c>
      <c r="CC26" s="157">
        <f t="shared" si="19"/>
        <v>2.2321011434066566E-3</v>
      </c>
      <c r="CD26" s="157">
        <f t="shared" si="20"/>
        <v>3.0781065877360687E-3</v>
      </c>
      <c r="CE26" s="155"/>
      <c r="CF26" s="157">
        <f t="shared" si="21"/>
        <v>6.8710827715524349E-4</v>
      </c>
      <c r="CG26" s="157">
        <f t="shared" si="22"/>
        <v>9.1341606215923231E-4</v>
      </c>
      <c r="CH26" s="4"/>
      <c r="CI26" s="157">
        <f t="shared" si="56"/>
        <v>1.1695903146986333E-4</v>
      </c>
      <c r="CJ26" s="157">
        <f t="shared" si="57"/>
        <v>1.670712018444441E-4</v>
      </c>
      <c r="CK26" s="157">
        <f t="shared" si="58"/>
        <v>4.5857533026581584E-5</v>
      </c>
      <c r="CL26" s="157">
        <f t="shared" si="59"/>
        <v>6.2096239916084608E-5</v>
      </c>
      <c r="CM26" s="157">
        <f t="shared" si="60"/>
        <v>4.9140586629012193E-5</v>
      </c>
      <c r="CN26" s="157">
        <f t="shared" si="61"/>
        <v>7.0195534254494094E-5</v>
      </c>
      <c r="CO26" s="157">
        <f t="shared" si="62"/>
        <v>2.1251845718338629E-6</v>
      </c>
      <c r="CP26" s="157">
        <f t="shared" si="63"/>
        <v>3.9759452652734101E-6</v>
      </c>
      <c r="CQ26" s="157">
        <f t="shared" si="64"/>
        <v>1.9835727242435718E-5</v>
      </c>
      <c r="CR26" s="157">
        <f t="shared" si="65"/>
        <v>3.0803482408592012E-5</v>
      </c>
      <c r="CT26" s="157">
        <f t="shared" si="23"/>
        <v>6.5852878697381152E-5</v>
      </c>
      <c r="CU26" s="157">
        <f t="shared" si="24"/>
        <v>9.0812273600840006E-5</v>
      </c>
      <c r="CV26" s="155"/>
      <c r="CW26" s="157">
        <f t="shared" si="25"/>
        <v>2.0271508825273358E-5</v>
      </c>
      <c r="CX26" s="157">
        <f t="shared" si="26"/>
        <v>2.694818616051075E-5</v>
      </c>
      <c r="CY26" s="4"/>
      <c r="CZ26" s="157">
        <f t="shared" si="66"/>
        <v>3.4506003165219848E-6</v>
      </c>
      <c r="DA26" s="157">
        <f t="shared" si="67"/>
        <v>4.9290416885393942E-6</v>
      </c>
      <c r="DB26" s="157">
        <f t="shared" si="68"/>
        <v>1.3529183337775179E-6</v>
      </c>
      <c r="DC26" s="157">
        <f t="shared" si="69"/>
        <v>1.8320030733537422E-6</v>
      </c>
      <c r="DD26" s="157">
        <f t="shared" si="70"/>
        <v>1.4497770855757893E-6</v>
      </c>
      <c r="DE26" s="157">
        <f t="shared" si="71"/>
        <v>2.0709536465287747E-6</v>
      </c>
      <c r="DF26" s="157">
        <f t="shared" si="72"/>
        <v>6.2698557469904265E-8</v>
      </c>
      <c r="DG26" s="157">
        <f t="shared" si="73"/>
        <v>1.1730088577521757E-7</v>
      </c>
      <c r="DH26" s="157">
        <f t="shared" si="74"/>
        <v>5.8520633969877417E-7</v>
      </c>
      <c r="DI26" s="157">
        <f t="shared" si="75"/>
        <v>9.0878408288166034E-7</v>
      </c>
    </row>
    <row r="27" spans="1:113" x14ac:dyDescent="0.25">
      <c r="A27">
        <f t="shared" si="6"/>
        <v>22</v>
      </c>
      <c r="B27" s="11" t="s">
        <v>140</v>
      </c>
      <c r="C27" s="158">
        <v>1.64302675765159</v>
      </c>
      <c r="D27" s="17">
        <v>2.3311220433907298</v>
      </c>
      <c r="E27" s="155"/>
      <c r="F27" s="162">
        <v>0.55885688380838716</v>
      </c>
      <c r="G27" s="17">
        <v>0.7429234533926341</v>
      </c>
      <c r="H27" s="4"/>
      <c r="I27" s="155">
        <v>0.10231992754838468</v>
      </c>
      <c r="J27" s="17">
        <v>0.14307846926230688</v>
      </c>
      <c r="K27" s="155">
        <v>3.8191324749877451E-2</v>
      </c>
      <c r="L27" s="17">
        <v>5.139901476187686E-2</v>
      </c>
      <c r="M27" s="155">
        <v>4.3520266607085308E-2</v>
      </c>
      <c r="N27" s="17">
        <v>6.0645227562936339E-2</v>
      </c>
      <c r="O27" s="169">
        <v>1.8154194320908021E-3</v>
      </c>
      <c r="P27" s="17">
        <v>3.3207285488619062E-3</v>
      </c>
      <c r="Q27" s="155">
        <v>1.8792916759331126E-2</v>
      </c>
      <c r="R27" s="17">
        <v>2.7713498388631703E-2</v>
      </c>
      <c r="S27" s="3"/>
      <c r="T27" s="104">
        <f t="shared" si="0"/>
        <v>1.5371335960702968</v>
      </c>
      <c r="U27" s="105">
        <f t="shared" si="0"/>
        <v>2.0434079504153093</v>
      </c>
      <c r="V27" s="166"/>
      <c r="W27" s="3">
        <v>0.3635707951716835</v>
      </c>
      <c r="X27" s="172">
        <f>+'I-O'!BO24/'I-O'!BO$75</f>
        <v>0</v>
      </c>
      <c r="Y27" s="172">
        <f>+'I-O'!BP24/'I-O'!BP$75</f>
        <v>8.9397666326623761E-4</v>
      </c>
      <c r="Z27" s="172">
        <f>+'I-O'!BT24/'I-O'!BT$75</f>
        <v>0</v>
      </c>
      <c r="AA27" s="172">
        <f>+'I-O'!BU24/'I-O'!BU$75</f>
        <v>6.0050869130145848E-7</v>
      </c>
      <c r="AB27" s="172">
        <f>+'I-O'!BW24/'I-O'!BW$75</f>
        <v>0</v>
      </c>
      <c r="AC27" s="134"/>
      <c r="AD27" s="157">
        <f t="shared" si="7"/>
        <v>2.8187934053559472E-3</v>
      </c>
      <c r="AE27" s="157">
        <f t="shared" si="8"/>
        <v>4.0602658878162376E-3</v>
      </c>
      <c r="AF27" s="155"/>
      <c r="AG27" s="157">
        <f t="shared" si="9"/>
        <v>1.0082984976947588E-3</v>
      </c>
      <c r="AH27" s="157">
        <f t="shared" si="10"/>
        <v>1.340394336477086E-3</v>
      </c>
      <c r="AI27" s="4"/>
      <c r="AJ27" s="157">
        <f t="shared" si="10"/>
        <v>1.5806770401605679E-4</v>
      </c>
      <c r="AK27" s="157">
        <f t="shared" si="27"/>
        <v>2.3160491464915958E-4</v>
      </c>
      <c r="AL27" s="157">
        <f t="shared" si="28"/>
        <v>7.8200470539799551E-5</v>
      </c>
      <c r="AM27" s="157">
        <f t="shared" si="29"/>
        <v>1.0202999538409429E-4</v>
      </c>
      <c r="AN27" s="157">
        <f t="shared" si="30"/>
        <v>5.2750831566901873E-5</v>
      </c>
      <c r="AO27" s="157">
        <f t="shared" si="31"/>
        <v>8.3647959087632752E-5</v>
      </c>
      <c r="AP27" s="157">
        <f t="shared" si="32"/>
        <v>2.7946256938190498E-6</v>
      </c>
      <c r="AQ27" s="157">
        <f t="shared" si="33"/>
        <v>5.5105283962485509E-6</v>
      </c>
      <c r="AR27" s="157">
        <f t="shared" si="34"/>
        <v>2.4321776215536206E-5</v>
      </c>
      <c r="AS27" s="157">
        <f t="shared" si="35"/>
        <v>4.041643178118403E-5</v>
      </c>
      <c r="AT27" s="134"/>
      <c r="AU27" s="157">
        <f t="shared" si="11"/>
        <v>1.1159309679600424E-3</v>
      </c>
      <c r="AV27" s="157">
        <f t="shared" si="12"/>
        <v>1.6074170011029093E-3</v>
      </c>
      <c r="AW27" s="155"/>
      <c r="AX27" s="157">
        <f t="shared" si="13"/>
        <v>3.9917487971527428E-4</v>
      </c>
      <c r="AY27" s="157">
        <f t="shared" si="14"/>
        <v>5.3064816545650689E-4</v>
      </c>
      <c r="AZ27" s="4"/>
      <c r="BA27" s="157">
        <f t="shared" si="36"/>
        <v>6.2577358670805276E-5</v>
      </c>
      <c r="BB27" s="157">
        <f t="shared" si="37"/>
        <v>9.1689974901194585E-5</v>
      </c>
      <c r="BC27" s="157">
        <f t="shared" si="38"/>
        <v>3.0958752286916745E-5</v>
      </c>
      <c r="BD27" s="157">
        <f t="shared" si="39"/>
        <v>4.0392613127868926E-5</v>
      </c>
      <c r="BE27" s="157">
        <f t="shared" si="40"/>
        <v>2.0883505126448434E-5</v>
      </c>
      <c r="BF27" s="157">
        <f t="shared" si="41"/>
        <v>3.3115356299322942E-5</v>
      </c>
      <c r="BG27" s="157">
        <f t="shared" si="42"/>
        <v>1.106363222527722E-6</v>
      </c>
      <c r="BH27" s="157">
        <f t="shared" si="43"/>
        <v>2.1815608322031052E-6</v>
      </c>
      <c r="BI27" s="157">
        <f t="shared" si="44"/>
        <v>9.6287380349123285E-6</v>
      </c>
      <c r="BJ27" s="157">
        <f t="shared" si="45"/>
        <v>1.6000444641799636E-5</v>
      </c>
      <c r="BL27" s="157">
        <f t="shared" si="15"/>
        <v>3.8290173185496785E-3</v>
      </c>
      <c r="BM27" s="157">
        <f t="shared" si="16"/>
        <v>5.5154196021689854E-3</v>
      </c>
      <c r="BN27" s="155"/>
      <c r="BO27" s="157">
        <f t="shared" si="17"/>
        <v>1.3696613602845176E-3</v>
      </c>
      <c r="BP27" s="157">
        <f t="shared" si="18"/>
        <v>1.8207766196361478E-3</v>
      </c>
      <c r="BQ27" s="4"/>
      <c r="BR27" s="157">
        <f t="shared" si="46"/>
        <v>2.1471739469478357E-4</v>
      </c>
      <c r="BS27" s="157">
        <f t="shared" si="47"/>
        <v>3.146095161028191E-4</v>
      </c>
      <c r="BT27" s="157">
        <f t="shared" si="48"/>
        <v>1.0622664131634554E-4</v>
      </c>
      <c r="BU27" s="157">
        <f t="shared" si="49"/>
        <v>1.3859640035872293E-4</v>
      </c>
      <c r="BV27" s="157">
        <f t="shared" si="50"/>
        <v>7.1656137428794127E-5</v>
      </c>
      <c r="BW27" s="157">
        <f t="shared" si="51"/>
        <v>1.1362644860716061E-4</v>
      </c>
      <c r="BX27" s="157">
        <f t="shared" si="52"/>
        <v>3.7961881705004947E-6</v>
      </c>
      <c r="BY27" s="157">
        <f t="shared" si="53"/>
        <v>7.4854399132280736E-6</v>
      </c>
      <c r="BZ27" s="157">
        <f t="shared" si="54"/>
        <v>3.3038427779143276E-5</v>
      </c>
      <c r="CA27" s="157">
        <f t="shared" si="55"/>
        <v>5.4901227223707564E-5</v>
      </c>
      <c r="CC27" s="157">
        <f t="shared" si="19"/>
        <v>4.9807868162643039E-5</v>
      </c>
      <c r="CD27" s="157">
        <f t="shared" si="20"/>
        <v>7.1744593861106554E-5</v>
      </c>
      <c r="CE27" s="155"/>
      <c r="CF27" s="157">
        <f t="shared" si="21"/>
        <v>1.7816558867473943E-5</v>
      </c>
      <c r="CG27" s="157">
        <f t="shared" si="22"/>
        <v>2.3684667443293382E-5</v>
      </c>
      <c r="CH27" s="4"/>
      <c r="CI27" s="157">
        <f t="shared" si="56"/>
        <v>2.7930444804660174E-6</v>
      </c>
      <c r="CJ27" s="157">
        <f t="shared" si="57"/>
        <v>4.0924414796581516E-6</v>
      </c>
      <c r="CK27" s="157">
        <f t="shared" si="58"/>
        <v>1.3817964521635952E-6</v>
      </c>
      <c r="CL27" s="157">
        <f t="shared" si="59"/>
        <v>1.8028623697891483E-6</v>
      </c>
      <c r="CM27" s="157">
        <f t="shared" si="60"/>
        <v>9.3210323933699474E-7</v>
      </c>
      <c r="CN27" s="157">
        <f t="shared" si="61"/>
        <v>1.4780531664344737E-6</v>
      </c>
      <c r="CO27" s="157">
        <f t="shared" si="62"/>
        <v>4.9380826511511254E-8</v>
      </c>
      <c r="CP27" s="157">
        <f t="shared" si="63"/>
        <v>9.7370623666614481E-8</v>
      </c>
      <c r="CQ27" s="157">
        <f t="shared" si="64"/>
        <v>4.2976396245391429E-7</v>
      </c>
      <c r="CR27" s="157">
        <f t="shared" si="65"/>
        <v>7.1415531976791636E-7</v>
      </c>
      <c r="CT27" s="157">
        <f t="shared" si="23"/>
        <v>8.1574704942765188E-5</v>
      </c>
      <c r="CU27" s="157">
        <f t="shared" si="24"/>
        <v>1.175024005514017E-4</v>
      </c>
      <c r="CV27" s="155"/>
      <c r="CW27" s="157">
        <f t="shared" si="25"/>
        <v>2.9179737786883643E-5</v>
      </c>
      <c r="CX27" s="157">
        <f t="shared" si="26"/>
        <v>3.8790452786398679E-5</v>
      </c>
      <c r="CY27" s="4"/>
      <c r="CZ27" s="157">
        <f t="shared" si="66"/>
        <v>4.5744133967355876E-6</v>
      </c>
      <c r="DA27" s="157">
        <f t="shared" si="67"/>
        <v>6.7025495873166889E-6</v>
      </c>
      <c r="DB27" s="157">
        <f t="shared" si="68"/>
        <v>2.2630889864253851E-6</v>
      </c>
      <c r="DC27" s="157">
        <f t="shared" si="69"/>
        <v>2.9527054919862702E-6</v>
      </c>
      <c r="DD27" s="157">
        <f t="shared" si="70"/>
        <v>1.52658705401368E-6</v>
      </c>
      <c r="DE27" s="157">
        <f t="shared" si="71"/>
        <v>2.4207370319062038E-6</v>
      </c>
      <c r="DF27" s="157">
        <f t="shared" si="72"/>
        <v>8.0875301455436773E-8</v>
      </c>
      <c r="DG27" s="157">
        <f t="shared" si="73"/>
        <v>1.5947239238909063E-7</v>
      </c>
      <c r="DH27" s="157">
        <f t="shared" si="74"/>
        <v>7.038620548410828E-7</v>
      </c>
      <c r="DI27" s="157">
        <f t="shared" si="75"/>
        <v>1.1696346710351257E-6</v>
      </c>
    </row>
    <row r="28" spans="1:113" x14ac:dyDescent="0.25">
      <c r="A28">
        <f t="shared" si="6"/>
        <v>23</v>
      </c>
      <c r="B28" s="11" t="s">
        <v>141</v>
      </c>
      <c r="C28" s="158">
        <v>1.6375633992522505</v>
      </c>
      <c r="D28" s="17">
        <v>2.0980099882891086</v>
      </c>
      <c r="E28" s="155"/>
      <c r="F28" s="162">
        <v>0.37396527958032272</v>
      </c>
      <c r="G28" s="17">
        <v>0.49713546527595925</v>
      </c>
      <c r="H28" s="4"/>
      <c r="I28" s="155">
        <v>8.2134931309123332E-2</v>
      </c>
      <c r="J28" s="17">
        <v>0.10940896136752229</v>
      </c>
      <c r="K28" s="155">
        <v>2.7274952030751202E-2</v>
      </c>
      <c r="L28" s="17">
        <v>3.6113024229645498E-2</v>
      </c>
      <c r="M28" s="155">
        <v>3.6776020214234297E-2</v>
      </c>
      <c r="N28" s="17">
        <v>4.8235377694123019E-2</v>
      </c>
      <c r="O28" s="169">
        <v>4.3515334658125911E-3</v>
      </c>
      <c r="P28" s="17">
        <v>5.3588277499447808E-3</v>
      </c>
      <c r="Q28" s="155">
        <v>1.3732425598325222E-2</v>
      </c>
      <c r="R28" s="17">
        <v>1.9701731693809014E-2</v>
      </c>
      <c r="S28" s="3"/>
      <c r="T28" s="104">
        <f t="shared" si="0"/>
        <v>2.1187219156235972</v>
      </c>
      <c r="U28" s="105">
        <f t="shared" si="0"/>
        <v>2.8165497248727229</v>
      </c>
      <c r="V28" s="166"/>
      <c r="W28" s="3">
        <v>0.17650512642677535</v>
      </c>
      <c r="X28" s="172">
        <f>+'I-O'!BO25/'I-O'!BO$75</f>
        <v>3.576080828135637E-3</v>
      </c>
      <c r="Y28" s="172">
        <f>+'I-O'!BP25/'I-O'!BP$75</f>
        <v>8.8257513581910534E-4</v>
      </c>
      <c r="Z28" s="172">
        <f>+'I-O'!BT25/'I-O'!BT$75</f>
        <v>4.5754956794694284E-3</v>
      </c>
      <c r="AA28" s="172">
        <f>+'I-O'!BU25/'I-O'!BU$75</f>
        <v>2.3444788194547196E-6</v>
      </c>
      <c r="AB28" s="172">
        <f>+'I-O'!BW25/'I-O'!BW$75</f>
        <v>2.6974917769674897E-5</v>
      </c>
      <c r="AC28" s="134"/>
      <c r="AD28" s="157">
        <f t="shared" si="7"/>
        <v>0</v>
      </c>
      <c r="AE28" s="157">
        <f t="shared" si="8"/>
        <v>0</v>
      </c>
      <c r="AF28" s="155"/>
      <c r="AG28" s="157">
        <f t="shared" si="9"/>
        <v>0</v>
      </c>
      <c r="AH28" s="157">
        <f t="shared" si="10"/>
        <v>0</v>
      </c>
      <c r="AI28" s="4"/>
      <c r="AJ28" s="157">
        <f t="shared" si="10"/>
        <v>0</v>
      </c>
      <c r="AK28" s="157">
        <f t="shared" si="27"/>
        <v>0</v>
      </c>
      <c r="AL28" s="157">
        <f t="shared" si="28"/>
        <v>0</v>
      </c>
      <c r="AM28" s="157">
        <f t="shared" si="29"/>
        <v>0</v>
      </c>
      <c r="AN28" s="157">
        <f t="shared" si="30"/>
        <v>0</v>
      </c>
      <c r="AO28" s="157">
        <f t="shared" si="31"/>
        <v>0</v>
      </c>
      <c r="AP28" s="157">
        <f t="shared" si="32"/>
        <v>0</v>
      </c>
      <c r="AQ28" s="157">
        <f t="shared" si="33"/>
        <v>0</v>
      </c>
      <c r="AR28" s="157">
        <f t="shared" si="34"/>
        <v>0</v>
      </c>
      <c r="AS28" s="157">
        <f t="shared" si="35"/>
        <v>0</v>
      </c>
      <c r="AT28" s="134"/>
      <c r="AU28" s="157">
        <f t="shared" si="11"/>
        <v>1.4688275784625136E-3</v>
      </c>
      <c r="AV28" s="157">
        <f t="shared" si="12"/>
        <v>2.0839687060168182E-3</v>
      </c>
      <c r="AW28" s="155"/>
      <c r="AX28" s="157">
        <f t="shared" si="13"/>
        <v>4.9960501223038942E-4</v>
      </c>
      <c r="AY28" s="157">
        <f t="shared" si="14"/>
        <v>6.6415622992617722E-4</v>
      </c>
      <c r="AZ28" s="4"/>
      <c r="BA28" s="157">
        <f t="shared" si="36"/>
        <v>9.1471627415348116E-5</v>
      </c>
      <c r="BB28" s="157">
        <f t="shared" si="37"/>
        <v>1.2790881253635806E-4</v>
      </c>
      <c r="BC28" s="157">
        <f t="shared" si="38"/>
        <v>3.4142153065612722E-5</v>
      </c>
      <c r="BD28" s="157">
        <f t="shared" si="39"/>
        <v>4.5949519711994763E-5</v>
      </c>
      <c r="BE28" s="157">
        <f t="shared" si="40"/>
        <v>3.8906102725859188E-5</v>
      </c>
      <c r="BF28" s="157">
        <f t="shared" si="41"/>
        <v>5.4215418179735491E-5</v>
      </c>
      <c r="BG28" s="157">
        <f t="shared" si="42"/>
        <v>1.6229426063292234E-6</v>
      </c>
      <c r="BH28" s="157">
        <f t="shared" si="43"/>
        <v>2.9686538277245024E-6</v>
      </c>
      <c r="BI28" s="157">
        <f t="shared" si="44"/>
        <v>1.6800429017546994E-5</v>
      </c>
      <c r="BJ28" s="157">
        <f t="shared" si="45"/>
        <v>2.4775220816903224E-5</v>
      </c>
      <c r="BL28" s="157">
        <f t="shared" si="15"/>
        <v>0</v>
      </c>
      <c r="BM28" s="157">
        <f t="shared" si="16"/>
        <v>0</v>
      </c>
      <c r="BN28" s="155"/>
      <c r="BO28" s="157">
        <f t="shared" si="17"/>
        <v>0</v>
      </c>
      <c r="BP28" s="157">
        <f t="shared" si="18"/>
        <v>0</v>
      </c>
      <c r="BQ28" s="4"/>
      <c r="BR28" s="157">
        <f t="shared" si="46"/>
        <v>0</v>
      </c>
      <c r="BS28" s="157">
        <f t="shared" si="47"/>
        <v>0</v>
      </c>
      <c r="BT28" s="157">
        <f t="shared" si="48"/>
        <v>0</v>
      </c>
      <c r="BU28" s="157">
        <f t="shared" si="49"/>
        <v>0</v>
      </c>
      <c r="BV28" s="157">
        <f t="shared" si="50"/>
        <v>0</v>
      </c>
      <c r="BW28" s="157">
        <f t="shared" si="51"/>
        <v>0</v>
      </c>
      <c r="BX28" s="157">
        <f t="shared" si="52"/>
        <v>0</v>
      </c>
      <c r="BY28" s="157">
        <f t="shared" si="53"/>
        <v>0</v>
      </c>
      <c r="BZ28" s="157">
        <f t="shared" si="54"/>
        <v>0</v>
      </c>
      <c r="CA28" s="157">
        <f t="shared" si="55"/>
        <v>0</v>
      </c>
      <c r="CC28" s="157">
        <f t="shared" si="19"/>
        <v>9.8665184801063497E-7</v>
      </c>
      <c r="CD28" s="157">
        <f t="shared" si="20"/>
        <v>1.3998590475405488E-6</v>
      </c>
      <c r="CE28" s="155"/>
      <c r="CF28" s="157">
        <f t="shared" si="21"/>
        <v>3.3559841592058583E-7</v>
      </c>
      <c r="CG28" s="157">
        <f t="shared" si="22"/>
        <v>4.4613199073397078E-7</v>
      </c>
      <c r="CH28" s="4"/>
      <c r="CI28" s="157">
        <f t="shared" si="56"/>
        <v>6.1444005786140525E-8</v>
      </c>
      <c r="CJ28" s="157">
        <f t="shared" si="57"/>
        <v>8.5919864330123866E-8</v>
      </c>
      <c r="CK28" s="157">
        <f t="shared" si="58"/>
        <v>2.2934222444617907E-8</v>
      </c>
      <c r="CL28" s="157">
        <f t="shared" si="59"/>
        <v>3.0865555088839019E-8</v>
      </c>
      <c r="CM28" s="157">
        <f t="shared" si="60"/>
        <v>2.6134298345311364E-8</v>
      </c>
      <c r="CN28" s="157">
        <f t="shared" si="61"/>
        <v>3.6417986237498037E-8</v>
      </c>
      <c r="CO28" s="157">
        <f t="shared" si="62"/>
        <v>1.0901751473280846E-9</v>
      </c>
      <c r="CP28" s="157">
        <f t="shared" si="63"/>
        <v>1.9941263550444548E-9</v>
      </c>
      <c r="CQ28" s="157">
        <f t="shared" si="64"/>
        <v>1.1285309848883181E-8</v>
      </c>
      <c r="CR28" s="157">
        <f t="shared" si="65"/>
        <v>1.6642196648742303E-8</v>
      </c>
      <c r="CT28" s="157">
        <f t="shared" si="23"/>
        <v>0</v>
      </c>
      <c r="CU28" s="157">
        <f t="shared" si="24"/>
        <v>0</v>
      </c>
      <c r="CV28" s="155"/>
      <c r="CW28" s="157">
        <f t="shared" si="25"/>
        <v>0</v>
      </c>
      <c r="CX28" s="157">
        <f t="shared" si="26"/>
        <v>0</v>
      </c>
      <c r="CY28" s="4"/>
      <c r="CZ28" s="157">
        <f t="shared" si="66"/>
        <v>0</v>
      </c>
      <c r="DA28" s="157">
        <f t="shared" si="67"/>
        <v>0</v>
      </c>
      <c r="DB28" s="157">
        <f t="shared" si="68"/>
        <v>0</v>
      </c>
      <c r="DC28" s="157">
        <f t="shared" si="69"/>
        <v>0</v>
      </c>
      <c r="DD28" s="157">
        <f t="shared" si="70"/>
        <v>0</v>
      </c>
      <c r="DE28" s="157">
        <f t="shared" si="71"/>
        <v>0</v>
      </c>
      <c r="DF28" s="157">
        <f t="shared" si="72"/>
        <v>0</v>
      </c>
      <c r="DG28" s="157">
        <f t="shared" si="73"/>
        <v>0</v>
      </c>
      <c r="DH28" s="157">
        <f t="shared" si="74"/>
        <v>0</v>
      </c>
      <c r="DI28" s="157">
        <f t="shared" si="75"/>
        <v>0</v>
      </c>
    </row>
    <row r="29" spans="1:113" x14ac:dyDescent="0.25">
      <c r="A29">
        <f t="shared" si="6"/>
        <v>24</v>
      </c>
      <c r="B29" s="11" t="s">
        <v>142</v>
      </c>
      <c r="C29" s="158">
        <v>1.4518620547502976</v>
      </c>
      <c r="D29" s="17">
        <v>1.8691409719871199</v>
      </c>
      <c r="E29" s="155"/>
      <c r="F29" s="162">
        <v>0.33890538156413941</v>
      </c>
      <c r="G29" s="17">
        <v>0.45052814725872781</v>
      </c>
      <c r="H29" s="4"/>
      <c r="I29" s="155">
        <v>7.4142271114573541E-2</v>
      </c>
      <c r="J29" s="17">
        <v>9.8859313226361809E-2</v>
      </c>
      <c r="K29" s="155">
        <v>2.5606882792555189E-2</v>
      </c>
      <c r="L29" s="17">
        <v>3.361637028887858E-2</v>
      </c>
      <c r="M29" s="155">
        <v>3.4096760585057909E-2</v>
      </c>
      <c r="N29" s="17">
        <v>4.4481783289732305E-2</v>
      </c>
      <c r="O29" s="169">
        <v>2.3119465875709633E-3</v>
      </c>
      <c r="P29" s="17">
        <v>3.2248052735278582E-3</v>
      </c>
      <c r="Q29" s="155">
        <v>1.2126681149389508E-2</v>
      </c>
      <c r="R29" s="17">
        <v>1.7536354374223094E-2</v>
      </c>
      <c r="S29" s="3"/>
      <c r="T29" s="104">
        <f t="shared" si="0"/>
        <v>1.5824320433943666</v>
      </c>
      <c r="U29" s="105">
        <f t="shared" si="0"/>
        <v>2.1036260132044595</v>
      </c>
      <c r="V29" s="166"/>
      <c r="W29" s="3">
        <v>0.21416741589558355</v>
      </c>
      <c r="X29" s="172">
        <f>+'I-O'!BO26/'I-O'!BO$75</f>
        <v>4.4052282784741419E-3</v>
      </c>
      <c r="Y29" s="172">
        <f>+'I-O'!BP26/'I-O'!BP$75</f>
        <v>3.5996223416430006E-4</v>
      </c>
      <c r="Z29" s="172">
        <f>+'I-O'!BT26/'I-O'!BT$75</f>
        <v>0</v>
      </c>
      <c r="AA29" s="172">
        <f>+'I-O'!BU26/'I-O'!BU$75</f>
        <v>5.9663741959767453E-7</v>
      </c>
      <c r="AB29" s="172">
        <f>+'I-O'!BW26/'I-O'!BW$75</f>
        <v>0</v>
      </c>
      <c r="AC29" s="134"/>
      <c r="AD29" s="157">
        <f t="shared" si="7"/>
        <v>5.856059076922597E-3</v>
      </c>
      <c r="AE29" s="157">
        <f t="shared" si="8"/>
        <v>7.5026532963577532E-3</v>
      </c>
      <c r="AF29" s="155"/>
      <c r="AG29" s="157">
        <f t="shared" si="9"/>
        <v>1.3373300666955756E-3</v>
      </c>
      <c r="AH29" s="157">
        <f t="shared" si="10"/>
        <v>1.7777966063596475E-3</v>
      </c>
      <c r="AI29" s="4"/>
      <c r="AJ29" s="157">
        <f t="shared" si="10"/>
        <v>2.9372115317479342E-4</v>
      </c>
      <c r="AK29" s="157">
        <f t="shared" si="27"/>
        <v>3.9125528917262901E-4</v>
      </c>
      <c r="AL29" s="157">
        <f t="shared" si="28"/>
        <v>9.7537433045488531E-5</v>
      </c>
      <c r="AM29" s="157">
        <f t="shared" si="29"/>
        <v>1.29143093593633E-4</v>
      </c>
      <c r="AN29" s="157">
        <f t="shared" si="30"/>
        <v>1.3151402082325192E-4</v>
      </c>
      <c r="AO29" s="157">
        <f t="shared" si="31"/>
        <v>1.7249360940983468E-4</v>
      </c>
      <c r="AP29" s="157">
        <f t="shared" si="32"/>
        <v>1.5561435400083028E-5</v>
      </c>
      <c r="AQ29" s="157">
        <f t="shared" si="33"/>
        <v>1.9163601177858765E-5</v>
      </c>
      <c r="AR29" s="157">
        <f t="shared" si="34"/>
        <v>4.9108263905969883E-5</v>
      </c>
      <c r="AS29" s="157">
        <f t="shared" si="35"/>
        <v>7.045498499130266E-5</v>
      </c>
      <c r="AT29" s="134"/>
      <c r="AU29" s="157">
        <f t="shared" si="11"/>
        <v>1.4452727395074508E-3</v>
      </c>
      <c r="AV29" s="157">
        <f t="shared" si="12"/>
        <v>1.8516514503640997E-3</v>
      </c>
      <c r="AW29" s="155"/>
      <c r="AX29" s="157">
        <f t="shared" si="13"/>
        <v>3.30052457417233E-4</v>
      </c>
      <c r="AY29" s="157">
        <f t="shared" si="14"/>
        <v>4.3875940078642384E-4</v>
      </c>
      <c r="AZ29" s="4"/>
      <c r="BA29" s="157">
        <f t="shared" si="36"/>
        <v>7.2490248155642416E-5</v>
      </c>
      <c r="BB29" s="157">
        <f t="shared" si="37"/>
        <v>9.6561628938768239E-5</v>
      </c>
      <c r="BC29" s="157">
        <f t="shared" si="38"/>
        <v>2.4072194492999826E-5</v>
      </c>
      <c r="BD29" s="157">
        <f t="shared" si="39"/>
        <v>3.187245726431802E-5</v>
      </c>
      <c r="BE29" s="157">
        <f t="shared" si="40"/>
        <v>3.2457601035463997E-5</v>
      </c>
      <c r="BF29" s="157">
        <f t="shared" si="41"/>
        <v>4.2571345019676467E-5</v>
      </c>
      <c r="BG29" s="157">
        <f t="shared" si="42"/>
        <v>3.8405552396109294E-6</v>
      </c>
      <c r="BH29" s="157">
        <f t="shared" si="43"/>
        <v>4.7295681292387052E-6</v>
      </c>
      <c r="BI29" s="157">
        <f t="shared" si="44"/>
        <v>1.2119897387567642E-5</v>
      </c>
      <c r="BJ29" s="157">
        <f t="shared" si="45"/>
        <v>1.7388258525535062E-5</v>
      </c>
      <c r="BL29" s="157">
        <f t="shared" si="15"/>
        <v>7.4926642581359428E-3</v>
      </c>
      <c r="BM29" s="157">
        <f t="shared" si="16"/>
        <v>9.5994356369005218E-3</v>
      </c>
      <c r="BN29" s="155"/>
      <c r="BO29" s="157">
        <f t="shared" si="17"/>
        <v>1.7110765209913433E-3</v>
      </c>
      <c r="BP29" s="157">
        <f t="shared" si="18"/>
        <v>2.2746411734811756E-3</v>
      </c>
      <c r="BQ29" s="4"/>
      <c r="BR29" s="157">
        <f t="shared" si="46"/>
        <v>3.7580802333841209E-4</v>
      </c>
      <c r="BS29" s="157">
        <f t="shared" si="47"/>
        <v>5.0060023003233587E-4</v>
      </c>
      <c r="BT29" s="157">
        <f t="shared" si="48"/>
        <v>1.2479642517443804E-4</v>
      </c>
      <c r="BU29" s="157">
        <f t="shared" si="49"/>
        <v>1.6523498633531775E-4</v>
      </c>
      <c r="BV29" s="157">
        <f t="shared" si="50"/>
        <v>1.6826852159830939E-4</v>
      </c>
      <c r="BW29" s="157">
        <f t="shared" si="51"/>
        <v>2.2070076223703591E-4</v>
      </c>
      <c r="BX29" s="157">
        <f t="shared" si="52"/>
        <v>1.9910422571892138E-5</v>
      </c>
      <c r="BY29" s="157">
        <f t="shared" si="53"/>
        <v>2.4519293216893223E-5</v>
      </c>
      <c r="BZ29" s="157">
        <f t="shared" si="54"/>
        <v>6.2832653993772437E-5</v>
      </c>
      <c r="CA29" s="157">
        <f t="shared" si="55"/>
        <v>9.0145188243089043E-5</v>
      </c>
      <c r="CC29" s="157">
        <f t="shared" si="19"/>
        <v>3.8392327050611735E-6</v>
      </c>
      <c r="CD29" s="157">
        <f t="shared" si="20"/>
        <v>4.9187399805482596E-6</v>
      </c>
      <c r="CE29" s="155"/>
      <c r="CF29" s="157">
        <f t="shared" si="21"/>
        <v>8.7675367718752919E-7</v>
      </c>
      <c r="CG29" s="157">
        <f t="shared" si="22"/>
        <v>1.1655235687392538E-6</v>
      </c>
      <c r="CH29" s="4"/>
      <c r="CI29" s="157">
        <f t="shared" si="56"/>
        <v>1.9256360679160796E-7</v>
      </c>
      <c r="CJ29" s="157">
        <f t="shared" si="57"/>
        <v>2.5650699258469568E-7</v>
      </c>
      <c r="CK29" s="157">
        <f t="shared" si="58"/>
        <v>6.3945547337739677E-8</v>
      </c>
      <c r="CL29" s="157">
        <f t="shared" si="59"/>
        <v>8.4666220412858962E-8</v>
      </c>
      <c r="CM29" s="157">
        <f t="shared" si="60"/>
        <v>8.622060045611093E-8</v>
      </c>
      <c r="CN29" s="157">
        <f t="shared" si="61"/>
        <v>1.1308682135227004E-7</v>
      </c>
      <c r="CO29" s="157">
        <f t="shared" si="62"/>
        <v>1.0202078042746008E-8</v>
      </c>
      <c r="CP29" s="157">
        <f t="shared" si="63"/>
        <v>1.2563658156851731E-8</v>
      </c>
      <c r="CQ29" s="157">
        <f t="shared" si="64"/>
        <v>3.2195380955011285E-8</v>
      </c>
      <c r="CR29" s="157">
        <f t="shared" si="65"/>
        <v>4.619029266271499E-8</v>
      </c>
      <c r="CT29" s="157">
        <f t="shared" si="23"/>
        <v>4.4173138037458761E-5</v>
      </c>
      <c r="CU29" s="157">
        <f t="shared" si="24"/>
        <v>5.6593646914055295E-5</v>
      </c>
      <c r="CV29" s="155"/>
      <c r="CW29" s="157">
        <f t="shared" si="25"/>
        <v>1.0087682665392689E-5</v>
      </c>
      <c r="CX29" s="157">
        <f t="shared" si="26"/>
        <v>1.341018829620807E-5</v>
      </c>
      <c r="CY29" s="4"/>
      <c r="CZ29" s="157">
        <f t="shared" si="66"/>
        <v>2.2155830180814982E-6</v>
      </c>
      <c r="DA29" s="157">
        <f t="shared" si="67"/>
        <v>2.9512977361544512E-6</v>
      </c>
      <c r="DB29" s="157">
        <f t="shared" si="68"/>
        <v>7.3573958820134104E-7</v>
      </c>
      <c r="DC29" s="157">
        <f t="shared" si="69"/>
        <v>9.7414585900896451E-7</v>
      </c>
      <c r="DD29" s="157">
        <f t="shared" si="70"/>
        <v>9.9203012117487195E-7</v>
      </c>
      <c r="DE29" s="157">
        <f t="shared" si="71"/>
        <v>1.3011453468881791E-6</v>
      </c>
      <c r="DF29" s="157">
        <f t="shared" si="72"/>
        <v>1.1738225741228305E-7</v>
      </c>
      <c r="DG29" s="157">
        <f t="shared" si="73"/>
        <v>1.445539378966124E-7</v>
      </c>
      <c r="DH29" s="157">
        <f t="shared" si="74"/>
        <v>3.7043105129300147E-7</v>
      </c>
      <c r="DI29" s="157">
        <f t="shared" si="75"/>
        <v>5.3145259236069584E-7</v>
      </c>
    </row>
    <row r="30" spans="1:113" x14ac:dyDescent="0.25">
      <c r="A30">
        <f t="shared" si="6"/>
        <v>25</v>
      </c>
      <c r="B30" s="11" t="s">
        <v>143</v>
      </c>
      <c r="C30" s="158">
        <v>1.1822146393317159</v>
      </c>
      <c r="D30" s="17">
        <v>1.4671172057718942</v>
      </c>
      <c r="E30" s="155"/>
      <c r="F30" s="162">
        <v>0.23139202341538989</v>
      </c>
      <c r="G30" s="17">
        <v>0.30760390737570581</v>
      </c>
      <c r="H30" s="4"/>
      <c r="I30" s="155">
        <v>5.0560233815565146E-2</v>
      </c>
      <c r="J30" s="17">
        <v>6.7436113333009945E-2</v>
      </c>
      <c r="K30" s="155">
        <v>1.4006130406442994E-2</v>
      </c>
      <c r="L30" s="17">
        <v>1.9474711370666434E-2</v>
      </c>
      <c r="M30" s="155">
        <v>2.654535539818725E-2</v>
      </c>
      <c r="N30" s="17">
        <v>3.3635863686249323E-2</v>
      </c>
      <c r="O30" s="169">
        <v>5.6664764658211086E-4</v>
      </c>
      <c r="P30" s="17">
        <v>1.1899136964188077E-3</v>
      </c>
      <c r="Q30" s="155">
        <v>9.442100364352779E-3</v>
      </c>
      <c r="R30" s="17">
        <v>1.3135624579675393E-2</v>
      </c>
      <c r="S30" s="3"/>
      <c r="T30" s="104">
        <f t="shared" si="0"/>
        <v>1.3109648886678931</v>
      </c>
      <c r="U30" s="105">
        <f t="shared" si="0"/>
        <v>1.7427477241196048</v>
      </c>
      <c r="V30" s="166"/>
      <c r="W30" s="3">
        <v>0.17650512642677532</v>
      </c>
      <c r="X30" s="172">
        <f>+'I-O'!BO27/'I-O'!BO$75</f>
        <v>2.7619158969423448E-3</v>
      </c>
      <c r="Y30" s="172">
        <f>+'I-O'!BP27/'I-O'!BP$75</f>
        <v>6.682018988141719E-5</v>
      </c>
      <c r="Z30" s="172">
        <f>+'I-O'!BT27/'I-O'!BT$75</f>
        <v>0</v>
      </c>
      <c r="AA30" s="172">
        <f>+'I-O'!BU27/'I-O'!BU$75</f>
        <v>1.0641178006565563E-5</v>
      </c>
      <c r="AB30" s="172">
        <f>+'I-O'!BW27/'I-O'!BW$75</f>
        <v>6.2207384483282999E-6</v>
      </c>
      <c r="AC30" s="134"/>
      <c r="AD30" s="157">
        <f t="shared" si="7"/>
        <v>6.3957837800295838E-3</v>
      </c>
      <c r="AE30" s="157">
        <f t="shared" si="8"/>
        <v>8.2339926662523041E-3</v>
      </c>
      <c r="AF30" s="155"/>
      <c r="AG30" s="157">
        <f t="shared" si="9"/>
        <v>1.4929555705934161E-3</v>
      </c>
      <c r="AH30" s="157">
        <f t="shared" si="10"/>
        <v>1.9846793345527102E-3</v>
      </c>
      <c r="AI30" s="4"/>
      <c r="AJ30" s="157">
        <f t="shared" si="10"/>
        <v>3.2661362934421591E-4</v>
      </c>
      <c r="AK30" s="157">
        <f t="shared" si="27"/>
        <v>4.3549784221530181E-4</v>
      </c>
      <c r="AL30" s="157">
        <f t="shared" si="28"/>
        <v>1.1280416420133703E-4</v>
      </c>
      <c r="AM30" s="157">
        <f t="shared" si="29"/>
        <v>1.4808778501622589E-4</v>
      </c>
      <c r="AN30" s="157">
        <f t="shared" si="30"/>
        <v>1.5020401393365962E-4</v>
      </c>
      <c r="AO30" s="157">
        <f t="shared" si="31"/>
        <v>1.9595240962488728E-4</v>
      </c>
      <c r="AP30" s="157">
        <f t="shared" si="32"/>
        <v>1.0184652485889401E-5</v>
      </c>
      <c r="AQ30" s="157">
        <f t="shared" si="33"/>
        <v>1.4206003383517461E-5</v>
      </c>
      <c r="AR30" s="157">
        <f t="shared" si="34"/>
        <v>5.3420798723329968E-5</v>
      </c>
      <c r="AS30" s="157">
        <f t="shared" si="35"/>
        <v>7.7251644190671288E-5</v>
      </c>
      <c r="AT30" s="134"/>
      <c r="AU30" s="157">
        <f t="shared" si="11"/>
        <v>5.2261550892628841E-4</v>
      </c>
      <c r="AV30" s="157">
        <f t="shared" si="12"/>
        <v>6.7282016024451511E-4</v>
      </c>
      <c r="AW30" s="155"/>
      <c r="AX30" s="157">
        <f t="shared" si="13"/>
        <v>1.2199313831813221E-4</v>
      </c>
      <c r="AY30" s="157">
        <f t="shared" si="14"/>
        <v>1.6217311844115445E-4</v>
      </c>
      <c r="AZ30" s="4"/>
      <c r="BA30" s="157">
        <f t="shared" si="36"/>
        <v>2.6688417556417142E-5</v>
      </c>
      <c r="BB30" s="157">
        <f t="shared" si="37"/>
        <v>3.5585619256909537E-5</v>
      </c>
      <c r="BC30" s="157">
        <f t="shared" si="38"/>
        <v>9.2175107399915371E-6</v>
      </c>
      <c r="BD30" s="157">
        <f t="shared" si="39"/>
        <v>1.2100623753679131E-5</v>
      </c>
      <c r="BE30" s="157">
        <f t="shared" si="40"/>
        <v>1.2273546117962692E-5</v>
      </c>
      <c r="BF30" s="157">
        <f t="shared" si="41"/>
        <v>1.601176209258427E-5</v>
      </c>
      <c r="BG30" s="157">
        <f t="shared" si="42"/>
        <v>8.3221345893057354E-7</v>
      </c>
      <c r="BH30" s="157">
        <f t="shared" si="43"/>
        <v>1.1608081110039047E-6</v>
      </c>
      <c r="BI30" s="157">
        <f t="shared" si="44"/>
        <v>4.3651472395323491E-6</v>
      </c>
      <c r="BJ30" s="157">
        <f t="shared" si="45"/>
        <v>6.312425299642241E-6</v>
      </c>
      <c r="BL30" s="157">
        <f t="shared" si="15"/>
        <v>0</v>
      </c>
      <c r="BM30" s="157">
        <f t="shared" si="16"/>
        <v>0</v>
      </c>
      <c r="BN30" s="155"/>
      <c r="BO30" s="157">
        <f t="shared" si="17"/>
        <v>0</v>
      </c>
      <c r="BP30" s="157">
        <f t="shared" si="18"/>
        <v>0</v>
      </c>
      <c r="BQ30" s="4"/>
      <c r="BR30" s="157">
        <f t="shared" si="46"/>
        <v>0</v>
      </c>
      <c r="BS30" s="157">
        <f t="shared" si="47"/>
        <v>0</v>
      </c>
      <c r="BT30" s="157">
        <f t="shared" si="48"/>
        <v>0</v>
      </c>
      <c r="BU30" s="157">
        <f t="shared" si="49"/>
        <v>0</v>
      </c>
      <c r="BV30" s="157">
        <f t="shared" si="50"/>
        <v>0</v>
      </c>
      <c r="BW30" s="157">
        <f t="shared" si="51"/>
        <v>0</v>
      </c>
      <c r="BX30" s="157">
        <f t="shared" si="52"/>
        <v>0</v>
      </c>
      <c r="BY30" s="157">
        <f t="shared" si="53"/>
        <v>0</v>
      </c>
      <c r="BZ30" s="157">
        <f t="shared" si="54"/>
        <v>0</v>
      </c>
      <c r="CA30" s="157">
        <f t="shared" si="55"/>
        <v>0</v>
      </c>
      <c r="CC30" s="157">
        <f t="shared" si="19"/>
        <v>8.6623522995799528E-7</v>
      </c>
      <c r="CD30" s="157">
        <f t="shared" si="20"/>
        <v>1.1151994463906845E-6</v>
      </c>
      <c r="CE30" s="155"/>
      <c r="CF30" s="157">
        <f t="shared" si="21"/>
        <v>2.0220363234419344E-7</v>
      </c>
      <c r="CG30" s="157">
        <f t="shared" si="22"/>
        <v>2.6880195123656848E-7</v>
      </c>
      <c r="CH30" s="4"/>
      <c r="CI30" s="157">
        <f t="shared" si="56"/>
        <v>4.4236053320910357E-8</v>
      </c>
      <c r="CJ30" s="157">
        <f t="shared" si="57"/>
        <v>5.8983165546574766E-8</v>
      </c>
      <c r="CK30" s="157">
        <f t="shared" si="58"/>
        <v>1.5278024473290221E-8</v>
      </c>
      <c r="CL30" s="157">
        <f t="shared" si="59"/>
        <v>2.005678442539645E-8</v>
      </c>
      <c r="CM30" s="157">
        <f t="shared" si="60"/>
        <v>2.0343403252108645E-8</v>
      </c>
      <c r="CN30" s="157">
        <f t="shared" si="61"/>
        <v>2.6539496401088841E-8</v>
      </c>
      <c r="CO30" s="157">
        <f t="shared" si="62"/>
        <v>1.3793938462559886E-9</v>
      </c>
      <c r="CP30" s="157">
        <f t="shared" si="63"/>
        <v>1.9240394971026342E-9</v>
      </c>
      <c r="CQ30" s="157">
        <f t="shared" si="64"/>
        <v>7.2352317492555178E-9</v>
      </c>
      <c r="CR30" s="157">
        <f t="shared" si="65"/>
        <v>1.0462845222986859E-8</v>
      </c>
      <c r="CT30" s="157">
        <f t="shared" si="23"/>
        <v>0</v>
      </c>
      <c r="CU30" s="157">
        <f t="shared" si="24"/>
        <v>0</v>
      </c>
      <c r="CV30" s="155"/>
      <c r="CW30" s="157">
        <f t="shared" si="25"/>
        <v>0</v>
      </c>
      <c r="CX30" s="157">
        <f t="shared" si="26"/>
        <v>0</v>
      </c>
      <c r="CY30" s="4"/>
      <c r="CZ30" s="157">
        <f t="shared" si="66"/>
        <v>0</v>
      </c>
      <c r="DA30" s="157">
        <f t="shared" si="67"/>
        <v>0</v>
      </c>
      <c r="DB30" s="157">
        <f t="shared" si="68"/>
        <v>0</v>
      </c>
      <c r="DC30" s="157">
        <f t="shared" si="69"/>
        <v>0</v>
      </c>
      <c r="DD30" s="157">
        <f t="shared" si="70"/>
        <v>0</v>
      </c>
      <c r="DE30" s="157">
        <f t="shared" si="71"/>
        <v>0</v>
      </c>
      <c r="DF30" s="157">
        <f t="shared" si="72"/>
        <v>0</v>
      </c>
      <c r="DG30" s="157">
        <f t="shared" si="73"/>
        <v>0</v>
      </c>
      <c r="DH30" s="157">
        <f t="shared" si="74"/>
        <v>0</v>
      </c>
      <c r="DI30" s="157">
        <f t="shared" si="75"/>
        <v>0</v>
      </c>
    </row>
    <row r="31" spans="1:113" x14ac:dyDescent="0.25">
      <c r="A31">
        <f t="shared" si="6"/>
        <v>26</v>
      </c>
      <c r="B31" s="11" t="s">
        <v>17</v>
      </c>
      <c r="C31" s="158">
        <v>1.5166322734436681</v>
      </c>
      <c r="D31" s="17">
        <v>1.8042291435835374</v>
      </c>
      <c r="E31" s="155"/>
      <c r="F31" s="162">
        <v>0.23358028164190106</v>
      </c>
      <c r="G31" s="17">
        <v>0.31051289607326998</v>
      </c>
      <c r="H31" s="4"/>
      <c r="I31" s="155">
        <v>6.3761421902493398E-2</v>
      </c>
      <c r="J31" s="17">
        <v>8.0796895435490665E-2</v>
      </c>
      <c r="K31" s="155">
        <v>1.7053045891097143E-2</v>
      </c>
      <c r="L31" s="17">
        <v>2.2573342844081454E-2</v>
      </c>
      <c r="M31" s="155">
        <v>1.4135602599386912E-2</v>
      </c>
      <c r="N31" s="17">
        <v>2.1293165329786642E-2</v>
      </c>
      <c r="O31" s="169">
        <v>1.7546532815178653E-3</v>
      </c>
      <c r="P31" s="17">
        <v>2.3838135149168538E-3</v>
      </c>
      <c r="Q31" s="155">
        <v>3.081812013049149E-2</v>
      </c>
      <c r="R31" s="17">
        <v>3.4546573746705715E-2</v>
      </c>
      <c r="S31" s="3"/>
      <c r="T31" s="104">
        <f t="shared" si="0"/>
        <v>2.7320947052329543</v>
      </c>
      <c r="U31" s="105">
        <f t="shared" si="0"/>
        <v>3.6319445858401997</v>
      </c>
      <c r="V31" s="166"/>
      <c r="W31" s="3">
        <v>8.5494943200361953E-2</v>
      </c>
      <c r="X31" s="172">
        <f>+'I-O'!BO28/'I-O'!BO$75</f>
        <v>3.5930128252939217E-2</v>
      </c>
      <c r="Y31" s="172">
        <f>+'I-O'!BP28/'I-O'!BP$75</f>
        <v>0</v>
      </c>
      <c r="Z31" s="172">
        <f>+'I-O'!BT28/'I-O'!BT$75</f>
        <v>1.0720060427229229E-2</v>
      </c>
      <c r="AA31" s="172">
        <f>+'I-O'!BU28/'I-O'!BU$75</f>
        <v>4.3001189402863145E-4</v>
      </c>
      <c r="AB31" s="172">
        <f>+'I-O'!BW28/'I-O'!BW$75</f>
        <v>9.3786877370139656E-3</v>
      </c>
      <c r="AC31" s="134"/>
      <c r="AD31" s="157">
        <f t="shared" si="7"/>
        <v>3.2651774059682267E-3</v>
      </c>
      <c r="AE31" s="157">
        <f t="shared" si="8"/>
        <v>4.0520543332990275E-3</v>
      </c>
      <c r="AF31" s="155"/>
      <c r="AG31" s="157">
        <f t="shared" si="9"/>
        <v>6.3908530789662059E-4</v>
      </c>
      <c r="AH31" s="157">
        <f t="shared" si="10"/>
        <v>8.4957612174254248E-4</v>
      </c>
      <c r="AI31" s="4"/>
      <c r="AJ31" s="157">
        <f t="shared" si="10"/>
        <v>1.3964311352833127E-4</v>
      </c>
      <c r="AK31" s="157">
        <f t="shared" si="27"/>
        <v>1.8625287344244579E-4</v>
      </c>
      <c r="AL31" s="157">
        <f t="shared" si="28"/>
        <v>3.868375422420245E-5</v>
      </c>
      <c r="AM31" s="157">
        <f t="shared" si="29"/>
        <v>5.3787514923007464E-5</v>
      </c>
      <c r="AN31" s="157">
        <f t="shared" si="30"/>
        <v>7.3316039064237658E-5</v>
      </c>
      <c r="AO31" s="157">
        <f t="shared" si="31"/>
        <v>9.2899426622437741E-5</v>
      </c>
      <c r="AP31" s="157">
        <f t="shared" si="32"/>
        <v>1.5650331430600996E-6</v>
      </c>
      <c r="AQ31" s="157">
        <f t="shared" si="33"/>
        <v>3.2864415541285323E-6</v>
      </c>
      <c r="AR31" s="157">
        <f t="shared" si="34"/>
        <v>2.6078287096831047E-5</v>
      </c>
      <c r="AS31" s="157">
        <f t="shared" si="35"/>
        <v>3.6279490342872076E-5</v>
      </c>
      <c r="AT31" s="134"/>
      <c r="AU31" s="157">
        <f t="shared" si="11"/>
        <v>7.8995806680736395E-5</v>
      </c>
      <c r="AV31" s="157">
        <f t="shared" si="12"/>
        <v>9.8033050267972186E-5</v>
      </c>
      <c r="AW31" s="155"/>
      <c r="AX31" s="157">
        <f t="shared" si="13"/>
        <v>1.5461658941661686E-5</v>
      </c>
      <c r="AY31" s="157">
        <f t="shared" si="14"/>
        <v>2.0554151499110528E-5</v>
      </c>
      <c r="AZ31" s="4"/>
      <c r="BA31" s="157">
        <f t="shared" si="36"/>
        <v>3.3784444240049136E-6</v>
      </c>
      <c r="BB31" s="157">
        <f t="shared" si="37"/>
        <v>4.5060938977764939E-6</v>
      </c>
      <c r="BC31" s="157">
        <f t="shared" si="38"/>
        <v>9.3589229326241176E-7</v>
      </c>
      <c r="BD31" s="157">
        <f t="shared" si="39"/>
        <v>1.3013039116737256E-6</v>
      </c>
      <c r="BE31" s="157">
        <f t="shared" si="40"/>
        <v>1.7737656881765749E-6</v>
      </c>
      <c r="BF31" s="157">
        <f t="shared" si="41"/>
        <v>2.2475547983406449E-6</v>
      </c>
      <c r="BG31" s="157">
        <f t="shared" si="42"/>
        <v>3.786350334047483E-8</v>
      </c>
      <c r="BH31" s="157">
        <f t="shared" si="43"/>
        <v>7.9510259137203749E-8</v>
      </c>
      <c r="BI31" s="157">
        <f t="shared" si="44"/>
        <v>6.3092293922545111E-7</v>
      </c>
      <c r="BJ31" s="157">
        <f t="shared" si="45"/>
        <v>8.7772492862492067E-7</v>
      </c>
      <c r="BL31" s="157">
        <f t="shared" si="15"/>
        <v>0</v>
      </c>
      <c r="BM31" s="157">
        <f t="shared" si="16"/>
        <v>0</v>
      </c>
      <c r="BN31" s="155"/>
      <c r="BO31" s="157">
        <f t="shared" si="17"/>
        <v>0</v>
      </c>
      <c r="BP31" s="157">
        <f t="shared" si="18"/>
        <v>0</v>
      </c>
      <c r="BQ31" s="4"/>
      <c r="BR31" s="157">
        <f t="shared" si="46"/>
        <v>0</v>
      </c>
      <c r="BS31" s="157">
        <f t="shared" si="47"/>
        <v>0</v>
      </c>
      <c r="BT31" s="157">
        <f t="shared" si="48"/>
        <v>0</v>
      </c>
      <c r="BU31" s="157">
        <f t="shared" si="49"/>
        <v>0</v>
      </c>
      <c r="BV31" s="157">
        <f t="shared" si="50"/>
        <v>0</v>
      </c>
      <c r="BW31" s="157">
        <f t="shared" si="51"/>
        <v>0</v>
      </c>
      <c r="BX31" s="157">
        <f t="shared" si="52"/>
        <v>0</v>
      </c>
      <c r="BY31" s="157">
        <f t="shared" si="53"/>
        <v>0</v>
      </c>
      <c r="BZ31" s="157">
        <f t="shared" si="54"/>
        <v>0</v>
      </c>
      <c r="CA31" s="157">
        <f t="shared" si="55"/>
        <v>0</v>
      </c>
      <c r="CC31" s="157">
        <f t="shared" si="19"/>
        <v>1.2580156419096495E-5</v>
      </c>
      <c r="CD31" s="157">
        <f t="shared" si="20"/>
        <v>1.5611855343113805E-5</v>
      </c>
      <c r="CE31" s="155"/>
      <c r="CF31" s="157">
        <f t="shared" si="21"/>
        <v>2.4622837104625508E-6</v>
      </c>
      <c r="CG31" s="157">
        <f t="shared" si="22"/>
        <v>3.2732679338999912E-6</v>
      </c>
      <c r="CH31" s="4"/>
      <c r="CI31" s="157">
        <f t="shared" si="56"/>
        <v>5.3802044808500434E-7</v>
      </c>
      <c r="CJ31" s="157">
        <f t="shared" si="57"/>
        <v>7.175996860474881E-7</v>
      </c>
      <c r="CK31" s="157">
        <f t="shared" si="58"/>
        <v>1.4904172683813037E-7</v>
      </c>
      <c r="CL31" s="157">
        <f t="shared" si="59"/>
        <v>2.0723387032174795E-7</v>
      </c>
      <c r="CM31" s="157">
        <f t="shared" si="60"/>
        <v>2.8247385203965661E-7</v>
      </c>
      <c r="CN31" s="157">
        <f t="shared" si="61"/>
        <v>3.5792521288995356E-7</v>
      </c>
      <c r="CO31" s="157">
        <f t="shared" si="62"/>
        <v>6.0297984742816945E-9</v>
      </c>
      <c r="CP31" s="157">
        <f t="shared" si="63"/>
        <v>1.2662083456042949E-8</v>
      </c>
      <c r="CQ31" s="157">
        <f t="shared" si="64"/>
        <v>1.0047507073293549E-7</v>
      </c>
      <c r="CR31" s="157">
        <f t="shared" si="65"/>
        <v>1.3977851937974382E-7</v>
      </c>
      <c r="CT31" s="157">
        <f t="shared" si="23"/>
        <v>7.3542480610673793E-6</v>
      </c>
      <c r="CU31" s="157">
        <f t="shared" si="24"/>
        <v>9.1265524101492048E-6</v>
      </c>
      <c r="CV31" s="155"/>
      <c r="CW31" s="157">
        <f t="shared" si="25"/>
        <v>1.4394292566965982E-6</v>
      </c>
      <c r="CX31" s="157">
        <f t="shared" si="26"/>
        <v>1.9135234534680702E-6</v>
      </c>
      <c r="CY31" s="4"/>
      <c r="CZ31" s="157">
        <f t="shared" si="66"/>
        <v>3.1452199045295479E-7</v>
      </c>
      <c r="DA31" s="157">
        <f t="shared" si="67"/>
        <v>4.1950242301647968E-7</v>
      </c>
      <c r="DB31" s="157">
        <f t="shared" si="68"/>
        <v>8.7128473931660015E-8</v>
      </c>
      <c r="DC31" s="157">
        <f t="shared" si="69"/>
        <v>1.2114708579360101E-7</v>
      </c>
      <c r="DD31" s="157">
        <f t="shared" si="70"/>
        <v>1.6513171295004262E-7</v>
      </c>
      <c r="DE31" s="157">
        <f t="shared" si="71"/>
        <v>2.0923991047578082E-7</v>
      </c>
      <c r="DF31" s="157">
        <f t="shared" si="72"/>
        <v>3.5249668017480832E-9</v>
      </c>
      <c r="DG31" s="157">
        <f t="shared" si="73"/>
        <v>7.402141881504926E-9</v>
      </c>
      <c r="DH31" s="157">
        <f t="shared" si="74"/>
        <v>5.8736836769503981E-8</v>
      </c>
      <c r="DI31" s="157">
        <f t="shared" si="75"/>
        <v>8.1713284865592984E-8</v>
      </c>
    </row>
    <row r="32" spans="1:113" x14ac:dyDescent="0.25">
      <c r="A32">
        <f t="shared" si="6"/>
        <v>27</v>
      </c>
      <c r="B32" s="11" t="s">
        <v>144</v>
      </c>
      <c r="C32" s="158">
        <v>1.2124286109345761</v>
      </c>
      <c r="D32" s="17">
        <v>1.5095881570801388</v>
      </c>
      <c r="E32" s="155"/>
      <c r="F32" s="162">
        <v>0.24134689104058513</v>
      </c>
      <c r="G32" s="17">
        <v>0.32083753632159584</v>
      </c>
      <c r="H32" s="4"/>
      <c r="I32" s="155">
        <v>5.8508275635524964E-2</v>
      </c>
      <c r="J32" s="17">
        <v>7.61101834065597E-2</v>
      </c>
      <c r="K32" s="155">
        <v>1.9198177244917822E-2</v>
      </c>
      <c r="L32" s="17">
        <v>2.4902025608565741E-2</v>
      </c>
      <c r="M32" s="155">
        <v>2.7484682034604954E-2</v>
      </c>
      <c r="N32" s="17">
        <v>3.4880235718619597E-2</v>
      </c>
      <c r="O32" s="169">
        <v>2.6255656333133938E-3</v>
      </c>
      <c r="P32" s="17">
        <v>3.2756456196454922E-3</v>
      </c>
      <c r="Q32" s="155">
        <v>9.1998507226887759E-3</v>
      </c>
      <c r="R32" s="17">
        <v>1.3052276459728868E-2</v>
      </c>
      <c r="S32" s="3"/>
      <c r="T32" s="104">
        <f t="shared" si="0"/>
        <v>1.3673647668285143</v>
      </c>
      <c r="U32" s="105">
        <f t="shared" si="0"/>
        <v>1.8177236141336552</v>
      </c>
      <c r="V32" s="166"/>
      <c r="W32" s="3">
        <v>0.17650512642677535</v>
      </c>
      <c r="X32" s="172">
        <f>+'I-O'!BO29/'I-O'!BO$75</f>
        <v>7.0435702527666213E-4</v>
      </c>
      <c r="Y32" s="172">
        <f>+'I-O'!BP29/'I-O'!BP$75</f>
        <v>5.0207615586315472E-5</v>
      </c>
      <c r="Z32" s="172">
        <f>+'I-O'!BT29/'I-O'!BT$75</f>
        <v>0</v>
      </c>
      <c r="AA32" s="172">
        <f>+'I-O'!BU29/'I-O'!BU$75</f>
        <v>0</v>
      </c>
      <c r="AB32" s="172">
        <f>+'I-O'!BW29/'I-O'!BW$75</f>
        <v>1.8775082415925802E-4</v>
      </c>
      <c r="AC32" s="134"/>
      <c r="AD32" s="157">
        <f t="shared" si="7"/>
        <v>5.4492792097377778E-2</v>
      </c>
      <c r="AE32" s="157">
        <f t="shared" si="8"/>
        <v>6.4826184526647179E-2</v>
      </c>
      <c r="AF32" s="155"/>
      <c r="AG32" s="157">
        <f t="shared" si="9"/>
        <v>8.3925694767511688E-3</v>
      </c>
      <c r="AH32" s="157">
        <f t="shared" si="10"/>
        <v>1.1156768180104177E-2</v>
      </c>
      <c r="AI32" s="4"/>
      <c r="AJ32" s="157">
        <f t="shared" si="10"/>
        <v>2.2909560665463555E-3</v>
      </c>
      <c r="AK32" s="157">
        <f t="shared" si="27"/>
        <v>2.9030428154364989E-3</v>
      </c>
      <c r="AL32" s="157">
        <f t="shared" si="28"/>
        <v>6.1271812597037849E-4</v>
      </c>
      <c r="AM32" s="157">
        <f t="shared" si="29"/>
        <v>8.1106310348541435E-4</v>
      </c>
      <c r="AN32" s="157">
        <f t="shared" si="30"/>
        <v>5.0789401432855272E-4</v>
      </c>
      <c r="AO32" s="157">
        <f t="shared" si="31"/>
        <v>7.6506616121027279E-4</v>
      </c>
      <c r="AP32" s="157">
        <f t="shared" si="32"/>
        <v>6.3044917444377564E-5</v>
      </c>
      <c r="AQ32" s="157">
        <f t="shared" si="33"/>
        <v>8.5650725322052387E-5</v>
      </c>
      <c r="AR32" s="157">
        <f t="shared" si="34"/>
        <v>1.107299008803047E-3</v>
      </c>
      <c r="AS32" s="157">
        <f t="shared" si="35"/>
        <v>1.2412628254187593E-3</v>
      </c>
      <c r="AT32" s="134"/>
      <c r="AU32" s="157">
        <f t="shared" si="11"/>
        <v>0</v>
      </c>
      <c r="AV32" s="157">
        <f t="shared" si="12"/>
        <v>0</v>
      </c>
      <c r="AW32" s="155"/>
      <c r="AX32" s="157">
        <f t="shared" si="13"/>
        <v>0</v>
      </c>
      <c r="AY32" s="157">
        <f t="shared" si="14"/>
        <v>0</v>
      </c>
      <c r="AZ32" s="4"/>
      <c r="BA32" s="157">
        <f t="shared" si="36"/>
        <v>0</v>
      </c>
      <c r="BB32" s="157">
        <f t="shared" si="37"/>
        <v>0</v>
      </c>
      <c r="BC32" s="157">
        <f t="shared" si="38"/>
        <v>0</v>
      </c>
      <c r="BD32" s="157">
        <f t="shared" si="39"/>
        <v>0</v>
      </c>
      <c r="BE32" s="157">
        <f t="shared" si="40"/>
        <v>0</v>
      </c>
      <c r="BF32" s="157">
        <f t="shared" si="41"/>
        <v>0</v>
      </c>
      <c r="BG32" s="157">
        <f t="shared" si="42"/>
        <v>0</v>
      </c>
      <c r="BH32" s="157">
        <f t="shared" si="43"/>
        <v>0</v>
      </c>
      <c r="BI32" s="157">
        <f t="shared" si="44"/>
        <v>0</v>
      </c>
      <c r="BJ32" s="157">
        <f t="shared" si="45"/>
        <v>0</v>
      </c>
      <c r="BL32" s="157">
        <f t="shared" si="15"/>
        <v>1.6258389617202166E-2</v>
      </c>
      <c r="BM32" s="157">
        <f t="shared" si="16"/>
        <v>1.9341445443783561E-2</v>
      </c>
      <c r="BN32" s="155"/>
      <c r="BO32" s="157">
        <f t="shared" si="17"/>
        <v>2.5039947338104016E-3</v>
      </c>
      <c r="BP32" s="157">
        <f t="shared" si="18"/>
        <v>3.328717009339404E-3</v>
      </c>
      <c r="BQ32" s="4"/>
      <c r="BR32" s="157">
        <f t="shared" si="46"/>
        <v>6.8352629572078656E-4</v>
      </c>
      <c r="BS32" s="157">
        <f t="shared" si="47"/>
        <v>8.6614760140098148E-4</v>
      </c>
      <c r="BT32" s="157">
        <f t="shared" si="48"/>
        <v>1.8280968242087451E-4</v>
      </c>
      <c r="BU32" s="157">
        <f t="shared" si="49"/>
        <v>2.419875993331157E-4</v>
      </c>
      <c r="BV32" s="157">
        <f t="shared" si="50"/>
        <v>1.5153451404072626E-4</v>
      </c>
      <c r="BW32" s="157">
        <f t="shared" si="51"/>
        <v>2.2826401902229521E-4</v>
      </c>
      <c r="BX32" s="157">
        <f t="shared" si="52"/>
        <v>1.8809989206707577E-5</v>
      </c>
      <c r="BY32" s="157">
        <f t="shared" si="53"/>
        <v>2.555462492715438E-5</v>
      </c>
      <c r="BZ32" s="157">
        <f t="shared" si="54"/>
        <v>3.3037211005247831E-4</v>
      </c>
      <c r="CA32" s="157">
        <f t="shared" si="55"/>
        <v>3.7034135811841616E-4</v>
      </c>
      <c r="CC32" s="157">
        <f t="shared" si="19"/>
        <v>6.5216991644846103E-4</v>
      </c>
      <c r="CD32" s="157">
        <f t="shared" si="20"/>
        <v>7.7583999129401254E-4</v>
      </c>
      <c r="CE32" s="155"/>
      <c r="CF32" s="157">
        <f t="shared" si="21"/>
        <v>1.0044229931657505E-4</v>
      </c>
      <c r="CG32" s="157">
        <f t="shared" si="22"/>
        <v>1.3352423856078242E-4</v>
      </c>
      <c r="CH32" s="4"/>
      <c r="CI32" s="157">
        <f t="shared" si="56"/>
        <v>2.7418169798249853E-5</v>
      </c>
      <c r="CJ32" s="157">
        <f t="shared" si="57"/>
        <v>3.4743626037848625E-5</v>
      </c>
      <c r="CK32" s="157">
        <f t="shared" si="58"/>
        <v>7.333012562587854E-6</v>
      </c>
      <c r="CL32" s="157">
        <f t="shared" si="59"/>
        <v>9.706805910941121E-6</v>
      </c>
      <c r="CM32" s="157">
        <f t="shared" si="60"/>
        <v>6.0784772469984123E-6</v>
      </c>
      <c r="CN32" s="157">
        <f t="shared" si="61"/>
        <v>9.1563143533263421E-6</v>
      </c>
      <c r="CO32" s="157">
        <f t="shared" si="62"/>
        <v>7.5452178094905071E-7</v>
      </c>
      <c r="CP32" s="157">
        <f t="shared" si="63"/>
        <v>1.0250681645604456E-6</v>
      </c>
      <c r="CQ32" s="157">
        <f t="shared" si="64"/>
        <v>1.3252158207714541E-5</v>
      </c>
      <c r="CR32" s="157">
        <f t="shared" si="65"/>
        <v>1.4855437609020719E-5</v>
      </c>
      <c r="CT32" s="157">
        <f t="shared" si="23"/>
        <v>1.4224020504505741E-2</v>
      </c>
      <c r="CU32" s="157">
        <f t="shared" si="24"/>
        <v>1.692130174369013E-2</v>
      </c>
      <c r="CV32" s="155"/>
      <c r="CW32" s="157">
        <f t="shared" si="25"/>
        <v>2.190676523043166E-3</v>
      </c>
      <c r="CX32" s="157">
        <f t="shared" si="26"/>
        <v>2.9122034905870692E-3</v>
      </c>
      <c r="CY32" s="4"/>
      <c r="CZ32" s="157">
        <f t="shared" si="66"/>
        <v>5.9799846569148849E-4</v>
      </c>
      <c r="DA32" s="157">
        <f t="shared" si="67"/>
        <v>7.5776885240963596E-4</v>
      </c>
      <c r="DB32" s="157">
        <f t="shared" si="68"/>
        <v>1.5993519237756916E-4</v>
      </c>
      <c r="DC32" s="157">
        <f t="shared" si="69"/>
        <v>2.1170833371519869E-4</v>
      </c>
      <c r="DD32" s="157">
        <f t="shared" si="70"/>
        <v>1.3257340275417276E-4</v>
      </c>
      <c r="DE32" s="157">
        <f t="shared" si="71"/>
        <v>1.9970194856068092E-4</v>
      </c>
      <c r="DF32" s="157">
        <f t="shared" si="72"/>
        <v>1.6456345214082919E-5</v>
      </c>
      <c r="DG32" s="157">
        <f t="shared" si="73"/>
        <v>2.2357042579678854E-5</v>
      </c>
      <c r="DH32" s="157">
        <f t="shared" si="74"/>
        <v>2.8903352534566379E-4</v>
      </c>
      <c r="DI32" s="157">
        <f t="shared" si="75"/>
        <v>3.2400152755407749E-4</v>
      </c>
    </row>
    <row r="33" spans="1:113" x14ac:dyDescent="0.25">
      <c r="A33">
        <f t="shared" si="6"/>
        <v>28</v>
      </c>
      <c r="B33" s="11" t="s">
        <v>145</v>
      </c>
      <c r="C33" s="158">
        <v>1.2034985540898082</v>
      </c>
      <c r="D33" s="17">
        <v>1.5244757184976407</v>
      </c>
      <c r="E33" s="155"/>
      <c r="F33" s="162">
        <v>0.26069107228648652</v>
      </c>
      <c r="G33" s="17">
        <v>0.34655296785806322</v>
      </c>
      <c r="H33" s="4"/>
      <c r="I33" s="155">
        <v>5.6574851158858644E-2</v>
      </c>
      <c r="J33" s="17">
        <v>7.5587568461056104E-2</v>
      </c>
      <c r="K33" s="155">
        <v>1.7542485983609503E-2</v>
      </c>
      <c r="L33" s="17">
        <v>2.3703503180341721E-2</v>
      </c>
      <c r="M33" s="155">
        <v>2.7248456986846012E-2</v>
      </c>
      <c r="N33" s="17">
        <v>3.5236771283025804E-2</v>
      </c>
      <c r="O33" s="169">
        <v>2.4944815933474274E-3</v>
      </c>
      <c r="P33" s="17">
        <v>3.1966661045222619E-3</v>
      </c>
      <c r="Q33" s="155">
        <v>9.2894265950556835E-3</v>
      </c>
      <c r="R33" s="17">
        <v>1.3450627893166285E-2</v>
      </c>
      <c r="S33" s="3"/>
      <c r="T33" s="104">
        <f t="shared" si="0"/>
        <v>1.3098629911026392</v>
      </c>
      <c r="U33" s="105">
        <f t="shared" si="0"/>
        <v>1.7412829026810914</v>
      </c>
      <c r="V33" s="166"/>
      <c r="W33" s="3">
        <v>0.19902163360386071</v>
      </c>
      <c r="X33" s="172">
        <f>+'I-O'!BO30/'I-O'!BO$75</f>
        <v>3.5895494376968537E-4</v>
      </c>
      <c r="Y33" s="172">
        <f>+'I-O'!BP30/'I-O'!BP$75</f>
        <v>2.3999602834561195E-6</v>
      </c>
      <c r="Z33" s="172">
        <f>+'I-O'!BT30/'I-O'!BT$75</f>
        <v>0</v>
      </c>
      <c r="AA33" s="172">
        <f>+'I-O'!BU30/'I-O'!BU$75</f>
        <v>0</v>
      </c>
      <c r="AB33" s="172">
        <f>+'I-O'!BW30/'I-O'!BW$75</f>
        <v>2.4220989558332532E-5</v>
      </c>
      <c r="AC33" s="134"/>
      <c r="AD33" s="157">
        <f t="shared" si="7"/>
        <v>8.5398260975819357E-4</v>
      </c>
      <c r="AE33" s="157">
        <f t="shared" si="8"/>
        <v>1.0632890237138452E-3</v>
      </c>
      <c r="AF33" s="155"/>
      <c r="AG33" s="157">
        <f t="shared" si="9"/>
        <v>1.6999437823311724E-4</v>
      </c>
      <c r="AH33" s="157">
        <f t="shared" si="10"/>
        <v>2.259841726805723E-4</v>
      </c>
      <c r="AI33" s="4"/>
      <c r="AJ33" s="157">
        <f t="shared" si="10"/>
        <v>4.1210714980705371E-5</v>
      </c>
      <c r="AK33" s="157">
        <f t="shared" si="27"/>
        <v>5.3608742377505565E-5</v>
      </c>
      <c r="AL33" s="157">
        <f t="shared" si="28"/>
        <v>1.3522371014964423E-5</v>
      </c>
      <c r="AM33" s="157">
        <f t="shared" si="29"/>
        <v>1.7539916681012628E-5</v>
      </c>
      <c r="AN33" s="157">
        <f t="shared" si="30"/>
        <v>1.9359028878569263E-5</v>
      </c>
      <c r="AO33" s="157">
        <f t="shared" si="31"/>
        <v>2.4568139071715677E-5</v>
      </c>
      <c r="AP33" s="157">
        <f t="shared" si="32"/>
        <v>1.8493355991492575E-6</v>
      </c>
      <c r="AQ33" s="157">
        <f t="shared" si="33"/>
        <v>2.3072240045140274E-6</v>
      </c>
      <c r="AR33" s="157">
        <f t="shared" si="34"/>
        <v>6.4799794880224167E-6</v>
      </c>
      <c r="AS33" s="157">
        <f t="shared" si="35"/>
        <v>9.1934626202632287E-6</v>
      </c>
      <c r="AT33" s="134"/>
      <c r="AU33" s="157">
        <f t="shared" si="11"/>
        <v>6.0873149623653641E-5</v>
      </c>
      <c r="AV33" s="157">
        <f t="shared" si="12"/>
        <v>7.5792821884334023E-5</v>
      </c>
      <c r="AW33" s="155"/>
      <c r="AX33" s="157">
        <f t="shared" si="13"/>
        <v>1.2117451928318064E-5</v>
      </c>
      <c r="AY33" s="157">
        <f t="shared" si="14"/>
        <v>1.610848768929521E-5</v>
      </c>
      <c r="AZ33" s="4"/>
      <c r="BA33" s="157">
        <f t="shared" si="36"/>
        <v>2.9375610117266248E-6</v>
      </c>
      <c r="BB33" s="157">
        <f t="shared" si="37"/>
        <v>3.8213108306805163E-6</v>
      </c>
      <c r="BC33" s="157">
        <f t="shared" si="38"/>
        <v>9.638947030707831E-7</v>
      </c>
      <c r="BD33" s="157">
        <f t="shared" si="39"/>
        <v>1.2502713290754524E-6</v>
      </c>
      <c r="BE33" s="157">
        <f t="shared" si="40"/>
        <v>1.3799403501055566E-6</v>
      </c>
      <c r="BF33" s="157">
        <f t="shared" si="41"/>
        <v>1.751253466520523E-6</v>
      </c>
      <c r="BG33" s="157">
        <f t="shared" si="42"/>
        <v>1.318233900140398E-7</v>
      </c>
      <c r="BH33" s="157">
        <f t="shared" si="43"/>
        <v>1.6446235606815902E-7</v>
      </c>
      <c r="BI33" s="157">
        <f t="shared" si="44"/>
        <v>4.6190256853624462E-7</v>
      </c>
      <c r="BJ33" s="157">
        <f t="shared" si="45"/>
        <v>6.5532367901638164E-7</v>
      </c>
      <c r="BL33" s="157">
        <f t="shared" si="15"/>
        <v>0</v>
      </c>
      <c r="BM33" s="157">
        <f t="shared" si="16"/>
        <v>0</v>
      </c>
      <c r="BN33" s="155"/>
      <c r="BO33" s="157">
        <f t="shared" si="17"/>
        <v>0</v>
      </c>
      <c r="BP33" s="157">
        <f t="shared" si="18"/>
        <v>0</v>
      </c>
      <c r="BQ33" s="4"/>
      <c r="BR33" s="157">
        <f t="shared" si="46"/>
        <v>0</v>
      </c>
      <c r="BS33" s="157">
        <f t="shared" si="47"/>
        <v>0</v>
      </c>
      <c r="BT33" s="157">
        <f t="shared" si="48"/>
        <v>0</v>
      </c>
      <c r="BU33" s="157">
        <f t="shared" si="49"/>
        <v>0</v>
      </c>
      <c r="BV33" s="157">
        <f t="shared" si="50"/>
        <v>0</v>
      </c>
      <c r="BW33" s="157">
        <f t="shared" si="51"/>
        <v>0</v>
      </c>
      <c r="BX33" s="157">
        <f t="shared" si="52"/>
        <v>0</v>
      </c>
      <c r="BY33" s="157">
        <f t="shared" si="53"/>
        <v>0</v>
      </c>
      <c r="BZ33" s="157">
        <f t="shared" si="54"/>
        <v>0</v>
      </c>
      <c r="CA33" s="157">
        <f t="shared" si="55"/>
        <v>0</v>
      </c>
      <c r="CC33" s="157">
        <f t="shared" si="19"/>
        <v>0</v>
      </c>
      <c r="CD33" s="157">
        <f t="shared" si="20"/>
        <v>0</v>
      </c>
      <c r="CE33" s="155"/>
      <c r="CF33" s="157">
        <f t="shared" si="21"/>
        <v>0</v>
      </c>
      <c r="CG33" s="157">
        <f t="shared" si="22"/>
        <v>0</v>
      </c>
      <c r="CH33" s="4"/>
      <c r="CI33" s="157">
        <f t="shared" si="56"/>
        <v>0</v>
      </c>
      <c r="CJ33" s="157">
        <f t="shared" si="57"/>
        <v>0</v>
      </c>
      <c r="CK33" s="157">
        <f t="shared" si="58"/>
        <v>0</v>
      </c>
      <c r="CL33" s="157">
        <f t="shared" si="59"/>
        <v>0</v>
      </c>
      <c r="CM33" s="157">
        <f t="shared" si="60"/>
        <v>0</v>
      </c>
      <c r="CN33" s="157">
        <f t="shared" si="61"/>
        <v>0</v>
      </c>
      <c r="CO33" s="157">
        <f t="shared" si="62"/>
        <v>0</v>
      </c>
      <c r="CP33" s="157">
        <f t="shared" si="63"/>
        <v>0</v>
      </c>
      <c r="CQ33" s="157">
        <f t="shared" si="64"/>
        <v>0</v>
      </c>
      <c r="CR33" s="157">
        <f t="shared" si="65"/>
        <v>0</v>
      </c>
      <c r="CT33" s="157">
        <f t="shared" si="23"/>
        <v>2.2763447093723105E-4</v>
      </c>
      <c r="CU33" s="157">
        <f t="shared" si="24"/>
        <v>2.834264206328515E-4</v>
      </c>
      <c r="CV33" s="155"/>
      <c r="CW33" s="157">
        <f t="shared" si="25"/>
        <v>4.5313077701144501E-5</v>
      </c>
      <c r="CX33" s="157">
        <f t="shared" si="26"/>
        <v>6.0237511865605497E-5</v>
      </c>
      <c r="CY33" s="4"/>
      <c r="CZ33" s="157">
        <f t="shared" si="66"/>
        <v>1.0984976970706847E-5</v>
      </c>
      <c r="DA33" s="157">
        <f t="shared" si="67"/>
        <v>1.4289749661493869E-5</v>
      </c>
      <c r="DB33" s="157">
        <f t="shared" si="68"/>
        <v>3.6044736000888346E-6</v>
      </c>
      <c r="DC33" s="157">
        <f t="shared" si="69"/>
        <v>4.6753758312431665E-6</v>
      </c>
      <c r="DD33" s="157">
        <f t="shared" si="70"/>
        <v>5.1602717037522329E-6</v>
      </c>
      <c r="DE33" s="157">
        <f t="shared" si="71"/>
        <v>6.5487930030400189E-6</v>
      </c>
      <c r="DF33" s="157">
        <f t="shared" si="72"/>
        <v>4.9295211153881387E-7</v>
      </c>
      <c r="DG33" s="157">
        <f t="shared" si="73"/>
        <v>6.1500516474210455E-7</v>
      </c>
      <c r="DH33" s="157">
        <f t="shared" si="74"/>
        <v>1.7272795553269632E-6</v>
      </c>
      <c r="DI33" s="157">
        <f t="shared" si="75"/>
        <v>2.4505756624685773E-6</v>
      </c>
    </row>
    <row r="34" spans="1:113" x14ac:dyDescent="0.25">
      <c r="A34">
        <f t="shared" si="6"/>
        <v>29</v>
      </c>
      <c r="B34" s="11" t="s">
        <v>169</v>
      </c>
      <c r="C34" s="158">
        <v>1.5638055165375189</v>
      </c>
      <c r="D34" s="17">
        <v>1.8495494983468084</v>
      </c>
      <c r="E34" s="155"/>
      <c r="F34" s="162">
        <v>0.23207540372755847</v>
      </c>
      <c r="G34" s="17">
        <v>0.3085123676205489</v>
      </c>
      <c r="H34" s="4"/>
      <c r="I34" s="155">
        <v>8.8920809057601857E-2</v>
      </c>
      <c r="J34" s="17">
        <v>0.10584652885753579</v>
      </c>
      <c r="K34" s="155">
        <v>1.7410509277266156E-2</v>
      </c>
      <c r="L34" s="17">
        <v>2.2895240843879811E-2</v>
      </c>
      <c r="M34" s="155">
        <v>9.3076695650319442E-3</v>
      </c>
      <c r="N34" s="17">
        <v>1.6419118565292355E-2</v>
      </c>
      <c r="O34" s="169">
        <v>2.4112996561842679E-3</v>
      </c>
      <c r="P34" s="17">
        <v>3.0364064252532651E-3</v>
      </c>
      <c r="Q34" s="155">
        <v>5.9791330559119497E-2</v>
      </c>
      <c r="R34" s="17">
        <v>6.3495763023110344E-2</v>
      </c>
      <c r="S34" s="3"/>
      <c r="T34" s="104">
        <f t="shared" si="0"/>
        <v>2.2324181236025362</v>
      </c>
      <c r="U34" s="105">
        <f t="shared" si="0"/>
        <v>2.9676932142286154</v>
      </c>
      <c r="V34" s="166"/>
      <c r="W34" s="3">
        <v>0.10395696096260398</v>
      </c>
      <c r="X34" s="172">
        <f>+'I-O'!BO31/'I-O'!BO$75</f>
        <v>1.5686521603258806E-2</v>
      </c>
      <c r="Y34" s="172">
        <f>+'I-O'!BP31/'I-O'!BP$75</f>
        <v>0</v>
      </c>
      <c r="Z34" s="172">
        <f>+'I-O'!BT31/'I-O'!BT$75</f>
        <v>5.1268738964363049E-2</v>
      </c>
      <c r="AA34" s="172">
        <f>+'I-O'!BU31/'I-O'!BU$75</f>
        <v>4.154825656692702E-3</v>
      </c>
      <c r="AB34" s="172">
        <f>+'I-O'!BW31/'I-O'!BW$75</f>
        <v>2.1744253053552938E-2</v>
      </c>
      <c r="AC34" s="134"/>
      <c r="AD34" s="157">
        <f t="shared" si="7"/>
        <v>4.3200175581020473E-4</v>
      </c>
      <c r="AE34" s="157">
        <f t="shared" si="8"/>
        <v>5.4721809581157138E-4</v>
      </c>
      <c r="AF34" s="155"/>
      <c r="AG34" s="157">
        <f t="shared" si="9"/>
        <v>9.3576349193854753E-5</v>
      </c>
      <c r="AH34" s="157">
        <f t="shared" si="10"/>
        <v>1.2439690109070867E-4</v>
      </c>
      <c r="AI34" s="4"/>
      <c r="AJ34" s="157">
        <f t="shared" si="10"/>
        <v>2.0307822516506423E-5</v>
      </c>
      <c r="AK34" s="157">
        <f t="shared" si="27"/>
        <v>2.7132531386625637E-5</v>
      </c>
      <c r="AL34" s="157">
        <f t="shared" si="28"/>
        <v>6.2969620698270425E-6</v>
      </c>
      <c r="AM34" s="157">
        <f t="shared" si="29"/>
        <v>8.5084896512441206E-6</v>
      </c>
      <c r="AN34" s="157">
        <f t="shared" si="30"/>
        <v>9.7809683455240016E-6</v>
      </c>
      <c r="AO34" s="157">
        <f t="shared" si="31"/>
        <v>1.2648413254523792E-5</v>
      </c>
      <c r="AP34" s="157">
        <f t="shared" si="32"/>
        <v>8.9540650007454102E-7</v>
      </c>
      <c r="AQ34" s="157">
        <f t="shared" si="33"/>
        <v>1.1474591017992478E-6</v>
      </c>
      <c r="AR34" s="157">
        <f t="shared" si="34"/>
        <v>3.3344856010808325E-6</v>
      </c>
      <c r="AS34" s="157">
        <f t="shared" si="35"/>
        <v>4.8281693790584654E-6</v>
      </c>
      <c r="AT34" s="134"/>
      <c r="AU34" s="157">
        <f t="shared" si="11"/>
        <v>2.8883487310124063E-6</v>
      </c>
      <c r="AV34" s="157">
        <f t="shared" si="12"/>
        <v>3.6586811774875696E-6</v>
      </c>
      <c r="AW34" s="155"/>
      <c r="AX34" s="157">
        <f t="shared" si="13"/>
        <v>6.2564821973915599E-7</v>
      </c>
      <c r="AY34" s="157">
        <f t="shared" si="14"/>
        <v>8.317133589731969E-7</v>
      </c>
      <c r="AZ34" s="4"/>
      <c r="BA34" s="157">
        <f t="shared" si="36"/>
        <v>1.3577739582370215E-7</v>
      </c>
      <c r="BB34" s="157">
        <f t="shared" si="37"/>
        <v>1.8140716222955504E-7</v>
      </c>
      <c r="BC34" s="157">
        <f t="shared" si="38"/>
        <v>4.2101269633748467E-8</v>
      </c>
      <c r="BD34" s="157">
        <f t="shared" si="39"/>
        <v>5.6887466211595952E-8</v>
      </c>
      <c r="BE34" s="157">
        <f t="shared" si="40"/>
        <v>6.5395214553892837E-8</v>
      </c>
      <c r="BF34" s="157">
        <f t="shared" si="41"/>
        <v>8.4566851596489066E-8</v>
      </c>
      <c r="BG34" s="157">
        <f t="shared" si="42"/>
        <v>5.9866567518461644E-9</v>
      </c>
      <c r="BH34" s="157">
        <f t="shared" si="43"/>
        <v>7.6718716903238178E-9</v>
      </c>
      <c r="BI34" s="157">
        <f t="shared" si="44"/>
        <v>2.2294254884214652E-8</v>
      </c>
      <c r="BJ34" s="157">
        <f t="shared" si="45"/>
        <v>3.2280972731146148E-8</v>
      </c>
      <c r="BL34" s="157">
        <f t="shared" si="15"/>
        <v>0</v>
      </c>
      <c r="BM34" s="157">
        <f t="shared" si="16"/>
        <v>0</v>
      </c>
      <c r="BN34" s="155"/>
      <c r="BO34" s="157">
        <f t="shared" si="17"/>
        <v>0</v>
      </c>
      <c r="BP34" s="157">
        <f t="shared" si="18"/>
        <v>0</v>
      </c>
      <c r="BQ34" s="4"/>
      <c r="BR34" s="157">
        <f t="shared" si="46"/>
        <v>0</v>
      </c>
      <c r="BS34" s="157">
        <f t="shared" si="47"/>
        <v>0</v>
      </c>
      <c r="BT34" s="157">
        <f t="shared" si="48"/>
        <v>0</v>
      </c>
      <c r="BU34" s="157">
        <f t="shared" si="49"/>
        <v>0</v>
      </c>
      <c r="BV34" s="157">
        <f t="shared" si="50"/>
        <v>0</v>
      </c>
      <c r="BW34" s="157">
        <f t="shared" si="51"/>
        <v>0</v>
      </c>
      <c r="BX34" s="157">
        <f t="shared" si="52"/>
        <v>0</v>
      </c>
      <c r="BY34" s="157">
        <f t="shared" si="53"/>
        <v>0</v>
      </c>
      <c r="BZ34" s="157">
        <f t="shared" si="54"/>
        <v>0</v>
      </c>
      <c r="CA34" s="157">
        <f t="shared" si="55"/>
        <v>0</v>
      </c>
      <c r="CC34" s="157">
        <f t="shared" si="19"/>
        <v>0</v>
      </c>
      <c r="CD34" s="157">
        <f t="shared" si="20"/>
        <v>0</v>
      </c>
      <c r="CE34" s="155"/>
      <c r="CF34" s="157">
        <f t="shared" si="21"/>
        <v>0</v>
      </c>
      <c r="CG34" s="157">
        <f t="shared" si="22"/>
        <v>0</v>
      </c>
      <c r="CH34" s="4"/>
      <c r="CI34" s="157">
        <f t="shared" si="56"/>
        <v>0</v>
      </c>
      <c r="CJ34" s="157">
        <f t="shared" si="57"/>
        <v>0</v>
      </c>
      <c r="CK34" s="157">
        <f t="shared" si="58"/>
        <v>0</v>
      </c>
      <c r="CL34" s="157">
        <f t="shared" si="59"/>
        <v>0</v>
      </c>
      <c r="CM34" s="157">
        <f t="shared" si="60"/>
        <v>0</v>
      </c>
      <c r="CN34" s="157">
        <f t="shared" si="61"/>
        <v>0</v>
      </c>
      <c r="CO34" s="157">
        <f t="shared" si="62"/>
        <v>0</v>
      </c>
      <c r="CP34" s="157">
        <f t="shared" si="63"/>
        <v>0</v>
      </c>
      <c r="CQ34" s="157">
        <f t="shared" si="64"/>
        <v>0</v>
      </c>
      <c r="CR34" s="157">
        <f t="shared" si="65"/>
        <v>0</v>
      </c>
      <c r="CT34" s="157">
        <f t="shared" si="23"/>
        <v>2.9149925912077544E-5</v>
      </c>
      <c r="CU34" s="157">
        <f t="shared" si="24"/>
        <v>3.6924310459662841E-5</v>
      </c>
      <c r="CV34" s="155"/>
      <c r="CW34" s="157">
        <f t="shared" si="25"/>
        <v>6.3141957398015011E-6</v>
      </c>
      <c r="CX34" s="157">
        <f t="shared" si="26"/>
        <v>8.3938558158992988E-6</v>
      </c>
      <c r="CY34" s="4"/>
      <c r="CZ34" s="157">
        <f t="shared" si="66"/>
        <v>1.3702988791829323E-6</v>
      </c>
      <c r="DA34" s="157">
        <f t="shared" si="67"/>
        <v>1.8308057064349854E-6</v>
      </c>
      <c r="DB34" s="157">
        <f t="shared" si="68"/>
        <v>4.2489636983620057E-7</v>
      </c>
      <c r="DC34" s="157">
        <f t="shared" si="69"/>
        <v>5.7412230302695878E-7</v>
      </c>
      <c r="DD34" s="157">
        <f t="shared" si="70"/>
        <v>6.599845921590704E-7</v>
      </c>
      <c r="DE34" s="157">
        <f t="shared" si="71"/>
        <v>8.5346946931551963E-7</v>
      </c>
      <c r="DF34" s="157">
        <f t="shared" si="72"/>
        <v>6.041881262592074E-8</v>
      </c>
      <c r="DG34" s="157">
        <f t="shared" si="73"/>
        <v>7.7426416339109238E-8</v>
      </c>
      <c r="DH34" s="157">
        <f t="shared" si="74"/>
        <v>2.2499910456174023E-7</v>
      </c>
      <c r="DI34" s="157">
        <f t="shared" si="75"/>
        <v>3.257875177533969E-7</v>
      </c>
    </row>
    <row r="35" spans="1:113" x14ac:dyDescent="0.25">
      <c r="A35">
        <f t="shared" si="6"/>
        <v>30</v>
      </c>
      <c r="B35" s="11" t="s">
        <v>170</v>
      </c>
      <c r="C35" s="158">
        <v>1.4042617682807819</v>
      </c>
      <c r="D35" s="17">
        <v>1.6451686980161495</v>
      </c>
      <c r="E35" s="155"/>
      <c r="F35" s="162">
        <v>0.19565966927840986</v>
      </c>
      <c r="G35" s="17">
        <v>0.26010265132533633</v>
      </c>
      <c r="H35" s="4"/>
      <c r="I35" s="155">
        <v>4.8747072133403402E-2</v>
      </c>
      <c r="J35" s="17">
        <v>6.3016920144706723E-2</v>
      </c>
      <c r="K35" s="155">
        <v>1.4492860157315851E-2</v>
      </c>
      <c r="L35" s="17">
        <v>1.9116963992396475E-2</v>
      </c>
      <c r="M35" s="155">
        <v>6.4185309559687881E-3</v>
      </c>
      <c r="N35" s="17">
        <v>1.2414098504844732E-2</v>
      </c>
      <c r="O35" s="169">
        <v>1.5817920334687391E-3</v>
      </c>
      <c r="P35" s="17">
        <v>2.1088111907565884E-3</v>
      </c>
      <c r="Q35" s="155">
        <v>2.6253888986649997E-2</v>
      </c>
      <c r="R35" s="17">
        <v>2.9377046456708935E-2</v>
      </c>
      <c r="S35" s="3"/>
      <c r="T35" s="104">
        <f t="shared" si="0"/>
        <v>1.8821218653053327</v>
      </c>
      <c r="U35" s="105">
        <f t="shared" si="0"/>
        <v>2.5020224611885489</v>
      </c>
      <c r="V35" s="166"/>
      <c r="W35" s="3">
        <v>0.10395696096260398</v>
      </c>
      <c r="X35" s="172">
        <f>+'I-O'!BO32/'I-O'!BO$75</f>
        <v>5.4501566238711234E-3</v>
      </c>
      <c r="Y35" s="172">
        <f>+'I-O'!BP32/'I-O'!BP$75</f>
        <v>0</v>
      </c>
      <c r="Z35" s="172">
        <f>+'I-O'!BT32/'I-O'!BT$75</f>
        <v>5.5110867723813899E-3</v>
      </c>
      <c r="AA35" s="172">
        <f>+'I-O'!BU32/'I-O'!BU$75</f>
        <v>1.9307434960843649E-3</v>
      </c>
      <c r="AB35" s="172">
        <f>+'I-O'!BW32/'I-O'!BW$75</f>
        <v>1.8670140809431159E-3</v>
      </c>
      <c r="AC35" s="134"/>
      <c r="AD35" s="157">
        <f t="shared" si="7"/>
        <v>2.4530669018461085E-2</v>
      </c>
      <c r="AE35" s="157">
        <f t="shared" si="8"/>
        <v>2.9012998162113696E-2</v>
      </c>
      <c r="AF35" s="155"/>
      <c r="AG35" s="157">
        <f t="shared" si="9"/>
        <v>3.6404558341573551E-3</v>
      </c>
      <c r="AH35" s="157">
        <f t="shared" si="10"/>
        <v>4.8394859195522626E-3</v>
      </c>
      <c r="AI35" s="4"/>
      <c r="AJ35" s="157">
        <f t="shared" si="10"/>
        <v>1.3948581922613229E-3</v>
      </c>
      <c r="AK35" s="157">
        <f t="shared" si="27"/>
        <v>1.6603638615536917E-3</v>
      </c>
      <c r="AL35" s="157">
        <f t="shared" si="28"/>
        <v>2.7311032990157342E-4</v>
      </c>
      <c r="AM35" s="157">
        <f t="shared" si="29"/>
        <v>3.5914669010933401E-4</v>
      </c>
      <c r="AN35" s="157">
        <f t="shared" si="30"/>
        <v>1.4600495970786809E-4</v>
      </c>
      <c r="AO35" s="157">
        <f t="shared" si="31"/>
        <v>2.5755885808092626E-4</v>
      </c>
      <c r="AP35" s="157">
        <f t="shared" si="32"/>
        <v>3.7824904148665052E-5</v>
      </c>
      <c r="AQ35" s="157">
        <f t="shared" si="33"/>
        <v>4.7630654986009186E-5</v>
      </c>
      <c r="AR35" s="157">
        <f t="shared" si="34"/>
        <v>9.3791799850321644E-4</v>
      </c>
      <c r="AS35" s="157">
        <f t="shared" si="35"/>
        <v>9.9602765837742205E-4</v>
      </c>
      <c r="AT35" s="134"/>
      <c r="AU35" s="157">
        <f t="shared" si="11"/>
        <v>0</v>
      </c>
      <c r="AV35" s="157">
        <f t="shared" si="12"/>
        <v>0</v>
      </c>
      <c r="AW35" s="155"/>
      <c r="AX35" s="157">
        <f t="shared" si="13"/>
        <v>0</v>
      </c>
      <c r="AY35" s="157">
        <f t="shared" si="14"/>
        <v>0</v>
      </c>
      <c r="AZ35" s="4"/>
      <c r="BA35" s="157">
        <f t="shared" si="36"/>
        <v>0</v>
      </c>
      <c r="BB35" s="157">
        <f t="shared" si="37"/>
        <v>0</v>
      </c>
      <c r="BC35" s="157">
        <f t="shared" si="38"/>
        <v>0</v>
      </c>
      <c r="BD35" s="157">
        <f t="shared" si="39"/>
        <v>0</v>
      </c>
      <c r="BE35" s="157">
        <f t="shared" si="40"/>
        <v>0</v>
      </c>
      <c r="BF35" s="157">
        <f t="shared" si="41"/>
        <v>0</v>
      </c>
      <c r="BG35" s="157">
        <f t="shared" si="42"/>
        <v>0</v>
      </c>
      <c r="BH35" s="157">
        <f t="shared" si="43"/>
        <v>0</v>
      </c>
      <c r="BI35" s="157">
        <f t="shared" si="44"/>
        <v>0</v>
      </c>
      <c r="BJ35" s="157">
        <f t="shared" si="45"/>
        <v>0</v>
      </c>
      <c r="BL35" s="157">
        <f t="shared" si="15"/>
        <v>8.0174336818392977E-2</v>
      </c>
      <c r="BM35" s="157">
        <f t="shared" si="16"/>
        <v>9.4824070432411145E-2</v>
      </c>
      <c r="BN35" s="155"/>
      <c r="BO35" s="157">
        <f t="shared" si="17"/>
        <v>1.1898213293757363E-2</v>
      </c>
      <c r="BP35" s="157">
        <f t="shared" si="18"/>
        <v>1.5817040042815533E-2</v>
      </c>
      <c r="BQ35" s="4"/>
      <c r="BR35" s="157">
        <f t="shared" si="46"/>
        <v>4.5588577480741594E-3</v>
      </c>
      <c r="BS35" s="157">
        <f t="shared" si="47"/>
        <v>5.4266180582809229E-3</v>
      </c>
      <c r="BT35" s="157">
        <f t="shared" si="48"/>
        <v>8.9261485537277968E-4</v>
      </c>
      <c r="BU35" s="157">
        <f t="shared" si="49"/>
        <v>1.1738101263510971E-3</v>
      </c>
      <c r="BV35" s="157">
        <f t="shared" si="50"/>
        <v>4.771924812961693E-4</v>
      </c>
      <c r="BW35" s="157">
        <f t="shared" si="51"/>
        <v>8.4178750374890087E-4</v>
      </c>
      <c r="BX35" s="157">
        <f t="shared" si="52"/>
        <v>1.2362429263776959E-4</v>
      </c>
      <c r="BY35" s="157">
        <f t="shared" si="53"/>
        <v>1.5567272840602439E-4</v>
      </c>
      <c r="BZ35" s="157">
        <f t="shared" si="54"/>
        <v>3.0654261187674408E-3</v>
      </c>
      <c r="CA35" s="157">
        <f t="shared" si="55"/>
        <v>3.2553476997748999E-3</v>
      </c>
      <c r="CC35" s="157">
        <f t="shared" si="19"/>
        <v>6.4973392821876669E-3</v>
      </c>
      <c r="CD35" s="157">
        <f t="shared" si="20"/>
        <v>7.6845557090544359E-3</v>
      </c>
      <c r="CE35" s="155"/>
      <c r="CF35" s="157">
        <f t="shared" si="21"/>
        <v>9.6423284169457708E-4</v>
      </c>
      <c r="CG35" s="157">
        <f t="shared" si="22"/>
        <v>1.2818151003968674E-3</v>
      </c>
      <c r="CH35" s="4"/>
      <c r="CI35" s="157">
        <f t="shared" si="56"/>
        <v>3.6945045888639699E-4</v>
      </c>
      <c r="CJ35" s="157">
        <f t="shared" si="57"/>
        <v>4.3977387376915416E-4</v>
      </c>
      <c r="CK35" s="157">
        <f t="shared" si="58"/>
        <v>7.233763064127173E-5</v>
      </c>
      <c r="CL35" s="157">
        <f t="shared" si="59"/>
        <v>9.5125734074310501E-5</v>
      </c>
      <c r="CM35" s="157">
        <f t="shared" si="60"/>
        <v>3.8671744312812525E-5</v>
      </c>
      <c r="CN35" s="157">
        <f t="shared" si="61"/>
        <v>6.821857507535614E-5</v>
      </c>
      <c r="CO35" s="157">
        <f t="shared" si="62"/>
        <v>1.0018529677488688E-5</v>
      </c>
      <c r="CP35" s="157">
        <f t="shared" si="63"/>
        <v>1.2615739319788836E-5</v>
      </c>
      <c r="CQ35" s="157">
        <f t="shared" si="64"/>
        <v>2.484225542548241E-4</v>
      </c>
      <c r="CR35" s="157">
        <f t="shared" si="65"/>
        <v>2.6381382529969859E-4</v>
      </c>
      <c r="CT35" s="157">
        <f t="shared" si="23"/>
        <v>3.4003782878133874E-2</v>
      </c>
      <c r="CU35" s="157">
        <f t="shared" si="24"/>
        <v>4.0217072327124889E-2</v>
      </c>
      <c r="CV35" s="155"/>
      <c r="CW35" s="157">
        <f t="shared" si="25"/>
        <v>5.0463063061574939E-3</v>
      </c>
      <c r="CX35" s="157">
        <f t="shared" si="26"/>
        <v>6.7083709916919672E-3</v>
      </c>
      <c r="CY35" s="4"/>
      <c r="CZ35" s="157">
        <f t="shared" si="66"/>
        <v>1.933516573875157E-3</v>
      </c>
      <c r="DA35" s="157">
        <f t="shared" si="67"/>
        <v>2.3015537083184517E-3</v>
      </c>
      <c r="DB35" s="157">
        <f t="shared" si="68"/>
        <v>3.7857851951610637E-4</v>
      </c>
      <c r="DC35" s="157">
        <f t="shared" si="69"/>
        <v>4.9783991063136353E-4</v>
      </c>
      <c r="DD35" s="157">
        <f t="shared" si="70"/>
        <v>2.0238832236090759E-4</v>
      </c>
      <c r="DE35" s="157">
        <f t="shared" si="71"/>
        <v>3.57021469000006E-4</v>
      </c>
      <c r="DF35" s="157">
        <f t="shared" si="72"/>
        <v>5.2431909912015919E-5</v>
      </c>
      <c r="DG35" s="157">
        <f t="shared" si="73"/>
        <v>6.6024389684141065E-5</v>
      </c>
      <c r="DH35" s="157">
        <f t="shared" si="74"/>
        <v>1.3001178220861272E-3</v>
      </c>
      <c r="DI35" s="157">
        <f t="shared" si="75"/>
        <v>1.3806679390029409E-3</v>
      </c>
    </row>
    <row r="36" spans="1:113" x14ac:dyDescent="0.25">
      <c r="A36">
        <f t="shared" si="6"/>
        <v>31</v>
      </c>
      <c r="B36" s="11" t="s">
        <v>5</v>
      </c>
      <c r="C36" s="158">
        <v>1.3089899194345282</v>
      </c>
      <c r="D36" s="17">
        <v>1.766508496851136</v>
      </c>
      <c r="E36" s="155"/>
      <c r="F36" s="162">
        <v>0.37158720857219207</v>
      </c>
      <c r="G36" s="17">
        <v>0.4939741465609892</v>
      </c>
      <c r="H36" s="4"/>
      <c r="I36" s="155">
        <v>7.2985118895331214E-2</v>
      </c>
      <c r="J36" s="17">
        <v>0.10008571151528797</v>
      </c>
      <c r="K36" s="155">
        <v>2.6935653868948927E-2</v>
      </c>
      <c r="L36" s="17">
        <v>3.5717524157100215E-2</v>
      </c>
      <c r="M36" s="155">
        <v>3.2157819469673617E-2</v>
      </c>
      <c r="N36" s="17">
        <v>4.354430610490715E-2</v>
      </c>
      <c r="O36" s="169">
        <v>2.5766500988640409E-3</v>
      </c>
      <c r="P36" s="17">
        <v>3.5775389291625502E-3</v>
      </c>
      <c r="Q36" s="155">
        <v>1.131499545784464E-2</v>
      </c>
      <c r="R36" s="17">
        <v>1.7246342324118029E-2</v>
      </c>
      <c r="S36" s="3"/>
      <c r="T36" s="104">
        <f t="shared" si="0"/>
        <v>1.3571924726110849</v>
      </c>
      <c r="U36" s="105">
        <f t="shared" si="0"/>
        <v>1.8042009464026272</v>
      </c>
      <c r="V36" s="166"/>
      <c r="W36" s="3">
        <v>0.27379109158872678</v>
      </c>
      <c r="X36" s="172">
        <f>+'I-O'!BO33/'I-O'!BO$75</f>
        <v>3.3676345259967544E-2</v>
      </c>
      <c r="Y36" s="172">
        <f>+'I-O'!BP33/'I-O'!BP$75</f>
        <v>6.3360916953282736E-3</v>
      </c>
      <c r="Z36" s="172">
        <f>+'I-O'!BT33/'I-O'!BT$75</f>
        <v>1.0482090990732679E-2</v>
      </c>
      <c r="AA36" s="172">
        <f>+'I-O'!BU33/'I-O'!BU$75</f>
        <v>3.4480177020343474E-5</v>
      </c>
      <c r="AB36" s="172">
        <f>+'I-O'!BW33/'I-O'!BW$75</f>
        <v>9.6137066995486154E-7</v>
      </c>
      <c r="AC36" s="134"/>
      <c r="AD36" s="157">
        <f t="shared" si="7"/>
        <v>7.6534465780444799E-3</v>
      </c>
      <c r="AE36" s="157">
        <f t="shared" si="8"/>
        <v>8.9664270768781487E-3</v>
      </c>
      <c r="AF36" s="155"/>
      <c r="AG36" s="157">
        <f t="shared" si="9"/>
        <v>1.0663758425421589E-3</v>
      </c>
      <c r="AH36" s="157">
        <f t="shared" si="10"/>
        <v>1.4176001880072231E-3</v>
      </c>
      <c r="AI36" s="4"/>
      <c r="AJ36" s="157">
        <f t="shared" si="10"/>
        <v>2.6567917808219201E-4</v>
      </c>
      <c r="AK36" s="157">
        <f t="shared" si="27"/>
        <v>3.4345208474263099E-4</v>
      </c>
      <c r="AL36" s="157">
        <f t="shared" si="28"/>
        <v>7.8988357785232874E-5</v>
      </c>
      <c r="AM36" s="157">
        <f t="shared" si="29"/>
        <v>1.041904479314654E-4</v>
      </c>
      <c r="AN36" s="157">
        <f t="shared" si="30"/>
        <v>3.4981999005195147E-5</v>
      </c>
      <c r="AO36" s="157">
        <f t="shared" si="31"/>
        <v>6.7658781195568122E-5</v>
      </c>
      <c r="AP36" s="157">
        <f t="shared" si="32"/>
        <v>8.6210143287962224E-6</v>
      </c>
      <c r="AQ36" s="157">
        <f t="shared" si="33"/>
        <v>1.1493351279795572E-5</v>
      </c>
      <c r="AR36" s="157">
        <f t="shared" si="34"/>
        <v>1.4308780696296763E-4</v>
      </c>
      <c r="AS36" s="157">
        <f t="shared" si="35"/>
        <v>1.6010950433580193E-4</v>
      </c>
      <c r="AT36" s="134"/>
      <c r="AU36" s="157">
        <f t="shared" si="11"/>
        <v>0</v>
      </c>
      <c r="AV36" s="157">
        <f t="shared" si="12"/>
        <v>0</v>
      </c>
      <c r="AW36" s="155"/>
      <c r="AX36" s="157">
        <f t="shared" si="13"/>
        <v>0</v>
      </c>
      <c r="AY36" s="157">
        <f t="shared" si="14"/>
        <v>0</v>
      </c>
      <c r="AZ36" s="4"/>
      <c r="BA36" s="157">
        <f t="shared" si="36"/>
        <v>0</v>
      </c>
      <c r="BB36" s="157">
        <f t="shared" si="37"/>
        <v>0</v>
      </c>
      <c r="BC36" s="157">
        <f t="shared" si="38"/>
        <v>0</v>
      </c>
      <c r="BD36" s="157">
        <f t="shared" si="39"/>
        <v>0</v>
      </c>
      <c r="BE36" s="157">
        <f t="shared" si="40"/>
        <v>0</v>
      </c>
      <c r="BF36" s="157">
        <f t="shared" si="41"/>
        <v>0</v>
      </c>
      <c r="BG36" s="157">
        <f t="shared" si="42"/>
        <v>0</v>
      </c>
      <c r="BH36" s="157">
        <f t="shared" si="43"/>
        <v>0</v>
      </c>
      <c r="BI36" s="157">
        <f t="shared" si="44"/>
        <v>0</v>
      </c>
      <c r="BJ36" s="157">
        <f t="shared" si="45"/>
        <v>0</v>
      </c>
      <c r="BL36" s="157">
        <f t="shared" si="15"/>
        <v>7.7390084561331177E-3</v>
      </c>
      <c r="BM36" s="157">
        <f t="shared" si="16"/>
        <v>9.0666674499727141E-3</v>
      </c>
      <c r="BN36" s="155"/>
      <c r="BO36" s="157">
        <f t="shared" si="17"/>
        <v>1.078297415248762E-3</v>
      </c>
      <c r="BP36" s="157">
        <f t="shared" si="18"/>
        <v>1.4334482811803899E-3</v>
      </c>
      <c r="BQ36" s="4"/>
      <c r="BR36" s="157">
        <f t="shared" si="46"/>
        <v>2.6864934442672096E-4</v>
      </c>
      <c r="BS36" s="157">
        <f t="shared" si="47"/>
        <v>3.4729171504570755E-4</v>
      </c>
      <c r="BT36" s="157">
        <f t="shared" si="48"/>
        <v>7.9871409906956653E-5</v>
      </c>
      <c r="BU36" s="157">
        <f t="shared" si="49"/>
        <v>1.0535524738658753E-4</v>
      </c>
      <c r="BV36" s="157">
        <f t="shared" si="50"/>
        <v>3.5373081049560064E-5</v>
      </c>
      <c r="BW36" s="157">
        <f t="shared" si="51"/>
        <v>6.8415174061089396E-5</v>
      </c>
      <c r="BX36" s="157">
        <f t="shared" si="52"/>
        <v>8.7173931523078282E-6</v>
      </c>
      <c r="BY36" s="157">
        <f t="shared" si="53"/>
        <v>1.1621841458828483E-5</v>
      </c>
      <c r="BZ36" s="157">
        <f t="shared" si="54"/>
        <v>1.4468746031789625E-4</v>
      </c>
      <c r="CA36" s="157">
        <f t="shared" si="55"/>
        <v>1.6189945213920218E-4</v>
      </c>
      <c r="CC36" s="157">
        <f t="shared" si="19"/>
        <v>2.7112692759080491E-3</v>
      </c>
      <c r="CD36" s="157">
        <f t="shared" si="20"/>
        <v>3.1763987636562632E-3</v>
      </c>
      <c r="CE36" s="155"/>
      <c r="CF36" s="157">
        <f t="shared" si="21"/>
        <v>3.7776863390530765E-4</v>
      </c>
      <c r="CG36" s="157">
        <f t="shared" si="22"/>
        <v>5.0219150236069246E-4</v>
      </c>
      <c r="CH36" s="4"/>
      <c r="CI36" s="157">
        <f t="shared" si="56"/>
        <v>9.4118092474724E-5</v>
      </c>
      <c r="CJ36" s="157">
        <f t="shared" si="57"/>
        <v>1.216695087126603E-4</v>
      </c>
      <c r="CK36" s="157">
        <f t="shared" si="58"/>
        <v>2.7981995488397805E-5</v>
      </c>
      <c r="CL36" s="157">
        <f t="shared" si="59"/>
        <v>3.6909953893198488E-5</v>
      </c>
      <c r="CM36" s="157">
        <f t="shared" si="60"/>
        <v>1.2392536897652899E-5</v>
      </c>
      <c r="CN36" s="157">
        <f t="shared" si="61"/>
        <v>2.3968439947979606E-5</v>
      </c>
      <c r="CO36" s="157">
        <f t="shared" si="62"/>
        <v>3.0540346807778303E-6</v>
      </c>
      <c r="CP36" s="157">
        <f t="shared" si="63"/>
        <v>4.0715734910232085E-6</v>
      </c>
      <c r="CQ36" s="157">
        <f t="shared" si="64"/>
        <v>5.0689525407895422E-5</v>
      </c>
      <c r="CR36" s="157">
        <f t="shared" si="65"/>
        <v>5.6719541380459014E-5</v>
      </c>
      <c r="CT36" s="157">
        <f t="shared" si="23"/>
        <v>2.6217764947102989E-3</v>
      </c>
      <c r="CU36" s="157">
        <f t="shared" si="24"/>
        <v>3.0715531247230039E-3</v>
      </c>
      <c r="CV36" s="155"/>
      <c r="CW36" s="157">
        <f t="shared" si="25"/>
        <v>3.652993576154644E-4</v>
      </c>
      <c r="CX36" s="157">
        <f t="shared" si="26"/>
        <v>4.8561531251504054E-4</v>
      </c>
      <c r="CY36" s="4"/>
      <c r="CZ36" s="157">
        <f t="shared" si="66"/>
        <v>9.1011470077813927E-5</v>
      </c>
      <c r="DA36" s="157">
        <f t="shared" si="67"/>
        <v>1.1765347724783535E-4</v>
      </c>
      <c r="DB36" s="157">
        <f t="shared" si="68"/>
        <v>2.7058373986848157E-5</v>
      </c>
      <c r="DC36" s="157">
        <f t="shared" si="69"/>
        <v>3.5691640958686742E-5</v>
      </c>
      <c r="DD36" s="157">
        <f t="shared" si="70"/>
        <v>1.1983487673763006E-5</v>
      </c>
      <c r="DE36" s="157">
        <f t="shared" si="71"/>
        <v>2.3177296710759998E-5</v>
      </c>
      <c r="DF36" s="157">
        <f t="shared" si="72"/>
        <v>2.9532279996097803E-6</v>
      </c>
      <c r="DG36" s="157">
        <f t="shared" si="73"/>
        <v>3.9371801871929698E-6</v>
      </c>
      <c r="DH36" s="157">
        <f t="shared" si="74"/>
        <v>4.9016380417592934E-5</v>
      </c>
      <c r="DI36" s="157">
        <f t="shared" si="75"/>
        <v>5.4847359391195649E-5</v>
      </c>
    </row>
    <row r="37" spans="1:113" x14ac:dyDescent="0.25">
      <c r="A37">
        <f t="shared" si="6"/>
        <v>32</v>
      </c>
      <c r="B37" s="11" t="s">
        <v>146</v>
      </c>
      <c r="C37" s="158">
        <v>1.2825016559465399</v>
      </c>
      <c r="D37" s="17">
        <v>1.710325205897526</v>
      </c>
      <c r="E37" s="155"/>
      <c r="F37" s="162">
        <v>0.34746951606945103</v>
      </c>
      <c r="G37" s="17">
        <v>0.46191298757535282</v>
      </c>
      <c r="H37" s="4"/>
      <c r="I37" s="155">
        <v>0.20535541256416673</v>
      </c>
      <c r="J37" s="17">
        <v>0.23069705400288787</v>
      </c>
      <c r="K37" s="155">
        <v>2.338954060014653E-2</v>
      </c>
      <c r="L37" s="17">
        <v>3.1601427739463339E-2</v>
      </c>
      <c r="M37" s="155">
        <v>0.16842448023882006</v>
      </c>
      <c r="N37" s="17">
        <v>0.17907193232975285</v>
      </c>
      <c r="O37" s="169">
        <v>1.822728270672631E-3</v>
      </c>
      <c r="P37" s="17">
        <v>2.7586548835381959E-3</v>
      </c>
      <c r="Q37" s="155">
        <v>1.1718663454527595E-2</v>
      </c>
      <c r="R37" s="17">
        <v>1.7265039050133338E-2</v>
      </c>
      <c r="S37" s="3"/>
      <c r="T37" s="104">
        <f t="shared" si="0"/>
        <v>1.3337419985674415</v>
      </c>
      <c r="U37" s="105">
        <f t="shared" si="0"/>
        <v>1.7730267626984297</v>
      </c>
      <c r="V37" s="166"/>
      <c r="W37" s="3">
        <v>0.26052228725095594</v>
      </c>
      <c r="X37" s="172">
        <f>+'I-O'!BO34/'I-O'!BO$75</f>
        <v>7.0056680539932331E-2</v>
      </c>
      <c r="Y37" s="172">
        <f>+'I-O'!BP34/'I-O'!BP$75</f>
        <v>0.14277463192891668</v>
      </c>
      <c r="Z37" s="172">
        <f>+'I-O'!BT34/'I-O'!BT$75</f>
        <v>7.8453849588041042E-3</v>
      </c>
      <c r="AA37" s="172">
        <f>+'I-O'!BU34/'I-O'!BU$75</f>
        <v>4.6118840010982289E-5</v>
      </c>
      <c r="AB37" s="172">
        <f>+'I-O'!BW34/'I-O'!BW$75</f>
        <v>6.4912747022693429E-6</v>
      </c>
      <c r="AC37" s="134"/>
      <c r="AD37" s="157">
        <f t="shared" si="7"/>
        <v>4.4081996468694269E-2</v>
      </c>
      <c r="AE37" s="157">
        <f t="shared" si="8"/>
        <v>5.9489550044625146E-2</v>
      </c>
      <c r="AF37" s="155"/>
      <c r="AG37" s="157">
        <f t="shared" si="9"/>
        <v>1.2513699130064712E-2</v>
      </c>
      <c r="AH37" s="157">
        <f t="shared" si="10"/>
        <v>1.6635243909085683E-2</v>
      </c>
      <c r="AI37" s="4"/>
      <c r="AJ37" s="157">
        <f t="shared" si="10"/>
        <v>2.457872062758955E-3</v>
      </c>
      <c r="AK37" s="157">
        <f t="shared" si="27"/>
        <v>3.3705209765783469E-3</v>
      </c>
      <c r="AL37" s="157">
        <f t="shared" si="28"/>
        <v>9.0709437949370469E-4</v>
      </c>
      <c r="AM37" s="157">
        <f t="shared" si="29"/>
        <v>1.2028356753457381E-3</v>
      </c>
      <c r="AN37" s="157">
        <f t="shared" si="30"/>
        <v>1.082957831268435E-3</v>
      </c>
      <c r="AO37" s="157">
        <f t="shared" si="31"/>
        <v>1.4664130864945656E-3</v>
      </c>
      <c r="AP37" s="157">
        <f t="shared" si="32"/>
        <v>8.6772158343474944E-5</v>
      </c>
      <c r="AQ37" s="157">
        <f t="shared" si="33"/>
        <v>1.2047843615945261E-4</v>
      </c>
      <c r="AR37" s="157">
        <f t="shared" si="34"/>
        <v>3.8104769365334063E-4</v>
      </c>
      <c r="AS37" s="157">
        <f t="shared" si="35"/>
        <v>5.8079377857858986E-4</v>
      </c>
      <c r="AT37" s="134"/>
      <c r="AU37" s="157">
        <f t="shared" si="11"/>
        <v>8.2938801577975407E-3</v>
      </c>
      <c r="AV37" s="157">
        <f t="shared" si="12"/>
        <v>1.1192759816625314E-2</v>
      </c>
      <c r="AW37" s="155"/>
      <c r="AX37" s="157">
        <f t="shared" si="13"/>
        <v>2.3544106263244814E-3</v>
      </c>
      <c r="AY37" s="157">
        <f t="shared" si="14"/>
        <v>3.129865487731955E-3</v>
      </c>
      <c r="AZ37" s="4"/>
      <c r="BA37" s="157">
        <f t="shared" si="36"/>
        <v>4.6244040571525474E-4</v>
      </c>
      <c r="BB37" s="157">
        <f t="shared" si="37"/>
        <v>6.3415224555303745E-4</v>
      </c>
      <c r="BC37" s="157">
        <f t="shared" si="38"/>
        <v>1.7066677278728418E-4</v>
      </c>
      <c r="BD37" s="157">
        <f t="shared" si="39"/>
        <v>2.2630950818948968E-4</v>
      </c>
      <c r="BE37" s="157">
        <f t="shared" si="40"/>
        <v>2.0375489288166487E-4</v>
      </c>
      <c r="BF37" s="157">
        <f t="shared" si="41"/>
        <v>2.7590071629013445E-4</v>
      </c>
      <c r="BG37" s="157">
        <f t="shared" si="42"/>
        <v>1.6325891293179226E-5</v>
      </c>
      <c r="BH37" s="157">
        <f t="shared" si="43"/>
        <v>2.2667614698780438E-5</v>
      </c>
      <c r="BI37" s="157">
        <f t="shared" si="44"/>
        <v>7.1692848753126555E-5</v>
      </c>
      <c r="BJ37" s="157">
        <f t="shared" si="45"/>
        <v>1.0927440637463275E-4</v>
      </c>
      <c r="BL37" s="157">
        <f t="shared" si="15"/>
        <v>1.3720951441464565E-2</v>
      </c>
      <c r="BM37" s="157">
        <f t="shared" si="16"/>
        <v>1.851670279989602E-2</v>
      </c>
      <c r="BN37" s="155"/>
      <c r="BO37" s="157">
        <f t="shared" si="17"/>
        <v>3.8950109312460798E-3</v>
      </c>
      <c r="BP37" s="157">
        <f t="shared" si="18"/>
        <v>5.1778819513218092E-3</v>
      </c>
      <c r="BQ37" s="4"/>
      <c r="BR37" s="157">
        <f t="shared" si="46"/>
        <v>7.6503665723030476E-4</v>
      </c>
      <c r="BS37" s="157">
        <f t="shared" si="47"/>
        <v>1.04910753497547E-3</v>
      </c>
      <c r="BT37" s="157">
        <f t="shared" si="48"/>
        <v>2.8234197474920336E-4</v>
      </c>
      <c r="BU37" s="157">
        <f t="shared" si="49"/>
        <v>3.7439433817841703E-4</v>
      </c>
      <c r="BV37" s="157">
        <f t="shared" si="50"/>
        <v>3.3708118974467378E-4</v>
      </c>
      <c r="BW37" s="157">
        <f t="shared" si="51"/>
        <v>4.5643537871995323E-4</v>
      </c>
      <c r="BX37" s="157">
        <f t="shared" si="52"/>
        <v>2.700868078757323E-5</v>
      </c>
      <c r="BY37" s="157">
        <f t="shared" si="53"/>
        <v>3.7500088578370208E-5</v>
      </c>
      <c r="BZ37" s="157">
        <f t="shared" si="54"/>
        <v>1.186048119488545E-4</v>
      </c>
      <c r="CA37" s="157">
        <f t="shared" si="55"/>
        <v>1.8077772949872929E-4</v>
      </c>
      <c r="CC37" s="157">
        <f t="shared" si="19"/>
        <v>4.5134204139947675E-5</v>
      </c>
      <c r="CD37" s="157">
        <f t="shared" si="20"/>
        <v>6.0909525679368032E-5</v>
      </c>
      <c r="CE37" s="155"/>
      <c r="CF37" s="157">
        <f t="shared" si="21"/>
        <v>1.2812392730064474E-5</v>
      </c>
      <c r="CG37" s="157">
        <f t="shared" si="22"/>
        <v>1.7032316016896E-5</v>
      </c>
      <c r="CH37" s="4"/>
      <c r="CI37" s="157">
        <f t="shared" si="56"/>
        <v>2.5165398193618356E-6</v>
      </c>
      <c r="CJ37" s="157">
        <f t="shared" si="57"/>
        <v>3.4509730502541585E-6</v>
      </c>
      <c r="CK37" s="157">
        <f t="shared" si="58"/>
        <v>9.2874611356005859E-7</v>
      </c>
      <c r="CL37" s="157">
        <f t="shared" si="59"/>
        <v>1.2315465556652097E-6</v>
      </c>
      <c r="CM37" s="157">
        <f t="shared" si="60"/>
        <v>1.1088073079025943E-6</v>
      </c>
      <c r="CN37" s="157">
        <f t="shared" si="61"/>
        <v>1.5014153827252216E-6</v>
      </c>
      <c r="CO37" s="157">
        <f t="shared" si="62"/>
        <v>8.8843351528317636E-8</v>
      </c>
      <c r="CP37" s="157">
        <f t="shared" si="63"/>
        <v>1.2335417557469476E-7</v>
      </c>
      <c r="CQ37" s="157">
        <f t="shared" si="64"/>
        <v>3.9014304637086555E-7</v>
      </c>
      <c r="CR37" s="157">
        <f t="shared" si="65"/>
        <v>5.9465693628903153E-7</v>
      </c>
      <c r="CT37" s="157">
        <f t="shared" si="23"/>
        <v>1.2584245158109326E-6</v>
      </c>
      <c r="CU37" s="157">
        <f t="shared" si="24"/>
        <v>1.698269457098732E-6</v>
      </c>
      <c r="CV37" s="155"/>
      <c r="CW37" s="157">
        <f t="shared" si="25"/>
        <v>3.5723304365170514E-7</v>
      </c>
      <c r="CX37" s="157">
        <f t="shared" si="26"/>
        <v>4.7489225621971915E-7</v>
      </c>
      <c r="CY37" s="4"/>
      <c r="CZ37" s="157">
        <f t="shared" si="66"/>
        <v>7.0165752649139788E-8</v>
      </c>
      <c r="DA37" s="157">
        <f t="shared" si="67"/>
        <v>9.6219467532361395E-8</v>
      </c>
      <c r="DB37" s="157">
        <f t="shared" si="68"/>
        <v>2.5895147605663688E-8</v>
      </c>
      <c r="DC37" s="157">
        <f t="shared" si="69"/>
        <v>3.4337780128040388E-8</v>
      </c>
      <c r="DD37" s="157">
        <f t="shared" si="70"/>
        <v>3.0915584447847618E-8</v>
      </c>
      <c r="DE37" s="157">
        <f t="shared" si="71"/>
        <v>4.1862218732794154E-8</v>
      </c>
      <c r="DF37" s="157">
        <f t="shared" si="72"/>
        <v>2.4771158317841831E-9</v>
      </c>
      <c r="DG37" s="157">
        <f t="shared" si="73"/>
        <v>3.4393409971185988E-9</v>
      </c>
      <c r="DH37" s="157">
        <f t="shared" si="74"/>
        <v>1.0877904763844317E-8</v>
      </c>
      <c r="DI37" s="157">
        <f t="shared" si="75"/>
        <v>1.6580127674408232E-8</v>
      </c>
    </row>
    <row r="38" spans="1:113" x14ac:dyDescent="0.25">
      <c r="A38">
        <f t="shared" si="6"/>
        <v>33</v>
      </c>
      <c r="B38" s="11" t="s">
        <v>147</v>
      </c>
      <c r="C38" s="158">
        <v>1.7149723733986335</v>
      </c>
      <c r="D38" s="17">
        <v>2.1607184852398009</v>
      </c>
      <c r="E38" s="155"/>
      <c r="F38" s="162">
        <v>0.36202585338987248</v>
      </c>
      <c r="G38" s="17">
        <v>0.48126363834866137</v>
      </c>
      <c r="H38" s="4"/>
      <c r="I38" s="155">
        <v>6.8501661511570389E-2</v>
      </c>
      <c r="J38" s="17">
        <v>9.4904925521410485E-2</v>
      </c>
      <c r="K38" s="155">
        <v>2.6007658169472148E-2</v>
      </c>
      <c r="L38" s="17">
        <v>3.4563561096387516E-2</v>
      </c>
      <c r="M38" s="155">
        <v>1.3509306547704778E-2</v>
      </c>
      <c r="N38" s="17">
        <v>2.4602806125023885E-2</v>
      </c>
      <c r="O38" s="169">
        <v>6.8408070895277524E-3</v>
      </c>
      <c r="P38" s="17">
        <v>7.8159419288821915E-3</v>
      </c>
      <c r="Q38" s="155">
        <v>2.2143889704865697E-2</v>
      </c>
      <c r="R38" s="17">
        <v>2.7922616371116874E-2</v>
      </c>
      <c r="S38" s="3"/>
      <c r="T38" s="104">
        <f t="shared" si="0"/>
        <v>2.4112436593599278</v>
      </c>
      <c r="U38" s="105">
        <f t="shared" si="0"/>
        <v>3.2054171976469181</v>
      </c>
      <c r="V38" s="166"/>
      <c r="W38" s="3">
        <v>0.15014071762700804</v>
      </c>
      <c r="X38" s="172">
        <f>+'I-O'!BO35/'I-O'!BO$75</f>
        <v>2.0597526441513515E-2</v>
      </c>
      <c r="Y38" s="172">
        <f>+'I-O'!BP35/'I-O'!BP$75</f>
        <v>0</v>
      </c>
      <c r="Z38" s="172">
        <f>+'I-O'!BT35/'I-O'!BT$75</f>
        <v>9.0702966084848062E-3</v>
      </c>
      <c r="AA38" s="172">
        <f>+'I-O'!BU35/'I-O'!BU$75</f>
        <v>0</v>
      </c>
      <c r="AB38" s="172">
        <f>+'I-O'!BW35/'I-O'!BW$75</f>
        <v>0</v>
      </c>
      <c r="AC38" s="134"/>
      <c r="AD38" s="157">
        <f t="shared" si="7"/>
        <v>8.9847808802580947E-2</v>
      </c>
      <c r="AE38" s="157">
        <f t="shared" si="8"/>
        <v>0.11981970656895696</v>
      </c>
      <c r="AF38" s="155"/>
      <c r="AG38" s="157">
        <f t="shared" si="9"/>
        <v>2.4342560884642414E-2</v>
      </c>
      <c r="AH38" s="157">
        <f t="shared" si="10"/>
        <v>3.2360090607812225E-2</v>
      </c>
      <c r="AI38" s="4"/>
      <c r="AJ38" s="157">
        <f t="shared" si="10"/>
        <v>1.4386518535153835E-2</v>
      </c>
      <c r="AK38" s="157">
        <f t="shared" si="27"/>
        <v>1.6161869813783834E-2</v>
      </c>
      <c r="AL38" s="157">
        <f t="shared" si="28"/>
        <v>1.6385935738002426E-3</v>
      </c>
      <c r="AM38" s="157">
        <f t="shared" si="29"/>
        <v>2.2138911277493393E-3</v>
      </c>
      <c r="AN38" s="157">
        <f t="shared" si="30"/>
        <v>1.1799260007195164E-2</v>
      </c>
      <c r="AO38" s="157">
        <f t="shared" si="31"/>
        <v>1.2545185156893877E-2</v>
      </c>
      <c r="AP38" s="157">
        <f t="shared" si="32"/>
        <v>1.2769429216961581E-4</v>
      </c>
      <c r="AQ38" s="157">
        <f t="shared" si="33"/>
        <v>1.9326220389595961E-4</v>
      </c>
      <c r="AR38" s="157">
        <f t="shared" si="34"/>
        <v>8.2097066198881952E-4</v>
      </c>
      <c r="AS38" s="157">
        <f t="shared" si="35"/>
        <v>1.2095313252446481E-3</v>
      </c>
      <c r="AT38" s="134"/>
      <c r="AU38" s="157">
        <f t="shared" si="11"/>
        <v>0.18310870187599337</v>
      </c>
      <c r="AV38" s="157">
        <f t="shared" si="12"/>
        <v>0.24419105175076791</v>
      </c>
      <c r="AW38" s="155"/>
      <c r="AX38" s="157">
        <f t="shared" si="13"/>
        <v>4.9609832263334673E-2</v>
      </c>
      <c r="AY38" s="157">
        <f t="shared" si="14"/>
        <v>6.594945678425726E-2</v>
      </c>
      <c r="AZ38" s="4"/>
      <c r="BA38" s="157">
        <f t="shared" si="36"/>
        <v>2.9319543443459738E-2</v>
      </c>
      <c r="BB38" s="157">
        <f t="shared" si="37"/>
        <v>3.2937686972347731E-2</v>
      </c>
      <c r="BC38" s="157">
        <f t="shared" si="38"/>
        <v>3.3394330501723738E-3</v>
      </c>
      <c r="BD38" s="157">
        <f t="shared" si="39"/>
        <v>4.5118822139301358E-3</v>
      </c>
      <c r="BE38" s="157">
        <f t="shared" si="40"/>
        <v>2.4046743173916633E-2</v>
      </c>
      <c r="BF38" s="157">
        <f t="shared" si="41"/>
        <v>2.5566929227180339E-2</v>
      </c>
      <c r="BG38" s="157">
        <f t="shared" si="42"/>
        <v>2.6023935795171569E-4</v>
      </c>
      <c r="BH38" s="157">
        <f t="shared" si="43"/>
        <v>3.9386593561607444E-4</v>
      </c>
      <c r="BI38" s="157">
        <f t="shared" si="44"/>
        <v>1.6731278614190246E-3</v>
      </c>
      <c r="BJ38" s="157">
        <f t="shared" si="45"/>
        <v>2.4650095956211607E-3</v>
      </c>
      <c r="BL38" s="157">
        <f t="shared" si="15"/>
        <v>1.006171920120434E-2</v>
      </c>
      <c r="BM38" s="157">
        <f t="shared" si="16"/>
        <v>1.3418159645011984E-2</v>
      </c>
      <c r="BN38" s="155"/>
      <c r="BO38" s="157">
        <f t="shared" si="17"/>
        <v>2.7260321150142123E-3</v>
      </c>
      <c r="BP38" s="157">
        <f t="shared" si="18"/>
        <v>3.6238852049999401E-3</v>
      </c>
      <c r="BQ38" s="4"/>
      <c r="BR38" s="157">
        <f t="shared" si="46"/>
        <v>1.611092264939925E-3</v>
      </c>
      <c r="BS38" s="157">
        <f t="shared" si="47"/>
        <v>1.8099071975146747E-3</v>
      </c>
      <c r="BT38" s="157">
        <f t="shared" si="48"/>
        <v>1.8349995001772752E-4</v>
      </c>
      <c r="BU38" s="157">
        <f t="shared" si="49"/>
        <v>2.4792536586392045E-4</v>
      </c>
      <c r="BV38" s="157">
        <f t="shared" si="50"/>
        <v>1.321354883960038E-3</v>
      </c>
      <c r="BW38" s="157">
        <f t="shared" si="51"/>
        <v>1.4048882444438295E-3</v>
      </c>
      <c r="BX38" s="157">
        <f t="shared" si="52"/>
        <v>1.4300004958722076E-5</v>
      </c>
      <c r="BY38" s="157">
        <f t="shared" si="53"/>
        <v>2.1642709529842049E-5</v>
      </c>
      <c r="BZ38" s="157">
        <f t="shared" si="54"/>
        <v>9.1937426003438143E-5</v>
      </c>
      <c r="CA38" s="157">
        <f t="shared" si="55"/>
        <v>1.3545087767708158E-4</v>
      </c>
      <c r="CC38" s="157">
        <f t="shared" si="19"/>
        <v>5.9147488684418325E-5</v>
      </c>
      <c r="CD38" s="157">
        <f t="shared" si="20"/>
        <v>7.8878214537538341E-5</v>
      </c>
      <c r="CE38" s="155"/>
      <c r="CF38" s="157">
        <f t="shared" si="21"/>
        <v>1.6024891020300451E-5</v>
      </c>
      <c r="CG38" s="157">
        <f t="shared" si="22"/>
        <v>2.1302891172982547E-5</v>
      </c>
      <c r="CH38" s="4"/>
      <c r="CI38" s="157">
        <f t="shared" si="56"/>
        <v>9.4707534174360669E-6</v>
      </c>
      <c r="CJ38" s="157">
        <f t="shared" si="57"/>
        <v>1.0639480524564127E-5</v>
      </c>
      <c r="CK38" s="157">
        <f t="shared" si="58"/>
        <v>1.0786984808685325E-6</v>
      </c>
      <c r="CL38" s="157">
        <f t="shared" si="59"/>
        <v>1.4574211900349274E-6</v>
      </c>
      <c r="CM38" s="157">
        <f t="shared" si="60"/>
        <v>7.76754165806699E-6</v>
      </c>
      <c r="CN38" s="157">
        <f t="shared" si="61"/>
        <v>8.2585897975733186E-6</v>
      </c>
      <c r="CO38" s="157">
        <f t="shared" si="62"/>
        <v>8.4062113498645492E-8</v>
      </c>
      <c r="CP38" s="157">
        <f t="shared" si="63"/>
        <v>1.2722596321941303E-7</v>
      </c>
      <c r="CQ38" s="157">
        <f t="shared" si="64"/>
        <v>5.4045116500190322E-7</v>
      </c>
      <c r="CR38" s="157">
        <f t="shared" si="65"/>
        <v>7.9624357373646103E-7</v>
      </c>
      <c r="CT38" s="157">
        <f t="shared" si="23"/>
        <v>8.3250705548643148E-6</v>
      </c>
      <c r="CU38" s="157">
        <f t="shared" si="24"/>
        <v>1.1102190741696216E-5</v>
      </c>
      <c r="CV38" s="155"/>
      <c r="CW38" s="157">
        <f t="shared" si="25"/>
        <v>2.2555200794713983E-6</v>
      </c>
      <c r="CX38" s="157">
        <f t="shared" si="26"/>
        <v>2.9984040908975409E-6</v>
      </c>
      <c r="CY38" s="4"/>
      <c r="CZ38" s="157">
        <f t="shared" si="66"/>
        <v>1.3330183945518595E-6</v>
      </c>
      <c r="DA38" s="157">
        <f t="shared" si="67"/>
        <v>1.4975179505370104E-6</v>
      </c>
      <c r="DB38" s="157">
        <f t="shared" si="68"/>
        <v>1.5182793319543286E-7</v>
      </c>
      <c r="DC38" s="157">
        <f t="shared" si="69"/>
        <v>2.0513354844077103E-7</v>
      </c>
      <c r="DD38" s="157">
        <f t="shared" si="70"/>
        <v>1.0932895678171155E-6</v>
      </c>
      <c r="DE38" s="157">
        <f t="shared" si="71"/>
        <v>1.1624051042186124E-6</v>
      </c>
      <c r="DF38" s="157">
        <f t="shared" si="72"/>
        <v>1.1831829912528397E-8</v>
      </c>
      <c r="DG38" s="157">
        <f t="shared" si="73"/>
        <v>1.7907186657803271E-8</v>
      </c>
      <c r="DH38" s="157">
        <f t="shared" si="74"/>
        <v>7.606906362678324E-8</v>
      </c>
      <c r="DI38" s="157">
        <f t="shared" si="75"/>
        <v>1.1207211121982286E-7</v>
      </c>
    </row>
    <row r="39" spans="1:113" x14ac:dyDescent="0.25">
      <c r="A39">
        <f t="shared" si="6"/>
        <v>34</v>
      </c>
      <c r="B39" s="11" t="s">
        <v>148</v>
      </c>
      <c r="C39" s="158">
        <v>1.3631619981930301</v>
      </c>
      <c r="D39" s="17">
        <v>1.7961389995966519</v>
      </c>
      <c r="E39" s="155"/>
      <c r="F39" s="162">
        <v>0.35165504368367545</v>
      </c>
      <c r="G39" s="17">
        <v>0.46747707154661866</v>
      </c>
      <c r="H39" s="4"/>
      <c r="I39" s="155">
        <v>0.14886987522265591</v>
      </c>
      <c r="J39" s="17">
        <v>0.17451677549740743</v>
      </c>
      <c r="K39" s="155">
        <v>2.7155339111614021E-2</v>
      </c>
      <c r="L39" s="17">
        <v>3.5466144512237049E-2</v>
      </c>
      <c r="M39" s="155">
        <v>5.9417408033172955E-3</v>
      </c>
      <c r="N39" s="17">
        <v>1.6717449338878251E-2</v>
      </c>
      <c r="O39" s="169">
        <v>1.0285567296648148E-3</v>
      </c>
      <c r="P39" s="17">
        <v>1.9757572716144305E-3</v>
      </c>
      <c r="Q39" s="155">
        <v>0.11474423857805972</v>
      </c>
      <c r="R39" s="17">
        <v>0.12035742437467775</v>
      </c>
      <c r="S39" s="3"/>
      <c r="T39" s="104">
        <f t="shared" si="0"/>
        <v>1.4179794002333415</v>
      </c>
      <c r="U39" s="105">
        <f t="shared" si="0"/>
        <v>1.885008815999772</v>
      </c>
      <c r="V39" s="166"/>
      <c r="W39" s="3">
        <v>0.24799728657962691</v>
      </c>
      <c r="X39" s="172">
        <f>+'I-O'!BO36/'I-O'!BO$75</f>
        <v>2.0348448064796881E-2</v>
      </c>
      <c r="Y39" s="172">
        <f>+'I-O'!BP36/'I-O'!BP$75</f>
        <v>0</v>
      </c>
      <c r="Z39" s="172">
        <f>+'I-O'!BT36/'I-O'!BT$75</f>
        <v>0</v>
      </c>
      <c r="AA39" s="172">
        <f>+'I-O'!BU36/'I-O'!BU$75</f>
        <v>0</v>
      </c>
      <c r="AB39" s="172">
        <f>+'I-O'!BW36/'I-O'!BW$75</f>
        <v>0</v>
      </c>
      <c r="AC39" s="134"/>
      <c r="AD39" s="157">
        <f t="shared" si="7"/>
        <v>3.5324188807543545E-2</v>
      </c>
      <c r="AE39" s="157">
        <f t="shared" si="8"/>
        <v>4.4505456132393831E-2</v>
      </c>
      <c r="AF39" s="155"/>
      <c r="AG39" s="157">
        <f t="shared" si="9"/>
        <v>7.4568370877093936E-3</v>
      </c>
      <c r="AH39" s="157">
        <f t="shared" si="10"/>
        <v>9.9128405162255493E-3</v>
      </c>
      <c r="AI39" s="4"/>
      <c r="AJ39" s="157">
        <f t="shared" si="10"/>
        <v>1.4109647842721798E-3</v>
      </c>
      <c r="AK39" s="157">
        <f t="shared" si="27"/>
        <v>1.9548067128571231E-3</v>
      </c>
      <c r="AL39" s="157">
        <f t="shared" si="28"/>
        <v>5.3569342682754754E-4</v>
      </c>
      <c r="AM39" s="157">
        <f t="shared" si="29"/>
        <v>7.1192386359570975E-4</v>
      </c>
      <c r="AN39" s="157">
        <f t="shared" si="30"/>
        <v>2.782582988228608E-4</v>
      </c>
      <c r="AO39" s="157">
        <f t="shared" si="31"/>
        <v>5.0675694969561016E-4</v>
      </c>
      <c r="AP39" s="157">
        <f t="shared" si="32"/>
        <v>1.4090370490784098E-4</v>
      </c>
      <c r="AQ39" s="157">
        <f t="shared" si="33"/>
        <v>1.6098907054548509E-4</v>
      </c>
      <c r="AR39" s="157">
        <f t="shared" si="34"/>
        <v>4.5610935371393011E-4</v>
      </c>
      <c r="AS39" s="157">
        <f t="shared" si="35"/>
        <v>5.7513682902031796E-4</v>
      </c>
      <c r="AT39" s="134"/>
      <c r="AU39" s="157">
        <f t="shared" si="11"/>
        <v>0</v>
      </c>
      <c r="AV39" s="157">
        <f t="shared" si="12"/>
        <v>0</v>
      </c>
      <c r="AW39" s="155"/>
      <c r="AX39" s="157">
        <f t="shared" si="13"/>
        <v>0</v>
      </c>
      <c r="AY39" s="157">
        <f t="shared" si="14"/>
        <v>0</v>
      </c>
      <c r="AZ39" s="4"/>
      <c r="BA39" s="157">
        <f t="shared" si="36"/>
        <v>0</v>
      </c>
      <c r="BB39" s="157">
        <f t="shared" si="37"/>
        <v>0</v>
      </c>
      <c r="BC39" s="157">
        <f t="shared" si="38"/>
        <v>0</v>
      </c>
      <c r="BD39" s="157">
        <f t="shared" si="39"/>
        <v>0</v>
      </c>
      <c r="BE39" s="157">
        <f t="shared" si="40"/>
        <v>0</v>
      </c>
      <c r="BF39" s="157">
        <f t="shared" si="41"/>
        <v>0</v>
      </c>
      <c r="BG39" s="157">
        <f t="shared" si="42"/>
        <v>0</v>
      </c>
      <c r="BH39" s="157">
        <f t="shared" si="43"/>
        <v>0</v>
      </c>
      <c r="BI39" s="157">
        <f t="shared" si="44"/>
        <v>0</v>
      </c>
      <c r="BJ39" s="157">
        <f t="shared" si="45"/>
        <v>0</v>
      </c>
      <c r="BL39" s="157">
        <f t="shared" si="15"/>
        <v>1.5555308102082764E-2</v>
      </c>
      <c r="BM39" s="157">
        <f t="shared" si="16"/>
        <v>1.9598357548560996E-2</v>
      </c>
      <c r="BN39" s="155"/>
      <c r="BO39" s="157">
        <f t="shared" si="17"/>
        <v>3.2836818701859781E-3</v>
      </c>
      <c r="BP39" s="157">
        <f t="shared" si="18"/>
        <v>4.3652039467009214E-3</v>
      </c>
      <c r="BQ39" s="4"/>
      <c r="BR39" s="157">
        <f t="shared" si="46"/>
        <v>6.2133038808397112E-4</v>
      </c>
      <c r="BS39" s="157">
        <f t="shared" si="47"/>
        <v>8.608158240853526E-4</v>
      </c>
      <c r="BT39" s="157">
        <f t="shared" si="48"/>
        <v>2.3589717368919537E-4</v>
      </c>
      <c r="BU39" s="157">
        <f t="shared" si="49"/>
        <v>3.1350175098972109E-4</v>
      </c>
      <c r="BV39" s="157">
        <f t="shared" si="50"/>
        <v>1.2253341736262824E-4</v>
      </c>
      <c r="BW39" s="157">
        <f t="shared" si="51"/>
        <v>2.2315474895501336E-4</v>
      </c>
      <c r="BX39" s="157">
        <f t="shared" si="52"/>
        <v>6.2048149343442384E-5</v>
      </c>
      <c r="BY39" s="157">
        <f t="shared" si="53"/>
        <v>7.089291156965434E-5</v>
      </c>
      <c r="BZ39" s="157">
        <f t="shared" si="54"/>
        <v>2.0085164768870496E-4</v>
      </c>
      <c r="CA39" s="157">
        <f t="shared" si="55"/>
        <v>2.532664125709637E-4</v>
      </c>
      <c r="CC39" s="157">
        <f t="shared" si="19"/>
        <v>0</v>
      </c>
      <c r="CD39" s="157">
        <f t="shared" si="20"/>
        <v>0</v>
      </c>
      <c r="CE39" s="155"/>
      <c r="CF39" s="157">
        <f t="shared" si="21"/>
        <v>0</v>
      </c>
      <c r="CG39" s="157">
        <f t="shared" si="22"/>
        <v>0</v>
      </c>
      <c r="CH39" s="4"/>
      <c r="CI39" s="157">
        <f t="shared" si="56"/>
        <v>0</v>
      </c>
      <c r="CJ39" s="157">
        <f t="shared" si="57"/>
        <v>0</v>
      </c>
      <c r="CK39" s="157">
        <f t="shared" si="58"/>
        <v>0</v>
      </c>
      <c r="CL39" s="157">
        <f t="shared" si="59"/>
        <v>0</v>
      </c>
      <c r="CM39" s="157">
        <f t="shared" si="60"/>
        <v>0</v>
      </c>
      <c r="CN39" s="157">
        <f t="shared" si="61"/>
        <v>0</v>
      </c>
      <c r="CO39" s="157">
        <f t="shared" si="62"/>
        <v>0</v>
      </c>
      <c r="CP39" s="157">
        <f t="shared" si="63"/>
        <v>0</v>
      </c>
      <c r="CQ39" s="157">
        <f t="shared" si="64"/>
        <v>0</v>
      </c>
      <c r="CR39" s="157">
        <f t="shared" si="65"/>
        <v>0</v>
      </c>
      <c r="CT39" s="157">
        <f t="shared" si="23"/>
        <v>0</v>
      </c>
      <c r="CU39" s="157">
        <f t="shared" si="24"/>
        <v>0</v>
      </c>
      <c r="CV39" s="155"/>
      <c r="CW39" s="157">
        <f t="shared" si="25"/>
        <v>0</v>
      </c>
      <c r="CX39" s="157">
        <f t="shared" si="26"/>
        <v>0</v>
      </c>
      <c r="CY39" s="4"/>
      <c r="CZ39" s="157">
        <f t="shared" si="66"/>
        <v>0</v>
      </c>
      <c r="DA39" s="157">
        <f t="shared" si="67"/>
        <v>0</v>
      </c>
      <c r="DB39" s="157">
        <f t="shared" si="68"/>
        <v>0</v>
      </c>
      <c r="DC39" s="157">
        <f t="shared" si="69"/>
        <v>0</v>
      </c>
      <c r="DD39" s="157">
        <f t="shared" si="70"/>
        <v>0</v>
      </c>
      <c r="DE39" s="157">
        <f t="shared" si="71"/>
        <v>0</v>
      </c>
      <c r="DF39" s="157">
        <f t="shared" si="72"/>
        <v>0</v>
      </c>
      <c r="DG39" s="157">
        <f t="shared" si="73"/>
        <v>0</v>
      </c>
      <c r="DH39" s="157">
        <f t="shared" si="74"/>
        <v>0</v>
      </c>
      <c r="DI39" s="157">
        <f t="shared" si="75"/>
        <v>0</v>
      </c>
    </row>
    <row r="40" spans="1:113" x14ac:dyDescent="0.25">
      <c r="A40">
        <f t="shared" si="6"/>
        <v>35</v>
      </c>
      <c r="B40" s="11" t="s">
        <v>149</v>
      </c>
      <c r="C40" s="158">
        <v>1.8639635386881119</v>
      </c>
      <c r="D40" s="17">
        <v>2.4525618893471579</v>
      </c>
      <c r="E40" s="155"/>
      <c r="F40" s="162">
        <v>0.47804751301373577</v>
      </c>
      <c r="G40" s="17">
        <v>0.63549849620478938</v>
      </c>
      <c r="H40" s="4"/>
      <c r="I40" s="155">
        <v>8.89723780255679E-2</v>
      </c>
      <c r="J40" s="17">
        <v>0.12383733194297841</v>
      </c>
      <c r="K40" s="155">
        <v>3.5384706984461729E-2</v>
      </c>
      <c r="L40" s="17">
        <v>4.6682596561961331E-2</v>
      </c>
      <c r="M40" s="155">
        <v>1.8829261776485719E-2</v>
      </c>
      <c r="N40" s="17">
        <v>3.347799427417613E-2</v>
      </c>
      <c r="O40" s="169">
        <v>4.9164824155318821E-3</v>
      </c>
      <c r="P40" s="17">
        <v>6.204127428840976E-3</v>
      </c>
      <c r="Q40" s="155">
        <v>2.9841926849088561E-2</v>
      </c>
      <c r="R40" s="17">
        <v>3.7472613678000026E-2</v>
      </c>
      <c r="S40" s="3"/>
      <c r="T40" s="104">
        <f t="shared" si="0"/>
        <v>2.1087043223875073</v>
      </c>
      <c r="U40" s="105">
        <f t="shared" si="0"/>
        <v>2.8032327108441537</v>
      </c>
      <c r="V40" s="166"/>
      <c r="W40" s="3">
        <v>0.22670201219698882</v>
      </c>
      <c r="X40" s="172">
        <f>+'I-O'!BO37/'I-O'!BO$75</f>
        <v>4.7783733759224224E-3</v>
      </c>
      <c r="Y40" s="172">
        <f>+'I-O'!BP37/'I-O'!BP$75</f>
        <v>0</v>
      </c>
      <c r="Z40" s="172">
        <f>+'I-O'!BT37/'I-O'!BT$75</f>
        <v>0</v>
      </c>
      <c r="AA40" s="172">
        <f>+'I-O'!BU37/'I-O'!BU$75</f>
        <v>0</v>
      </c>
      <c r="AB40" s="172">
        <f>+'I-O'!BW37/'I-O'!BW$75</f>
        <v>0</v>
      </c>
      <c r="AC40" s="134"/>
      <c r="AD40" s="157">
        <f t="shared" si="7"/>
        <v>2.7738231124135614E-2</v>
      </c>
      <c r="AE40" s="157">
        <f t="shared" si="8"/>
        <v>3.6548641150448695E-2</v>
      </c>
      <c r="AF40" s="155"/>
      <c r="AG40" s="157">
        <f t="shared" si="9"/>
        <v>7.1556343931211486E-3</v>
      </c>
      <c r="AH40" s="157">
        <f t="shared" si="10"/>
        <v>9.5124329118497063E-3</v>
      </c>
      <c r="AI40" s="4"/>
      <c r="AJ40" s="157">
        <f t="shared" si="10"/>
        <v>3.0292709243810059E-3</v>
      </c>
      <c r="AK40" s="157">
        <f t="shared" si="27"/>
        <v>3.5511455426448122E-3</v>
      </c>
      <c r="AL40" s="157">
        <f t="shared" si="28"/>
        <v>5.5256900759462538E-4</v>
      </c>
      <c r="AM40" s="157">
        <f t="shared" si="29"/>
        <v>7.2168099966583648E-4</v>
      </c>
      <c r="AN40" s="157">
        <f t="shared" si="30"/>
        <v>1.2090520415078649E-4</v>
      </c>
      <c r="AO40" s="157">
        <f t="shared" si="31"/>
        <v>3.4017414964803702E-4</v>
      </c>
      <c r="AP40" s="157">
        <f t="shared" si="32"/>
        <v>2.092953319528181E-5</v>
      </c>
      <c r="AQ40" s="157">
        <f t="shared" si="33"/>
        <v>4.0203594230091024E-5</v>
      </c>
      <c r="AR40" s="157">
        <f t="shared" si="34"/>
        <v>2.3348671794403112E-3</v>
      </c>
      <c r="AS40" s="157">
        <f t="shared" si="35"/>
        <v>2.4490867991008485E-3</v>
      </c>
      <c r="AT40" s="134"/>
      <c r="AU40" s="157">
        <f t="shared" si="11"/>
        <v>0</v>
      </c>
      <c r="AV40" s="157">
        <f t="shared" si="12"/>
        <v>0</v>
      </c>
      <c r="AW40" s="155"/>
      <c r="AX40" s="157">
        <f t="shared" si="13"/>
        <v>0</v>
      </c>
      <c r="AY40" s="157">
        <f t="shared" si="14"/>
        <v>0</v>
      </c>
      <c r="AZ40" s="4"/>
      <c r="BA40" s="157">
        <f t="shared" si="36"/>
        <v>0</v>
      </c>
      <c r="BB40" s="157">
        <f t="shared" si="37"/>
        <v>0</v>
      </c>
      <c r="BC40" s="157">
        <f t="shared" si="38"/>
        <v>0</v>
      </c>
      <c r="BD40" s="157">
        <f t="shared" si="39"/>
        <v>0</v>
      </c>
      <c r="BE40" s="157">
        <f t="shared" si="40"/>
        <v>0</v>
      </c>
      <c r="BF40" s="157">
        <f t="shared" si="41"/>
        <v>0</v>
      </c>
      <c r="BG40" s="157">
        <f t="shared" si="42"/>
        <v>0</v>
      </c>
      <c r="BH40" s="157">
        <f t="shared" si="43"/>
        <v>0</v>
      </c>
      <c r="BI40" s="157">
        <f t="shared" si="44"/>
        <v>0</v>
      </c>
      <c r="BJ40" s="157">
        <f t="shared" si="45"/>
        <v>0</v>
      </c>
      <c r="BL40" s="157">
        <f t="shared" si="15"/>
        <v>0</v>
      </c>
      <c r="BM40" s="157">
        <f t="shared" si="16"/>
        <v>0</v>
      </c>
      <c r="BN40" s="155"/>
      <c r="BO40" s="157">
        <f t="shared" si="17"/>
        <v>0</v>
      </c>
      <c r="BP40" s="157">
        <f t="shared" si="18"/>
        <v>0</v>
      </c>
      <c r="BQ40" s="4"/>
      <c r="BR40" s="157">
        <f t="shared" si="46"/>
        <v>0</v>
      </c>
      <c r="BS40" s="157">
        <f t="shared" si="47"/>
        <v>0</v>
      </c>
      <c r="BT40" s="157">
        <f t="shared" si="48"/>
        <v>0</v>
      </c>
      <c r="BU40" s="157">
        <f t="shared" si="49"/>
        <v>0</v>
      </c>
      <c r="BV40" s="157">
        <f t="shared" si="50"/>
        <v>0</v>
      </c>
      <c r="BW40" s="157">
        <f t="shared" si="51"/>
        <v>0</v>
      </c>
      <c r="BX40" s="157">
        <f t="shared" si="52"/>
        <v>0</v>
      </c>
      <c r="BY40" s="157">
        <f t="shared" si="53"/>
        <v>0</v>
      </c>
      <c r="BZ40" s="157">
        <f t="shared" si="54"/>
        <v>0</v>
      </c>
      <c r="CA40" s="157">
        <f t="shared" si="55"/>
        <v>0</v>
      </c>
      <c r="CC40" s="157">
        <f t="shared" si="19"/>
        <v>0</v>
      </c>
      <c r="CD40" s="157">
        <f t="shared" si="20"/>
        <v>0</v>
      </c>
      <c r="CE40" s="155"/>
      <c r="CF40" s="157">
        <f t="shared" si="21"/>
        <v>0</v>
      </c>
      <c r="CG40" s="157">
        <f t="shared" si="22"/>
        <v>0</v>
      </c>
      <c r="CH40" s="4"/>
      <c r="CI40" s="157">
        <f t="shared" si="56"/>
        <v>0</v>
      </c>
      <c r="CJ40" s="157">
        <f t="shared" si="57"/>
        <v>0</v>
      </c>
      <c r="CK40" s="157">
        <f t="shared" si="58"/>
        <v>0</v>
      </c>
      <c r="CL40" s="157">
        <f t="shared" si="59"/>
        <v>0</v>
      </c>
      <c r="CM40" s="157">
        <f t="shared" si="60"/>
        <v>0</v>
      </c>
      <c r="CN40" s="157">
        <f t="shared" si="61"/>
        <v>0</v>
      </c>
      <c r="CO40" s="157">
        <f t="shared" si="62"/>
        <v>0</v>
      </c>
      <c r="CP40" s="157">
        <f t="shared" si="63"/>
        <v>0</v>
      </c>
      <c r="CQ40" s="157">
        <f t="shared" si="64"/>
        <v>0</v>
      </c>
      <c r="CR40" s="157">
        <f t="shared" si="65"/>
        <v>0</v>
      </c>
      <c r="CT40" s="157">
        <f t="shared" si="23"/>
        <v>0</v>
      </c>
      <c r="CU40" s="157">
        <f t="shared" si="24"/>
        <v>0</v>
      </c>
      <c r="CV40" s="155"/>
      <c r="CW40" s="157">
        <f t="shared" si="25"/>
        <v>0</v>
      </c>
      <c r="CX40" s="157">
        <f t="shared" si="26"/>
        <v>0</v>
      </c>
      <c r="CY40" s="4"/>
      <c r="CZ40" s="157">
        <f t="shared" si="66"/>
        <v>0</v>
      </c>
      <c r="DA40" s="157">
        <f t="shared" si="67"/>
        <v>0</v>
      </c>
      <c r="DB40" s="157">
        <f t="shared" si="68"/>
        <v>0</v>
      </c>
      <c r="DC40" s="157">
        <f t="shared" si="69"/>
        <v>0</v>
      </c>
      <c r="DD40" s="157">
        <f t="shared" si="70"/>
        <v>0</v>
      </c>
      <c r="DE40" s="157">
        <f t="shared" si="71"/>
        <v>0</v>
      </c>
      <c r="DF40" s="157">
        <f t="shared" si="72"/>
        <v>0</v>
      </c>
      <c r="DG40" s="157">
        <f t="shared" si="73"/>
        <v>0</v>
      </c>
      <c r="DH40" s="157">
        <f t="shared" si="74"/>
        <v>0</v>
      </c>
      <c r="DI40" s="157">
        <f t="shared" si="75"/>
        <v>0</v>
      </c>
    </row>
    <row r="41" spans="1:113" x14ac:dyDescent="0.25">
      <c r="A41">
        <f t="shared" si="6"/>
        <v>36</v>
      </c>
      <c r="B41" s="11" t="s">
        <v>6</v>
      </c>
      <c r="C41" s="158">
        <v>1.3208347204885389</v>
      </c>
      <c r="D41" s="17">
        <v>1.4300096798443129</v>
      </c>
      <c r="E41" s="155"/>
      <c r="F41" s="162">
        <v>8.8669663693359033E-2</v>
      </c>
      <c r="G41" s="17">
        <v>0.11787413677956941</v>
      </c>
      <c r="H41" s="4"/>
      <c r="I41" s="155">
        <v>2.9176151787483902E-2</v>
      </c>
      <c r="J41" s="17">
        <v>3.5643006345625748E-2</v>
      </c>
      <c r="K41" s="155">
        <v>6.183624250473624E-3</v>
      </c>
      <c r="L41" s="17">
        <v>8.2791901555572325E-3</v>
      </c>
      <c r="M41" s="155">
        <v>9.2969883445282904E-3</v>
      </c>
      <c r="N41" s="17">
        <v>1.2014078484618336E-2</v>
      </c>
      <c r="O41" s="169">
        <v>5.1303496680127965E-4</v>
      </c>
      <c r="P41" s="17">
        <v>7.5187116441427211E-4</v>
      </c>
      <c r="Q41" s="155">
        <v>1.3182504225680691E-2</v>
      </c>
      <c r="R41" s="17">
        <v>1.459786654103591E-2</v>
      </c>
      <c r="S41" s="3"/>
      <c r="T41" s="106" t="s">
        <v>58</v>
      </c>
      <c r="U41" s="107" t="s">
        <v>58</v>
      </c>
      <c r="V41" s="166"/>
      <c r="W41" s="3">
        <v>0</v>
      </c>
      <c r="X41" s="172">
        <f>+'I-O'!BO38/'I-O'!BO$75</f>
        <v>0.17124624348566669</v>
      </c>
      <c r="Y41" s="172">
        <f>+'I-O'!BP38/'I-O'!BP$75</f>
        <v>1.6938875236768909E-2</v>
      </c>
      <c r="Z41" s="172">
        <f>+'I-O'!BT38/'I-O'!BT$75</f>
        <v>0</v>
      </c>
      <c r="AA41" s="172">
        <f>+'I-O'!BU38/'I-O'!BU$75</f>
        <v>0</v>
      </c>
      <c r="AB41" s="172">
        <f>+'I-O'!BW38/'I-O'!BW$75</f>
        <v>0</v>
      </c>
      <c r="AC41" s="134"/>
      <c r="AD41" s="157">
        <f t="shared" si="7"/>
        <v>8.9067137469574179E-3</v>
      </c>
      <c r="AE41" s="157">
        <f t="shared" si="8"/>
        <v>1.1719256434858454E-2</v>
      </c>
      <c r="AF41" s="155"/>
      <c r="AG41" s="157">
        <f t="shared" si="9"/>
        <v>2.2842895086107626E-3</v>
      </c>
      <c r="AH41" s="157">
        <f t="shared" si="10"/>
        <v>3.0366490947037021E-3</v>
      </c>
      <c r="AI41" s="4"/>
      <c r="AJ41" s="157">
        <f t="shared" si="10"/>
        <v>4.2514324234987883E-4</v>
      </c>
      <c r="AK41" s="157">
        <f t="shared" si="27"/>
        <v>5.917410099015954E-4</v>
      </c>
      <c r="AL41" s="157">
        <f t="shared" si="28"/>
        <v>1.6908134176936811E-4</v>
      </c>
      <c r="AM41" s="157">
        <f t="shared" si="29"/>
        <v>2.2306687653060364E-4</v>
      </c>
      <c r="AN41" s="157">
        <f t="shared" si="30"/>
        <v>8.9973243161033098E-5</v>
      </c>
      <c r="AO41" s="157">
        <f t="shared" si="31"/>
        <v>1.5997035651900651E-4</v>
      </c>
      <c r="AP41" s="157">
        <f t="shared" si="32"/>
        <v>2.3492788677568306E-5</v>
      </c>
      <c r="AQ41" s="157">
        <f t="shared" si="33"/>
        <v>2.9645637326803753E-5</v>
      </c>
      <c r="AR41" s="157">
        <f t="shared" si="34"/>
        <v>1.4259586874190927E-4</v>
      </c>
      <c r="AS41" s="157">
        <f t="shared" si="35"/>
        <v>1.7905813952518172E-4</v>
      </c>
      <c r="AT41" s="134"/>
      <c r="AU41" s="157">
        <f t="shared" si="11"/>
        <v>0</v>
      </c>
      <c r="AV41" s="157">
        <f t="shared" si="12"/>
        <v>0</v>
      </c>
      <c r="AW41" s="155"/>
      <c r="AX41" s="157">
        <f t="shared" si="13"/>
        <v>0</v>
      </c>
      <c r="AY41" s="157">
        <f t="shared" si="14"/>
        <v>0</v>
      </c>
      <c r="AZ41" s="4"/>
      <c r="BA41" s="157">
        <f t="shared" si="36"/>
        <v>0</v>
      </c>
      <c r="BB41" s="157">
        <f t="shared" si="37"/>
        <v>0</v>
      </c>
      <c r="BC41" s="157">
        <f t="shared" si="38"/>
        <v>0</v>
      </c>
      <c r="BD41" s="157">
        <f t="shared" si="39"/>
        <v>0</v>
      </c>
      <c r="BE41" s="157">
        <f t="shared" si="40"/>
        <v>0</v>
      </c>
      <c r="BF41" s="157">
        <f t="shared" si="41"/>
        <v>0</v>
      </c>
      <c r="BG41" s="157">
        <f t="shared" si="42"/>
        <v>0</v>
      </c>
      <c r="BH41" s="157">
        <f t="shared" si="43"/>
        <v>0</v>
      </c>
      <c r="BI41" s="157">
        <f t="shared" si="44"/>
        <v>0</v>
      </c>
      <c r="BJ41" s="157">
        <f t="shared" si="45"/>
        <v>0</v>
      </c>
      <c r="BL41" s="157">
        <f t="shared" si="15"/>
        <v>0</v>
      </c>
      <c r="BM41" s="157">
        <f t="shared" si="16"/>
        <v>0</v>
      </c>
      <c r="BN41" s="155"/>
      <c r="BO41" s="157">
        <f t="shared" si="17"/>
        <v>0</v>
      </c>
      <c r="BP41" s="157">
        <f t="shared" si="18"/>
        <v>0</v>
      </c>
      <c r="BQ41" s="4"/>
      <c r="BR41" s="157">
        <f t="shared" si="46"/>
        <v>0</v>
      </c>
      <c r="BS41" s="157">
        <f t="shared" si="47"/>
        <v>0</v>
      </c>
      <c r="BT41" s="157">
        <f t="shared" si="48"/>
        <v>0</v>
      </c>
      <c r="BU41" s="157">
        <f t="shared" si="49"/>
        <v>0</v>
      </c>
      <c r="BV41" s="157">
        <f t="shared" si="50"/>
        <v>0</v>
      </c>
      <c r="BW41" s="157">
        <f t="shared" si="51"/>
        <v>0</v>
      </c>
      <c r="BX41" s="157">
        <f t="shared" si="52"/>
        <v>0</v>
      </c>
      <c r="BY41" s="157">
        <f t="shared" si="53"/>
        <v>0</v>
      </c>
      <c r="BZ41" s="157">
        <f t="shared" si="54"/>
        <v>0</v>
      </c>
      <c r="CA41" s="157">
        <f t="shared" si="55"/>
        <v>0</v>
      </c>
      <c r="CC41" s="157">
        <f t="shared" si="19"/>
        <v>0</v>
      </c>
      <c r="CD41" s="157">
        <f t="shared" si="20"/>
        <v>0</v>
      </c>
      <c r="CE41" s="155"/>
      <c r="CF41" s="157">
        <f t="shared" si="21"/>
        <v>0</v>
      </c>
      <c r="CG41" s="157">
        <f t="shared" si="22"/>
        <v>0</v>
      </c>
      <c r="CH41" s="4"/>
      <c r="CI41" s="157">
        <f t="shared" si="56"/>
        <v>0</v>
      </c>
      <c r="CJ41" s="157">
        <f t="shared" si="57"/>
        <v>0</v>
      </c>
      <c r="CK41" s="157">
        <f t="shared" si="58"/>
        <v>0</v>
      </c>
      <c r="CL41" s="157">
        <f t="shared" si="59"/>
        <v>0</v>
      </c>
      <c r="CM41" s="157">
        <f t="shared" si="60"/>
        <v>0</v>
      </c>
      <c r="CN41" s="157">
        <f t="shared" si="61"/>
        <v>0</v>
      </c>
      <c r="CO41" s="157">
        <f t="shared" si="62"/>
        <v>0</v>
      </c>
      <c r="CP41" s="157">
        <f t="shared" si="63"/>
        <v>0</v>
      </c>
      <c r="CQ41" s="157">
        <f t="shared" si="64"/>
        <v>0</v>
      </c>
      <c r="CR41" s="157">
        <f t="shared" si="65"/>
        <v>0</v>
      </c>
      <c r="CT41" s="157">
        <f t="shared" si="23"/>
        <v>0</v>
      </c>
      <c r="CU41" s="157">
        <f t="shared" si="24"/>
        <v>0</v>
      </c>
      <c r="CV41" s="155"/>
      <c r="CW41" s="157">
        <f t="shared" si="25"/>
        <v>0</v>
      </c>
      <c r="CX41" s="157">
        <f t="shared" si="26"/>
        <v>0</v>
      </c>
      <c r="CY41" s="4"/>
      <c r="CZ41" s="157">
        <f t="shared" si="66"/>
        <v>0</v>
      </c>
      <c r="DA41" s="157">
        <f t="shared" si="67"/>
        <v>0</v>
      </c>
      <c r="DB41" s="157">
        <f t="shared" si="68"/>
        <v>0</v>
      </c>
      <c r="DC41" s="157">
        <f t="shared" si="69"/>
        <v>0</v>
      </c>
      <c r="DD41" s="157">
        <f t="shared" si="70"/>
        <v>0</v>
      </c>
      <c r="DE41" s="157">
        <f t="shared" si="71"/>
        <v>0</v>
      </c>
      <c r="DF41" s="157">
        <f t="shared" si="72"/>
        <v>0</v>
      </c>
      <c r="DG41" s="157">
        <f t="shared" si="73"/>
        <v>0</v>
      </c>
      <c r="DH41" s="157">
        <f t="shared" si="74"/>
        <v>0</v>
      </c>
      <c r="DI41" s="157">
        <f t="shared" si="75"/>
        <v>0</v>
      </c>
    </row>
    <row r="42" spans="1:113" x14ac:dyDescent="0.25">
      <c r="A42">
        <f t="shared" si="6"/>
        <v>37</v>
      </c>
      <c r="B42" s="11" t="s">
        <v>7</v>
      </c>
      <c r="C42" s="158">
        <v>1.3348461865480858</v>
      </c>
      <c r="D42" s="17">
        <v>1.7556559790695105</v>
      </c>
      <c r="E42" s="155"/>
      <c r="F42" s="162">
        <v>0.34177308608059898</v>
      </c>
      <c r="G42" s="17">
        <v>0.45434036645903431</v>
      </c>
      <c r="H42" s="4"/>
      <c r="I42" s="155">
        <v>0.11351555924775554</v>
      </c>
      <c r="J42" s="17">
        <v>0.13844174874153678</v>
      </c>
      <c r="K42" s="155">
        <v>2.2392589753255858E-2</v>
      </c>
      <c r="L42" s="17">
        <v>3.0469850866397395E-2</v>
      </c>
      <c r="M42" s="155">
        <v>6.4575647542496395E-2</v>
      </c>
      <c r="N42" s="17">
        <v>7.5048544852101162E-2</v>
      </c>
      <c r="O42" s="169">
        <v>2.7205170461375564E-3</v>
      </c>
      <c r="P42" s="17">
        <v>3.6411000384023832E-3</v>
      </c>
      <c r="Q42" s="155">
        <v>2.3826804905865709E-2</v>
      </c>
      <c r="R42" s="17">
        <v>2.9282252984635878E-2</v>
      </c>
      <c r="S42" s="3"/>
      <c r="T42" s="104">
        <f t="shared" si="0"/>
        <v>1.4070701655679207</v>
      </c>
      <c r="U42" s="105">
        <f t="shared" si="0"/>
        <v>1.870506487181212</v>
      </c>
      <c r="V42" s="166"/>
      <c r="W42" s="3">
        <v>0.24289697446797384</v>
      </c>
      <c r="X42" s="172">
        <f>+'I-O'!BO39/'I-O'!BO$75</f>
        <v>4.3578910189079334E-2</v>
      </c>
      <c r="Y42" s="172">
        <f>+'I-O'!BP39/'I-O'!BP$75</f>
        <v>2.0021530397019205E-2</v>
      </c>
      <c r="Z42" s="172">
        <f>+'I-O'!BT39/'I-O'!BT$75</f>
        <v>1.3964627487898772E-2</v>
      </c>
      <c r="AA42" s="172">
        <f>+'I-O'!BU39/'I-O'!BU$75</f>
        <v>1.8292498500093273E-6</v>
      </c>
      <c r="AB42" s="172">
        <f>+'I-O'!BW39/'I-O'!BW$75</f>
        <v>1.1032889817893341E-4</v>
      </c>
      <c r="AC42" s="134"/>
      <c r="AD42" s="157">
        <f t="shared" si="7"/>
        <v>0.22618798414910285</v>
      </c>
      <c r="AE42" s="157">
        <f t="shared" si="8"/>
        <v>0.24488378582147949</v>
      </c>
      <c r="AF42" s="155"/>
      <c r="AG42" s="157">
        <f t="shared" si="9"/>
        <v>1.5184346818625141E-2</v>
      </c>
      <c r="AH42" s="157">
        <f t="shared" si="10"/>
        <v>2.0185503127616924E-2</v>
      </c>
      <c r="AI42" s="4"/>
      <c r="AJ42" s="157">
        <f t="shared" si="10"/>
        <v>4.9963063929742381E-3</v>
      </c>
      <c r="AK42" s="157">
        <f t="shared" si="27"/>
        <v>6.1037309432241896E-3</v>
      </c>
      <c r="AL42" s="157">
        <f t="shared" si="28"/>
        <v>1.0589224240204794E-3</v>
      </c>
      <c r="AM42" s="157">
        <f t="shared" si="29"/>
        <v>1.4177802132426885E-3</v>
      </c>
      <c r="AN42" s="157">
        <f t="shared" si="30"/>
        <v>1.592074329730497E-3</v>
      </c>
      <c r="AO42" s="157">
        <f t="shared" si="31"/>
        <v>2.0573658094328613E-3</v>
      </c>
      <c r="AP42" s="157">
        <f t="shared" si="32"/>
        <v>8.7855310841512867E-5</v>
      </c>
      <c r="AQ42" s="157">
        <f t="shared" si="33"/>
        <v>1.2875511249113819E-4</v>
      </c>
      <c r="AR42" s="157">
        <f t="shared" si="34"/>
        <v>2.2574543283817457E-3</v>
      </c>
      <c r="AS42" s="157">
        <f t="shared" si="35"/>
        <v>2.4998298080575023E-3</v>
      </c>
      <c r="AT42" s="134"/>
      <c r="AU42" s="157">
        <f t="shared" si="11"/>
        <v>2.2373454538747894E-2</v>
      </c>
      <c r="AV42" s="157">
        <f t="shared" si="12"/>
        <v>2.4222755554254669E-2</v>
      </c>
      <c r="AW42" s="155"/>
      <c r="AX42" s="157">
        <f t="shared" si="13"/>
        <v>1.5019643705880665E-3</v>
      </c>
      <c r="AY42" s="157">
        <f t="shared" si="14"/>
        <v>1.9966552965509595E-3</v>
      </c>
      <c r="AZ42" s="4"/>
      <c r="BA42" s="157">
        <f t="shared" si="36"/>
        <v>4.9421119501722203E-4</v>
      </c>
      <c r="BB42" s="157">
        <f t="shared" si="37"/>
        <v>6.0375243755191705E-4</v>
      </c>
      <c r="BC42" s="157">
        <f t="shared" si="38"/>
        <v>1.0474363968983138E-4</v>
      </c>
      <c r="BD42" s="157">
        <f t="shared" si="39"/>
        <v>1.4024016910646933E-4</v>
      </c>
      <c r="BE42" s="157">
        <f t="shared" si="40"/>
        <v>1.5748052564565942E-4</v>
      </c>
      <c r="BF42" s="157">
        <f t="shared" si="41"/>
        <v>2.0350497653569968E-4</v>
      </c>
      <c r="BG42" s="157">
        <f t="shared" si="42"/>
        <v>8.690235294746755E-6</v>
      </c>
      <c r="BH42" s="157">
        <f t="shared" si="43"/>
        <v>1.2735851848137519E-5</v>
      </c>
      <c r="BI42" s="157">
        <f t="shared" si="44"/>
        <v>2.2329679438698414E-4</v>
      </c>
      <c r="BJ42" s="157">
        <f t="shared" si="45"/>
        <v>2.472714400616106E-4</v>
      </c>
      <c r="BL42" s="157">
        <f t="shared" si="15"/>
        <v>0</v>
      </c>
      <c r="BM42" s="157">
        <f t="shared" si="16"/>
        <v>0</v>
      </c>
      <c r="BN42" s="155"/>
      <c r="BO42" s="157">
        <f t="shared" si="17"/>
        <v>0</v>
      </c>
      <c r="BP42" s="157">
        <f t="shared" si="18"/>
        <v>0</v>
      </c>
      <c r="BQ42" s="4"/>
      <c r="BR42" s="157">
        <f t="shared" si="46"/>
        <v>0</v>
      </c>
      <c r="BS42" s="157">
        <f t="shared" si="47"/>
        <v>0</v>
      </c>
      <c r="BT42" s="157">
        <f t="shared" si="48"/>
        <v>0</v>
      </c>
      <c r="BU42" s="157">
        <f t="shared" si="49"/>
        <v>0</v>
      </c>
      <c r="BV42" s="157">
        <f t="shared" si="50"/>
        <v>0</v>
      </c>
      <c r="BW42" s="157">
        <f t="shared" si="51"/>
        <v>0</v>
      </c>
      <c r="BX42" s="157">
        <f t="shared" si="52"/>
        <v>0</v>
      </c>
      <c r="BY42" s="157">
        <f t="shared" si="53"/>
        <v>0</v>
      </c>
      <c r="BZ42" s="157">
        <f t="shared" si="54"/>
        <v>0</v>
      </c>
      <c r="CA42" s="157">
        <f t="shared" si="55"/>
        <v>0</v>
      </c>
      <c r="CC42" s="157">
        <f t="shared" si="19"/>
        <v>0</v>
      </c>
      <c r="CD42" s="157">
        <f t="shared" si="20"/>
        <v>0</v>
      </c>
      <c r="CE42" s="155"/>
      <c r="CF42" s="157">
        <f t="shared" si="21"/>
        <v>0</v>
      </c>
      <c r="CG42" s="157">
        <f t="shared" si="22"/>
        <v>0</v>
      </c>
      <c r="CH42" s="4"/>
      <c r="CI42" s="157">
        <f t="shared" si="56"/>
        <v>0</v>
      </c>
      <c r="CJ42" s="157">
        <f t="shared" si="57"/>
        <v>0</v>
      </c>
      <c r="CK42" s="157">
        <f t="shared" si="58"/>
        <v>0</v>
      </c>
      <c r="CL42" s="157">
        <f t="shared" si="59"/>
        <v>0</v>
      </c>
      <c r="CM42" s="157">
        <f t="shared" si="60"/>
        <v>0</v>
      </c>
      <c r="CN42" s="157">
        <f t="shared" si="61"/>
        <v>0</v>
      </c>
      <c r="CO42" s="157">
        <f t="shared" si="62"/>
        <v>0</v>
      </c>
      <c r="CP42" s="157">
        <f t="shared" si="63"/>
        <v>0</v>
      </c>
      <c r="CQ42" s="157">
        <f t="shared" si="64"/>
        <v>0</v>
      </c>
      <c r="CR42" s="157">
        <f t="shared" si="65"/>
        <v>0</v>
      </c>
      <c r="CT42" s="157">
        <f t="shared" si="23"/>
        <v>0</v>
      </c>
      <c r="CU42" s="157">
        <f t="shared" si="24"/>
        <v>0</v>
      </c>
      <c r="CV42" s="155"/>
      <c r="CW42" s="157">
        <f t="shared" si="25"/>
        <v>0</v>
      </c>
      <c r="CX42" s="157">
        <f t="shared" si="26"/>
        <v>0</v>
      </c>
      <c r="CY42" s="4"/>
      <c r="CZ42" s="157">
        <f t="shared" si="66"/>
        <v>0</v>
      </c>
      <c r="DA42" s="157">
        <f t="shared" si="67"/>
        <v>0</v>
      </c>
      <c r="DB42" s="157">
        <f t="shared" si="68"/>
        <v>0</v>
      </c>
      <c r="DC42" s="157">
        <f t="shared" si="69"/>
        <v>0</v>
      </c>
      <c r="DD42" s="157">
        <f t="shared" si="70"/>
        <v>0</v>
      </c>
      <c r="DE42" s="157">
        <f t="shared" si="71"/>
        <v>0</v>
      </c>
      <c r="DF42" s="157">
        <f t="shared" si="72"/>
        <v>0</v>
      </c>
      <c r="DG42" s="157">
        <f t="shared" si="73"/>
        <v>0</v>
      </c>
      <c r="DH42" s="157">
        <f t="shared" si="74"/>
        <v>0</v>
      </c>
      <c r="DI42" s="157">
        <f t="shared" si="75"/>
        <v>0</v>
      </c>
    </row>
    <row r="43" spans="1:113" x14ac:dyDescent="0.25">
      <c r="A43">
        <f t="shared" si="6"/>
        <v>38</v>
      </c>
      <c r="B43" s="11" t="s">
        <v>150</v>
      </c>
      <c r="C43" s="158">
        <v>1.2754108557569854</v>
      </c>
      <c r="D43" s="17">
        <v>1.6934186253599486</v>
      </c>
      <c r="E43" s="155"/>
      <c r="F43" s="162">
        <v>0.33949734051305147</v>
      </c>
      <c r="G43" s="17">
        <v>0.45131507536024013</v>
      </c>
      <c r="H43" s="4"/>
      <c r="I43" s="155">
        <v>9.6087139824732964E-2</v>
      </c>
      <c r="J43" s="17">
        <v>0.1208473546775418</v>
      </c>
      <c r="K43" s="155">
        <v>2.2264880824571991E-2</v>
      </c>
      <c r="L43" s="17">
        <v>3.0288358325355536E-2</v>
      </c>
      <c r="M43" s="155">
        <v>6.1744094648892384E-2</v>
      </c>
      <c r="N43" s="17">
        <v>7.2147256655741121E-2</v>
      </c>
      <c r="O43" s="169">
        <v>2.3667456945213137E-3</v>
      </c>
      <c r="P43" s="17">
        <v>3.2811988516717613E-3</v>
      </c>
      <c r="Q43" s="155">
        <v>9.7114186567473105E-3</v>
      </c>
      <c r="R43" s="17">
        <v>1.5130540844773372E-2</v>
      </c>
      <c r="S43" s="3"/>
      <c r="T43" s="104">
        <f t="shared" si="0"/>
        <v>1.3977009851879172</v>
      </c>
      <c r="U43" s="105">
        <f t="shared" si="0"/>
        <v>1.8580514489683209</v>
      </c>
      <c r="V43" s="166"/>
      <c r="W43" s="3">
        <v>0.2428969744679739</v>
      </c>
      <c r="X43" s="172">
        <f>+'I-O'!BO40/'I-O'!BO$75</f>
        <v>7.0652303676457502E-3</v>
      </c>
      <c r="Y43" s="172">
        <f>+'I-O'!BP40/'I-O'!BP$75</f>
        <v>4.9463338519050999E-2</v>
      </c>
      <c r="Z43" s="172">
        <f>+'I-O'!BT40/'I-O'!BT$75</f>
        <v>5.5765190497449688E-3</v>
      </c>
      <c r="AA43" s="172">
        <f>+'I-O'!BU40/'I-O'!BU$75</f>
        <v>2.1251124972556409E-5</v>
      </c>
      <c r="AB43" s="172">
        <f>+'I-O'!BW40/'I-O'!BW$75</f>
        <v>5.0437964142815578E-5</v>
      </c>
      <c r="AC43" s="134"/>
      <c r="AD43" s="157">
        <f t="shared" si="7"/>
        <v>5.8171142079814074E-2</v>
      </c>
      <c r="AE43" s="157">
        <f t="shared" si="8"/>
        <v>7.6509574234790351E-2</v>
      </c>
      <c r="AF43" s="155"/>
      <c r="AG43" s="157">
        <f t="shared" si="9"/>
        <v>1.4894098623350904E-2</v>
      </c>
      <c r="AH43" s="157">
        <f t="shared" si="10"/>
        <v>1.9799658025191649E-2</v>
      </c>
      <c r="AI43" s="4"/>
      <c r="AJ43" s="157">
        <f t="shared" si="10"/>
        <v>4.946884361521053E-3</v>
      </c>
      <c r="AK43" s="157">
        <f t="shared" si="27"/>
        <v>6.0331405348265183E-3</v>
      </c>
      <c r="AL43" s="157">
        <f t="shared" si="28"/>
        <v>9.7584465775803523E-4</v>
      </c>
      <c r="AM43" s="157">
        <f t="shared" si="29"/>
        <v>1.3278428943813731E-3</v>
      </c>
      <c r="AN43" s="157">
        <f t="shared" si="30"/>
        <v>2.8141363446560919E-3</v>
      </c>
      <c r="AO43" s="157">
        <f t="shared" si="31"/>
        <v>3.2705337959308086E-3</v>
      </c>
      <c r="AP43" s="157">
        <f t="shared" si="32"/>
        <v>1.1855716802148797E-4</v>
      </c>
      <c r="AQ43" s="157">
        <f t="shared" si="33"/>
        <v>1.5867517156299078E-4</v>
      </c>
      <c r="AR43" s="157">
        <f t="shared" si="34"/>
        <v>1.0383461910854366E-3</v>
      </c>
      <c r="AS43" s="157">
        <f t="shared" si="35"/>
        <v>1.2760886729513473E-3</v>
      </c>
      <c r="AT43" s="134"/>
      <c r="AU43" s="157">
        <f t="shared" si="11"/>
        <v>2.6725663499317667E-2</v>
      </c>
      <c r="AV43" s="157">
        <f t="shared" si="12"/>
        <v>3.5150919551648716E-2</v>
      </c>
      <c r="AW43" s="155"/>
      <c r="AX43" s="157">
        <f t="shared" si="13"/>
        <v>6.8428202318457738E-3</v>
      </c>
      <c r="AY43" s="157">
        <f t="shared" si="14"/>
        <v>9.0965894576524008E-3</v>
      </c>
      <c r="AZ43" s="4"/>
      <c r="BA43" s="157">
        <f t="shared" si="36"/>
        <v>2.272755220013572E-3</v>
      </c>
      <c r="BB43" s="157">
        <f t="shared" si="37"/>
        <v>2.7718156806451739E-3</v>
      </c>
      <c r="BC43" s="157">
        <f t="shared" si="38"/>
        <v>4.4833391641279296E-4</v>
      </c>
      <c r="BD43" s="157">
        <f t="shared" si="39"/>
        <v>6.1005304531421738E-4</v>
      </c>
      <c r="BE43" s="157">
        <f t="shared" si="40"/>
        <v>1.2929032901792901E-3</v>
      </c>
      <c r="BF43" s="157">
        <f t="shared" si="41"/>
        <v>1.5025867220084025E-3</v>
      </c>
      <c r="BG43" s="157">
        <f t="shared" si="42"/>
        <v>5.4468914734851986E-5</v>
      </c>
      <c r="BH43" s="157">
        <f t="shared" si="43"/>
        <v>7.2900395097461106E-5</v>
      </c>
      <c r="BI43" s="157">
        <f t="shared" si="44"/>
        <v>4.7704909868663661E-4</v>
      </c>
      <c r="BJ43" s="157">
        <f t="shared" si="45"/>
        <v>5.8627551822509351E-4</v>
      </c>
      <c r="BL43" s="157">
        <f t="shared" si="15"/>
        <v>1.8640629748786251E-2</v>
      </c>
      <c r="BM43" s="157">
        <f t="shared" si="16"/>
        <v>2.4517081744607917E-2</v>
      </c>
      <c r="BN43" s="155"/>
      <c r="BO43" s="157">
        <f t="shared" si="17"/>
        <v>4.772733832505126E-3</v>
      </c>
      <c r="BP43" s="157">
        <f t="shared" si="18"/>
        <v>6.3446939703158314E-3</v>
      </c>
      <c r="BQ43" s="4"/>
      <c r="BR43" s="157">
        <f t="shared" si="46"/>
        <v>1.5852024989754087E-3</v>
      </c>
      <c r="BS43" s="157">
        <f t="shared" si="47"/>
        <v>1.9332874499488398E-3</v>
      </c>
      <c r="BT43" s="157">
        <f t="shared" si="48"/>
        <v>3.1270417439355712E-4</v>
      </c>
      <c r="BU43" s="157">
        <f t="shared" si="49"/>
        <v>4.2550011696106929E-4</v>
      </c>
      <c r="BV43" s="157">
        <f t="shared" si="50"/>
        <v>9.0177486272080792E-4</v>
      </c>
      <c r="BW43" s="157">
        <f t="shared" si="51"/>
        <v>1.0480249723684558E-3</v>
      </c>
      <c r="BX43" s="157">
        <f t="shared" si="52"/>
        <v>3.7991007123789693E-5</v>
      </c>
      <c r="BY43" s="157">
        <f t="shared" si="53"/>
        <v>5.0846605682463196E-5</v>
      </c>
      <c r="BZ43" s="157">
        <f t="shared" si="54"/>
        <v>3.3273245473725357E-4</v>
      </c>
      <c r="CA43" s="157">
        <f t="shared" si="55"/>
        <v>4.0891575493685206E-4</v>
      </c>
      <c r="CC43" s="157">
        <f t="shared" si="19"/>
        <v>2.4417671865286085E-6</v>
      </c>
      <c r="CD43" s="157">
        <f t="shared" si="20"/>
        <v>3.2115334363808809E-6</v>
      </c>
      <c r="CE43" s="155"/>
      <c r="CF43" s="157">
        <f t="shared" si="21"/>
        <v>6.2518836645016053E-7</v>
      </c>
      <c r="CG43" s="157">
        <f t="shared" si="22"/>
        <v>8.3110204719837129E-7</v>
      </c>
      <c r="CH43" s="4"/>
      <c r="CI43" s="157">
        <f t="shared" si="56"/>
        <v>2.0764831972768172E-7</v>
      </c>
      <c r="CJ43" s="157">
        <f t="shared" si="57"/>
        <v>2.5324454812048513E-7</v>
      </c>
      <c r="CK43" s="157">
        <f t="shared" si="58"/>
        <v>4.0961641447463678E-8</v>
      </c>
      <c r="CL43" s="157">
        <f t="shared" si="59"/>
        <v>5.5736970127164006E-8</v>
      </c>
      <c r="CM43" s="157">
        <f t="shared" si="60"/>
        <v>1.1812499358136671E-7</v>
      </c>
      <c r="CN43" s="157">
        <f t="shared" si="61"/>
        <v>1.3728253941412433E-7</v>
      </c>
      <c r="CO43" s="157">
        <f t="shared" si="62"/>
        <v>4.9765053985949436E-9</v>
      </c>
      <c r="CP43" s="157">
        <f t="shared" si="63"/>
        <v>6.6604816991165151E-9</v>
      </c>
      <c r="CQ43" s="157">
        <f t="shared" si="64"/>
        <v>4.3585179300256349E-8</v>
      </c>
      <c r="CR43" s="157">
        <f t="shared" si="65"/>
        <v>5.3564556880080356E-8</v>
      </c>
      <c r="CT43" s="157">
        <f t="shared" si="23"/>
        <v>1.4727210900020133E-4</v>
      </c>
      <c r="CU43" s="157">
        <f t="shared" si="24"/>
        <v>1.9369958975199567E-4</v>
      </c>
      <c r="CV43" s="155"/>
      <c r="CW43" s="157">
        <f t="shared" si="25"/>
        <v>3.7707448014486251E-5</v>
      </c>
      <c r="CX43" s="157">
        <f t="shared" si="26"/>
        <v>5.0126872029638089E-5</v>
      </c>
      <c r="CY43" s="4"/>
      <c r="CZ43" s="157">
        <f t="shared" si="66"/>
        <v>1.2524046577970304E-5</v>
      </c>
      <c r="DA43" s="157">
        <f t="shared" si="67"/>
        <v>1.5274125600618495E-5</v>
      </c>
      <c r="DB43" s="157">
        <f t="shared" si="68"/>
        <v>2.4705497548495933E-6</v>
      </c>
      <c r="DC43" s="157">
        <f t="shared" si="69"/>
        <v>3.3617050737660443E-6</v>
      </c>
      <c r="DD43" s="157">
        <f t="shared" si="70"/>
        <v>7.1245600425547761E-6</v>
      </c>
      <c r="DE43" s="157">
        <f t="shared" si="71"/>
        <v>8.2800232634645871E-6</v>
      </c>
      <c r="DF43" s="157">
        <f t="shared" si="72"/>
        <v>3.0015164817736319E-7</v>
      </c>
      <c r="DG43" s="157">
        <f t="shared" si="73"/>
        <v>4.017185553962071E-7</v>
      </c>
      <c r="DH43" s="157">
        <f t="shared" si="74"/>
        <v>2.6287851323885692E-6</v>
      </c>
      <c r="DI43" s="157">
        <f t="shared" si="75"/>
        <v>3.2306787079916611E-6</v>
      </c>
    </row>
    <row r="44" spans="1:113" x14ac:dyDescent="0.25">
      <c r="A44">
        <f t="shared" si="6"/>
        <v>39</v>
      </c>
      <c r="B44" s="11" t="s">
        <v>8</v>
      </c>
      <c r="C44" s="158">
        <v>1.6827391140727688</v>
      </c>
      <c r="D44" s="17">
        <v>2.4278697824081661</v>
      </c>
      <c r="E44" s="155"/>
      <c r="F44" s="162">
        <v>0.60517985221867732</v>
      </c>
      <c r="G44" s="17">
        <v>0.80450347622110874</v>
      </c>
      <c r="H44" s="4"/>
      <c r="I44" s="155">
        <v>0.11150754648277034</v>
      </c>
      <c r="J44" s="17">
        <v>0.1556445142212538</v>
      </c>
      <c r="K44" s="155">
        <v>4.2852650252371359E-2</v>
      </c>
      <c r="L44" s="17">
        <v>5.7155109649744462E-2</v>
      </c>
      <c r="M44" s="155">
        <v>4.0395873026511417E-2</v>
      </c>
      <c r="N44" s="17">
        <v>5.8940301199048493E-2</v>
      </c>
      <c r="O44" s="169">
        <v>1.2252479988798262E-2</v>
      </c>
      <c r="P44" s="17">
        <v>1.3882562350176691E-2</v>
      </c>
      <c r="Q44" s="155">
        <v>1.6006543215089257E-2</v>
      </c>
      <c r="R44" s="17">
        <v>2.5666541022284127E-2</v>
      </c>
      <c r="S44" s="3"/>
      <c r="T44" s="104">
        <f t="shared" si="0"/>
        <v>1.5057398216310252</v>
      </c>
      <c r="U44" s="105">
        <f t="shared" si="0"/>
        <v>2.0016742400554857</v>
      </c>
      <c r="V44" s="166"/>
      <c r="W44" s="3">
        <v>0.40191528677453942</v>
      </c>
      <c r="X44" s="172">
        <f>+'I-O'!BO41/'I-O'!BO$75</f>
        <v>1.2314234715494638E-2</v>
      </c>
      <c r="Y44" s="172">
        <f>+'I-O'!BP41/'I-O'!BP$75</f>
        <v>0</v>
      </c>
      <c r="Z44" s="172">
        <f>+'I-O'!BT41/'I-O'!BT$75</f>
        <v>0</v>
      </c>
      <c r="AA44" s="172">
        <f>+'I-O'!BU41/'I-O'!BU$75</f>
        <v>3.7465672543232453E-7</v>
      </c>
      <c r="AB44" s="172">
        <f>+'I-O'!BW41/'I-O'!BW$75</f>
        <v>8.0664399048764558E-6</v>
      </c>
      <c r="AC44" s="134"/>
      <c r="AD44" s="157">
        <f t="shared" si="7"/>
        <v>9.0110715093193079E-3</v>
      </c>
      <c r="AE44" s="157">
        <f t="shared" si="8"/>
        <v>1.196439269703003E-2</v>
      </c>
      <c r="AF44" s="155"/>
      <c r="AG44" s="157">
        <f t="shared" si="9"/>
        <v>2.3986269199277811E-3</v>
      </c>
      <c r="AH44" s="157">
        <f t="shared" si="10"/>
        <v>3.1886449758114989E-3</v>
      </c>
      <c r="AI44" s="4"/>
      <c r="AJ44" s="157">
        <f t="shared" si="10"/>
        <v>6.7887777822992672E-4</v>
      </c>
      <c r="AK44" s="157">
        <f t="shared" si="27"/>
        <v>8.5381440011742503E-4</v>
      </c>
      <c r="AL44" s="157">
        <f t="shared" si="28"/>
        <v>1.5730651213377957E-4</v>
      </c>
      <c r="AM44" s="157">
        <f t="shared" si="29"/>
        <v>2.1399422902643791E-4</v>
      </c>
      <c r="AN44" s="157">
        <f t="shared" si="30"/>
        <v>4.3623625253614792E-4</v>
      </c>
      <c r="AO44" s="157">
        <f t="shared" si="31"/>
        <v>5.097369886664741E-4</v>
      </c>
      <c r="AP44" s="157">
        <f t="shared" si="32"/>
        <v>1.6721603553426819E-5</v>
      </c>
      <c r="AQ44" s="157">
        <f t="shared" si="33"/>
        <v>2.3182425769115693E-5</v>
      </c>
      <c r="AR44" s="157">
        <f t="shared" si="34"/>
        <v>6.86134100065726E-5</v>
      </c>
      <c r="AS44" s="157">
        <f t="shared" si="35"/>
        <v>1.0690075665539722E-4</v>
      </c>
      <c r="AT44" s="134"/>
      <c r="AU44" s="157">
        <f t="shared" si="11"/>
        <v>6.308607890918029E-2</v>
      </c>
      <c r="AV44" s="157">
        <f t="shared" si="12"/>
        <v>8.3762138720645141E-2</v>
      </c>
      <c r="AW44" s="155"/>
      <c r="AX44" s="157">
        <f t="shared" si="13"/>
        <v>1.6792671880114591E-2</v>
      </c>
      <c r="AY44" s="157">
        <f t="shared" si="14"/>
        <v>2.2323550351294571E-2</v>
      </c>
      <c r="AZ44" s="4"/>
      <c r="BA44" s="157">
        <f t="shared" si="36"/>
        <v>4.7527907244781535E-3</v>
      </c>
      <c r="BB44" s="157">
        <f t="shared" si="37"/>
        <v>5.9775136135470711E-3</v>
      </c>
      <c r="BC44" s="157">
        <f t="shared" si="38"/>
        <v>1.1012953373121318E-3</v>
      </c>
      <c r="BD44" s="157">
        <f t="shared" si="39"/>
        <v>1.4981633210333775E-3</v>
      </c>
      <c r="BE44" s="157">
        <f t="shared" si="40"/>
        <v>3.0540690551704892E-3</v>
      </c>
      <c r="BF44" s="157">
        <f t="shared" si="41"/>
        <v>3.5686441791837782E-3</v>
      </c>
      <c r="BG44" s="157">
        <f t="shared" si="42"/>
        <v>1.170671434766142E-4</v>
      </c>
      <c r="BH44" s="157">
        <f t="shared" si="43"/>
        <v>1.6229904954856173E-4</v>
      </c>
      <c r="BI44" s="157">
        <f t="shared" si="44"/>
        <v>4.8035918851891974E-4</v>
      </c>
      <c r="BJ44" s="157">
        <f t="shared" si="45"/>
        <v>7.4840706378135322E-4</v>
      </c>
      <c r="BL44" s="157">
        <f t="shared" si="15"/>
        <v>7.1123529333803623E-3</v>
      </c>
      <c r="BM44" s="157">
        <f t="shared" si="16"/>
        <v>9.4433812235126917E-3</v>
      </c>
      <c r="BN44" s="155"/>
      <c r="BO44" s="157">
        <f t="shared" si="17"/>
        <v>1.8932133867087858E-3</v>
      </c>
      <c r="BP44" s="157">
        <f t="shared" si="18"/>
        <v>2.5167671151834652E-3</v>
      </c>
      <c r="BQ44" s="4"/>
      <c r="BR44" s="157">
        <f t="shared" si="46"/>
        <v>5.3583176566813183E-4</v>
      </c>
      <c r="BS44" s="157">
        <f t="shared" si="47"/>
        <v>6.7390757547059865E-4</v>
      </c>
      <c r="BT44" s="157">
        <f t="shared" si="48"/>
        <v>1.2416053205852718E-4</v>
      </c>
      <c r="BU44" s="157">
        <f t="shared" si="49"/>
        <v>1.6890360718684676E-4</v>
      </c>
      <c r="BV44" s="157">
        <f t="shared" si="50"/>
        <v>3.4431712001880475E-4</v>
      </c>
      <c r="BW44" s="157">
        <f t="shared" si="51"/>
        <v>4.0233055112757983E-4</v>
      </c>
      <c r="BX44" s="157">
        <f t="shared" si="52"/>
        <v>1.3198202451399992E-5</v>
      </c>
      <c r="BY44" s="157">
        <f t="shared" si="53"/>
        <v>1.8297667902348894E-5</v>
      </c>
      <c r="BZ44" s="157">
        <f t="shared" si="54"/>
        <v>5.4155911139400072E-5</v>
      </c>
      <c r="CA44" s="157">
        <f t="shared" si="55"/>
        <v>8.4375749253823038E-5</v>
      </c>
      <c r="CC44" s="157">
        <f t="shared" si="19"/>
        <v>2.7103915487046812E-5</v>
      </c>
      <c r="CD44" s="157">
        <f t="shared" si="20"/>
        <v>3.598705083837895E-5</v>
      </c>
      <c r="CE44" s="155"/>
      <c r="CF44" s="157">
        <f t="shared" si="21"/>
        <v>7.2147004110933952E-6</v>
      </c>
      <c r="CG44" s="157">
        <f t="shared" si="22"/>
        <v>9.5909530684791764E-6</v>
      </c>
      <c r="CH44" s="4"/>
      <c r="CI44" s="157">
        <f t="shared" si="56"/>
        <v>2.0419598166709022E-6</v>
      </c>
      <c r="CJ44" s="157">
        <f t="shared" si="57"/>
        <v>2.5681422368552902E-6</v>
      </c>
      <c r="CK44" s="157">
        <f t="shared" si="58"/>
        <v>4.7315376490205416E-7</v>
      </c>
      <c r="CL44" s="157">
        <f t="shared" si="59"/>
        <v>6.4366168798569988E-7</v>
      </c>
      <c r="CM44" s="157">
        <f t="shared" si="60"/>
        <v>1.3121314717009634E-6</v>
      </c>
      <c r="CN44" s="157">
        <f t="shared" si="61"/>
        <v>1.5332103676182568E-6</v>
      </c>
      <c r="CO44" s="157">
        <f t="shared" si="62"/>
        <v>5.0296008532532253E-8</v>
      </c>
      <c r="CP44" s="157">
        <f t="shared" si="63"/>
        <v>6.9729166856685174E-8</v>
      </c>
      <c r="CQ44" s="157">
        <f t="shared" si="64"/>
        <v>2.0637857153535299E-7</v>
      </c>
      <c r="CR44" s="157">
        <f t="shared" si="65"/>
        <v>3.2154101439464814E-7</v>
      </c>
      <c r="CT44" s="157">
        <f t="shared" si="23"/>
        <v>6.4329127010028566E-5</v>
      </c>
      <c r="CU44" s="157">
        <f t="shared" si="24"/>
        <v>8.5412587904681129E-5</v>
      </c>
      <c r="CV44" s="155"/>
      <c r="CW44" s="157">
        <f t="shared" si="25"/>
        <v>1.712355468737854E-5</v>
      </c>
      <c r="CX44" s="157">
        <f t="shared" si="26"/>
        <v>2.2763413588131901E-5</v>
      </c>
      <c r="CY44" s="4"/>
      <c r="CZ44" s="157">
        <f t="shared" si="66"/>
        <v>4.8464397130655877E-6</v>
      </c>
      <c r="DA44" s="157">
        <f t="shared" si="67"/>
        <v>6.09529454197997E-6</v>
      </c>
      <c r="DB44" s="157">
        <f t="shared" si="68"/>
        <v>1.1229952606738243E-6</v>
      </c>
      <c r="DC44" s="157">
        <f t="shared" si="69"/>
        <v>1.5276831311590322E-6</v>
      </c>
      <c r="DD44" s="157">
        <f t="shared" si="70"/>
        <v>3.1142464319314454E-6</v>
      </c>
      <c r="DE44" s="157">
        <f t="shared" si="71"/>
        <v>3.638960744204783E-6</v>
      </c>
      <c r="DF44" s="157">
        <f t="shared" si="72"/>
        <v>1.1937383447542916E-7</v>
      </c>
      <c r="DG44" s="157">
        <f t="shared" si="73"/>
        <v>1.6549699002606795E-7</v>
      </c>
      <c r="DH44" s="157">
        <f t="shared" si="74"/>
        <v>4.8982418598489107E-7</v>
      </c>
      <c r="DI44" s="157">
        <f t="shared" si="75"/>
        <v>7.6315367659008587E-7</v>
      </c>
    </row>
    <row r="45" spans="1:113" x14ac:dyDescent="0.25">
      <c r="A45">
        <f t="shared" si="6"/>
        <v>40</v>
      </c>
      <c r="B45" s="11" t="s">
        <v>9</v>
      </c>
      <c r="C45" s="158">
        <v>1.5996094454312333</v>
      </c>
      <c r="D45" s="17">
        <v>2.3196113205470366</v>
      </c>
      <c r="E45" s="155"/>
      <c r="F45" s="162">
        <v>0.58477076155402752</v>
      </c>
      <c r="G45" s="17">
        <v>0.77737239390561619</v>
      </c>
      <c r="H45" s="4"/>
      <c r="I45" s="155">
        <v>9.9691003165409242E-2</v>
      </c>
      <c r="J45" s="17">
        <v>0.14233949541526739</v>
      </c>
      <c r="K45" s="155">
        <v>4.1663198057752517E-2</v>
      </c>
      <c r="L45" s="17">
        <v>5.5483321188479734E-2</v>
      </c>
      <c r="M45" s="155">
        <v>4.0000425682429015E-2</v>
      </c>
      <c r="N45" s="17">
        <v>5.7919461395997317E-2</v>
      </c>
      <c r="O45" s="169">
        <v>1.990035072626311E-3</v>
      </c>
      <c r="P45" s="17">
        <v>3.5651445220972254E-3</v>
      </c>
      <c r="Q45" s="155">
        <v>1.603734435260145E-2</v>
      </c>
      <c r="R45" s="17">
        <v>2.5371568308693093E-2</v>
      </c>
      <c r="S45" s="3"/>
      <c r="T45" s="104">
        <f t="shared" si="0"/>
        <v>1.4549602386287526</v>
      </c>
      <c r="U45" s="105">
        <f t="shared" si="0"/>
        <v>1.9341697603597123</v>
      </c>
      <c r="V45" s="166"/>
      <c r="W45" s="3">
        <v>0.40191528677453953</v>
      </c>
      <c r="X45" s="172">
        <f>+'I-O'!BO42/'I-O'!BO$75</f>
        <v>0</v>
      </c>
      <c r="Y45" s="172">
        <f>+'I-O'!BP42/'I-O'!BP$75</f>
        <v>0</v>
      </c>
      <c r="Z45" s="172">
        <f>+'I-O'!BT42/'I-O'!BT$75</f>
        <v>0</v>
      </c>
      <c r="AA45" s="172">
        <f>+'I-O'!BU42/'I-O'!BU$75</f>
        <v>2.4676228440777335E-4</v>
      </c>
      <c r="AB45" s="172">
        <f>+'I-O'!BW42/'I-O'!BW$75</f>
        <v>3.1830163752749065E-3</v>
      </c>
      <c r="AC45" s="134"/>
      <c r="AD45" s="157">
        <f t="shared" si="7"/>
        <v>2.0721644415635579E-2</v>
      </c>
      <c r="AE45" s="157">
        <f t="shared" si="8"/>
        <v>2.989735835923105E-2</v>
      </c>
      <c r="AF45" s="155"/>
      <c r="AG45" s="157">
        <f t="shared" si="9"/>
        <v>7.4523267453091508E-3</v>
      </c>
      <c r="AH45" s="157">
        <f t="shared" si="10"/>
        <v>9.9068446356180926E-3</v>
      </c>
      <c r="AI45" s="4"/>
      <c r="AJ45" s="157">
        <f t="shared" si="10"/>
        <v>1.3731300999377625E-3</v>
      </c>
      <c r="AK45" s="157">
        <f t="shared" si="27"/>
        <v>1.9166430802996625E-3</v>
      </c>
      <c r="AL45" s="157">
        <f t="shared" si="28"/>
        <v>5.2769759338870139E-4</v>
      </c>
      <c r="AM45" s="157">
        <f t="shared" si="29"/>
        <v>7.0382143541678583E-4</v>
      </c>
      <c r="AN45" s="157">
        <f t="shared" si="30"/>
        <v>4.9744426198578028E-4</v>
      </c>
      <c r="AO45" s="157">
        <f t="shared" si="31"/>
        <v>7.258047031670332E-4</v>
      </c>
      <c r="AP45" s="157">
        <f t="shared" si="32"/>
        <v>1.5087991442896292E-4</v>
      </c>
      <c r="AQ45" s="157">
        <f t="shared" si="33"/>
        <v>1.7095313123256464E-4</v>
      </c>
      <c r="AR45" s="157">
        <f t="shared" si="34"/>
        <v>1.9710833013431727E-4</v>
      </c>
      <c r="AS45" s="157">
        <f t="shared" si="35"/>
        <v>3.1606381048327842E-4</v>
      </c>
      <c r="AT45" s="134"/>
      <c r="AU45" s="157">
        <f t="shared" si="11"/>
        <v>0</v>
      </c>
      <c r="AV45" s="157">
        <f t="shared" si="12"/>
        <v>0</v>
      </c>
      <c r="AW45" s="155"/>
      <c r="AX45" s="157">
        <f t="shared" si="13"/>
        <v>0</v>
      </c>
      <c r="AY45" s="157">
        <f t="shared" si="14"/>
        <v>0</v>
      </c>
      <c r="AZ45" s="4"/>
      <c r="BA45" s="157">
        <f t="shared" si="36"/>
        <v>0</v>
      </c>
      <c r="BB45" s="157">
        <f t="shared" si="37"/>
        <v>0</v>
      </c>
      <c r="BC45" s="157">
        <f t="shared" si="38"/>
        <v>0</v>
      </c>
      <c r="BD45" s="157">
        <f t="shared" si="39"/>
        <v>0</v>
      </c>
      <c r="BE45" s="157">
        <f t="shared" si="40"/>
        <v>0</v>
      </c>
      <c r="BF45" s="157">
        <f t="shared" si="41"/>
        <v>0</v>
      </c>
      <c r="BG45" s="157">
        <f t="shared" si="42"/>
        <v>0</v>
      </c>
      <c r="BH45" s="157">
        <f t="shared" si="43"/>
        <v>0</v>
      </c>
      <c r="BI45" s="157">
        <f t="shared" si="44"/>
        <v>0</v>
      </c>
      <c r="BJ45" s="157">
        <f t="shared" si="45"/>
        <v>0</v>
      </c>
      <c r="BL45" s="157">
        <f t="shared" si="15"/>
        <v>0</v>
      </c>
      <c r="BM45" s="157">
        <f t="shared" si="16"/>
        <v>0</v>
      </c>
      <c r="BN45" s="155"/>
      <c r="BO45" s="157">
        <f t="shared" si="17"/>
        <v>0</v>
      </c>
      <c r="BP45" s="157">
        <f t="shared" si="18"/>
        <v>0</v>
      </c>
      <c r="BQ45" s="4"/>
      <c r="BR45" s="157">
        <f t="shared" si="46"/>
        <v>0</v>
      </c>
      <c r="BS45" s="157">
        <f t="shared" si="47"/>
        <v>0</v>
      </c>
      <c r="BT45" s="157">
        <f t="shared" si="48"/>
        <v>0</v>
      </c>
      <c r="BU45" s="157">
        <f t="shared" si="49"/>
        <v>0</v>
      </c>
      <c r="BV45" s="157">
        <f t="shared" si="50"/>
        <v>0</v>
      </c>
      <c r="BW45" s="157">
        <f t="shared" si="51"/>
        <v>0</v>
      </c>
      <c r="BX45" s="157">
        <f t="shared" si="52"/>
        <v>0</v>
      </c>
      <c r="BY45" s="157">
        <f t="shared" si="53"/>
        <v>0</v>
      </c>
      <c r="BZ45" s="157">
        <f t="shared" si="54"/>
        <v>0</v>
      </c>
      <c r="CA45" s="157">
        <f t="shared" si="55"/>
        <v>0</v>
      </c>
      <c r="CC45" s="157">
        <f t="shared" si="19"/>
        <v>6.3044952623539439E-7</v>
      </c>
      <c r="CD45" s="157">
        <f t="shared" si="20"/>
        <v>9.0961774245313375E-7</v>
      </c>
      <c r="CE45" s="155"/>
      <c r="CF45" s="157">
        <f t="shared" si="21"/>
        <v>2.2673470172986772E-7</v>
      </c>
      <c r="CG45" s="157">
        <f t="shared" si="22"/>
        <v>3.0141263799992259E-7</v>
      </c>
      <c r="CH45" s="4"/>
      <c r="CI45" s="157">
        <f t="shared" si="56"/>
        <v>4.1777052226227453E-8</v>
      </c>
      <c r="CJ45" s="157">
        <f t="shared" si="57"/>
        <v>5.8313264029639819E-8</v>
      </c>
      <c r="CK45" s="157">
        <f t="shared" si="58"/>
        <v>1.605503361965013E-8</v>
      </c>
      <c r="CL45" s="157">
        <f t="shared" si="59"/>
        <v>2.1413546223098714E-8</v>
      </c>
      <c r="CM45" s="157">
        <f t="shared" si="60"/>
        <v>1.5134585509092731E-8</v>
      </c>
      <c r="CN45" s="157">
        <f t="shared" si="61"/>
        <v>2.2082380243230418E-8</v>
      </c>
      <c r="CO45" s="157">
        <f t="shared" si="62"/>
        <v>4.5904740310282411E-9</v>
      </c>
      <c r="CP45" s="157">
        <f t="shared" si="63"/>
        <v>5.2011953507272745E-9</v>
      </c>
      <c r="CQ45" s="157">
        <f t="shared" si="64"/>
        <v>5.9969590664563332E-9</v>
      </c>
      <c r="CR45" s="157">
        <f t="shared" si="65"/>
        <v>9.6161422125833979E-9</v>
      </c>
      <c r="CT45" s="157">
        <f t="shared" si="23"/>
        <v>1.3573713939253037E-5</v>
      </c>
      <c r="CU45" s="157">
        <f t="shared" si="24"/>
        <v>1.9584265696660949E-5</v>
      </c>
      <c r="CV45" s="155"/>
      <c r="CW45" s="157">
        <f t="shared" si="25"/>
        <v>4.8816469095639747E-6</v>
      </c>
      <c r="CX45" s="157">
        <f t="shared" si="26"/>
        <v>6.4894789442017786E-6</v>
      </c>
      <c r="CY45" s="4"/>
      <c r="CZ45" s="157">
        <f t="shared" si="66"/>
        <v>8.9946892264348495E-7</v>
      </c>
      <c r="DA45" s="157">
        <f t="shared" si="67"/>
        <v>1.2554971204894328E-6</v>
      </c>
      <c r="DB45" s="157">
        <f t="shared" si="68"/>
        <v>3.4566832802544246E-7</v>
      </c>
      <c r="DC45" s="157">
        <f t="shared" si="69"/>
        <v>4.610382572462881E-7</v>
      </c>
      <c r="DD45" s="157">
        <f t="shared" si="70"/>
        <v>3.2585088217337414E-7</v>
      </c>
      <c r="DE45" s="157">
        <f t="shared" si="71"/>
        <v>4.7543839759744239E-7</v>
      </c>
      <c r="DF45" s="157">
        <f t="shared" si="72"/>
        <v>9.8833893515342527E-8</v>
      </c>
      <c r="DG45" s="157">
        <f t="shared" si="73"/>
        <v>1.1198285492340073E-7</v>
      </c>
      <c r="DH45" s="157">
        <f t="shared" si="74"/>
        <v>1.2911581892932546E-7</v>
      </c>
      <c r="DI45" s="157">
        <f t="shared" si="75"/>
        <v>2.0703761072230122E-7</v>
      </c>
    </row>
    <row r="46" spans="1:113" x14ac:dyDescent="0.25">
      <c r="A46">
        <f t="shared" si="6"/>
        <v>41</v>
      </c>
      <c r="B46" s="11" t="s">
        <v>10</v>
      </c>
      <c r="C46" s="158">
        <v>1.0896405198011714</v>
      </c>
      <c r="D46" s="17">
        <v>1.616826830420462</v>
      </c>
      <c r="E46" s="155"/>
      <c r="F46" s="162">
        <v>0.42816991315768149</v>
      </c>
      <c r="G46" s="17">
        <v>0.56919307919090367</v>
      </c>
      <c r="H46" s="4"/>
      <c r="I46" s="155">
        <v>6.7028890937809893E-2</v>
      </c>
      <c r="J46" s="17">
        <v>9.8256172504350148E-2</v>
      </c>
      <c r="K46" s="155">
        <v>3.0957350156441941E-2</v>
      </c>
      <c r="L46" s="17">
        <v>4.1076462310727077E-2</v>
      </c>
      <c r="M46" s="155">
        <v>2.4966565941857078E-2</v>
      </c>
      <c r="N46" s="17">
        <v>3.8086907227318355E-2</v>
      </c>
      <c r="O46" s="169">
        <v>1.2993874581056671E-3</v>
      </c>
      <c r="P46" s="17">
        <v>2.4526846482756225E-3</v>
      </c>
      <c r="Q46" s="155">
        <v>9.8055873814051932E-3</v>
      </c>
      <c r="R46" s="17">
        <v>1.6640118318029085E-2</v>
      </c>
      <c r="S46" s="3"/>
      <c r="T46" s="104">
        <f t="shared" si="0"/>
        <v>1.0653237815208307</v>
      </c>
      <c r="U46" s="105">
        <f t="shared" si="0"/>
        <v>1.4162016174075043</v>
      </c>
      <c r="V46" s="166"/>
      <c r="W46" s="3">
        <v>0.40191528677453947</v>
      </c>
      <c r="X46" s="172">
        <f>+'I-O'!BO43/'I-O'!BO$75</f>
        <v>0</v>
      </c>
      <c r="Y46" s="172">
        <f>+'I-O'!BP43/'I-O'!BP$75</f>
        <v>5.1226052204934331E-3</v>
      </c>
      <c r="Z46" s="172">
        <f>+'I-O'!BT43/'I-O'!BT$75</f>
        <v>0</v>
      </c>
      <c r="AA46" s="172">
        <f>+'I-O'!BU43/'I-O'!BU$75</f>
        <v>0</v>
      </c>
      <c r="AB46" s="172">
        <f>+'I-O'!BW43/'I-O'!BW$75</f>
        <v>0</v>
      </c>
      <c r="AC46" s="134"/>
      <c r="AD46" s="157">
        <f t="shared" si="7"/>
        <v>0</v>
      </c>
      <c r="AE46" s="157">
        <f t="shared" si="8"/>
        <v>0</v>
      </c>
      <c r="AF46" s="155"/>
      <c r="AG46" s="157">
        <f t="shared" si="9"/>
        <v>0</v>
      </c>
      <c r="AH46" s="157">
        <f t="shared" si="10"/>
        <v>0</v>
      </c>
      <c r="AI46" s="4"/>
      <c r="AJ46" s="157">
        <f t="shared" si="10"/>
        <v>0</v>
      </c>
      <c r="AK46" s="157">
        <f t="shared" si="27"/>
        <v>0</v>
      </c>
      <c r="AL46" s="157">
        <f t="shared" si="28"/>
        <v>0</v>
      </c>
      <c r="AM46" s="157">
        <f t="shared" si="29"/>
        <v>0</v>
      </c>
      <c r="AN46" s="157">
        <f t="shared" si="30"/>
        <v>0</v>
      </c>
      <c r="AO46" s="157">
        <f t="shared" si="31"/>
        <v>0</v>
      </c>
      <c r="AP46" s="157">
        <f t="shared" si="32"/>
        <v>0</v>
      </c>
      <c r="AQ46" s="157">
        <f t="shared" si="33"/>
        <v>0</v>
      </c>
      <c r="AR46" s="157">
        <f t="shared" si="34"/>
        <v>0</v>
      </c>
      <c r="AS46" s="157">
        <f t="shared" si="35"/>
        <v>0</v>
      </c>
      <c r="AT46" s="134"/>
      <c r="AU46" s="157">
        <f t="shared" si="11"/>
        <v>0</v>
      </c>
      <c r="AV46" s="157">
        <f t="shared" si="12"/>
        <v>0</v>
      </c>
      <c r="AW46" s="155"/>
      <c r="AX46" s="157">
        <f t="shared" si="13"/>
        <v>0</v>
      </c>
      <c r="AY46" s="157">
        <f t="shared" si="14"/>
        <v>0</v>
      </c>
      <c r="AZ46" s="4"/>
      <c r="BA46" s="157">
        <f t="shared" si="36"/>
        <v>0</v>
      </c>
      <c r="BB46" s="157">
        <f t="shared" si="37"/>
        <v>0</v>
      </c>
      <c r="BC46" s="157">
        <f t="shared" si="38"/>
        <v>0</v>
      </c>
      <c r="BD46" s="157">
        <f t="shared" si="39"/>
        <v>0</v>
      </c>
      <c r="BE46" s="157">
        <f t="shared" si="40"/>
        <v>0</v>
      </c>
      <c r="BF46" s="157">
        <f t="shared" si="41"/>
        <v>0</v>
      </c>
      <c r="BG46" s="157">
        <f t="shared" si="42"/>
        <v>0</v>
      </c>
      <c r="BH46" s="157">
        <f t="shared" si="43"/>
        <v>0</v>
      </c>
      <c r="BI46" s="157">
        <f t="shared" si="44"/>
        <v>0</v>
      </c>
      <c r="BJ46" s="157">
        <f t="shared" si="45"/>
        <v>0</v>
      </c>
      <c r="BL46" s="157">
        <f t="shared" si="15"/>
        <v>0</v>
      </c>
      <c r="BM46" s="157">
        <f t="shared" si="16"/>
        <v>0</v>
      </c>
      <c r="BN46" s="155"/>
      <c r="BO46" s="157">
        <f t="shared" si="17"/>
        <v>0</v>
      </c>
      <c r="BP46" s="157">
        <f t="shared" si="18"/>
        <v>0</v>
      </c>
      <c r="BQ46" s="4"/>
      <c r="BR46" s="157">
        <f t="shared" si="46"/>
        <v>0</v>
      </c>
      <c r="BS46" s="157">
        <f t="shared" si="47"/>
        <v>0</v>
      </c>
      <c r="BT46" s="157">
        <f t="shared" si="48"/>
        <v>0</v>
      </c>
      <c r="BU46" s="157">
        <f t="shared" si="49"/>
        <v>0</v>
      </c>
      <c r="BV46" s="157">
        <f t="shared" si="50"/>
        <v>0</v>
      </c>
      <c r="BW46" s="157">
        <f t="shared" si="51"/>
        <v>0</v>
      </c>
      <c r="BX46" s="157">
        <f t="shared" si="52"/>
        <v>0</v>
      </c>
      <c r="BY46" s="157">
        <f t="shared" si="53"/>
        <v>0</v>
      </c>
      <c r="BZ46" s="157">
        <f t="shared" si="54"/>
        <v>0</v>
      </c>
      <c r="CA46" s="157">
        <f t="shared" si="55"/>
        <v>0</v>
      </c>
      <c r="CC46" s="157">
        <f t="shared" si="19"/>
        <v>3.9472328091486259E-4</v>
      </c>
      <c r="CD46" s="157">
        <f t="shared" si="20"/>
        <v>5.7239258839631856E-4</v>
      </c>
      <c r="CE46" s="155"/>
      <c r="CF46" s="157">
        <f t="shared" si="21"/>
        <v>1.4429936897594514E-4</v>
      </c>
      <c r="CG46" s="157">
        <f t="shared" si="22"/>
        <v>1.9182618775568928E-4</v>
      </c>
      <c r="CH46" s="4"/>
      <c r="CI46" s="157">
        <f t="shared" si="56"/>
        <v>2.4599979675998947E-5</v>
      </c>
      <c r="CJ46" s="157">
        <f t="shared" si="57"/>
        <v>3.5124019050121165E-5</v>
      </c>
      <c r="CK46" s="157">
        <f t="shared" si="58"/>
        <v>1.0280905928464517E-5</v>
      </c>
      <c r="CL46" s="157">
        <f t="shared" si="59"/>
        <v>1.3691191082999473E-5</v>
      </c>
      <c r="CM46" s="157">
        <f t="shared" si="60"/>
        <v>9.8705964186795503E-6</v>
      </c>
      <c r="CN46" s="157">
        <f t="shared" si="61"/>
        <v>1.4292338605744139E-5</v>
      </c>
      <c r="CO46" s="157">
        <f t="shared" si="62"/>
        <v>4.9106560057285769E-7</v>
      </c>
      <c r="CP46" s="157">
        <f t="shared" si="63"/>
        <v>8.7974320651657072E-7</v>
      </c>
      <c r="CQ46" s="157">
        <f t="shared" si="64"/>
        <v>3.9574117282820372E-6</v>
      </c>
      <c r="CR46" s="157">
        <f t="shared" si="65"/>
        <v>6.2607461548609738E-6</v>
      </c>
      <c r="CT46" s="157">
        <f t="shared" si="23"/>
        <v>5.0915830588520276E-3</v>
      </c>
      <c r="CU46" s="157">
        <f t="shared" si="24"/>
        <v>7.3833608175742672E-3</v>
      </c>
      <c r="CV46" s="155"/>
      <c r="CW46" s="157">
        <f t="shared" si="25"/>
        <v>1.8613349098084474E-3</v>
      </c>
      <c r="CX46" s="157">
        <f t="shared" si="26"/>
        <v>2.4743890594882312E-3</v>
      </c>
      <c r="CY46" s="4"/>
      <c r="CZ46" s="157">
        <f t="shared" si="66"/>
        <v>3.1731809554308015E-4</v>
      </c>
      <c r="DA46" s="157">
        <f t="shared" si="67"/>
        <v>4.5306894475516358E-4</v>
      </c>
      <c r="DB46" s="157">
        <f t="shared" si="68"/>
        <v>1.3261464166414795E-4</v>
      </c>
      <c r="DC46" s="157">
        <f t="shared" si="69"/>
        <v>1.7660431989756817E-4</v>
      </c>
      <c r="DD46" s="157">
        <f t="shared" si="70"/>
        <v>1.2732200996513849E-4</v>
      </c>
      <c r="DE46" s="157">
        <f t="shared" si="71"/>
        <v>1.8435859407056225E-4</v>
      </c>
      <c r="DF46" s="157">
        <f t="shared" si="72"/>
        <v>6.3343142235409357E-6</v>
      </c>
      <c r="DG46" s="157">
        <f t="shared" si="73"/>
        <v>1.1347913394057099E-5</v>
      </c>
      <c r="DH46" s="157">
        <f t="shared" si="74"/>
        <v>5.1047129690252957E-5</v>
      </c>
      <c r="DI46" s="157">
        <f t="shared" si="75"/>
        <v>8.0758117392975984E-5</v>
      </c>
    </row>
    <row r="47" spans="1:113" x14ac:dyDescent="0.25">
      <c r="A47">
        <f t="shared" si="6"/>
        <v>42</v>
      </c>
      <c r="B47" s="11" t="s">
        <v>151</v>
      </c>
      <c r="C47" s="158">
        <v>1.4706666617163795</v>
      </c>
      <c r="D47" s="17">
        <v>2.1318292724216148</v>
      </c>
      <c r="E47" s="155"/>
      <c r="F47" s="162">
        <v>0.53698271731718117</v>
      </c>
      <c r="G47" s="17">
        <v>0.71384475403227321</v>
      </c>
      <c r="H47" s="4"/>
      <c r="I47" s="155">
        <v>8.7208128997894166E-2</v>
      </c>
      <c r="J47" s="17">
        <v>0.1263713443353861</v>
      </c>
      <c r="K47" s="155">
        <v>3.3815649804112648E-2</v>
      </c>
      <c r="L47" s="17">
        <v>4.6506378821880544E-2</v>
      </c>
      <c r="M47" s="155">
        <v>3.4704360175456195E-2</v>
      </c>
      <c r="N47" s="17">
        <v>5.1159034591127237E-2</v>
      </c>
      <c r="O47" s="169">
        <v>3.8310597217271706E-3</v>
      </c>
      <c r="P47" s="17">
        <v>5.2774496711855377E-3</v>
      </c>
      <c r="Q47" s="155">
        <v>1.4857059296598153E-2</v>
      </c>
      <c r="R47" s="17">
        <v>2.3428481251192797E-2</v>
      </c>
      <c r="S47" s="3"/>
      <c r="T47" s="104">
        <f t="shared" si="0"/>
        <v>1.3360594508026511</v>
      </c>
      <c r="U47" s="105">
        <f t="shared" si="0"/>
        <v>1.7761074970823776</v>
      </c>
      <c r="V47" s="166"/>
      <c r="W47" s="3">
        <v>0.40191528677453942</v>
      </c>
      <c r="X47" s="172">
        <f>+'I-O'!BO44/'I-O'!BO$75</f>
        <v>0</v>
      </c>
      <c r="Y47" s="172">
        <f>+'I-O'!BP44/'I-O'!BP$75</f>
        <v>0</v>
      </c>
      <c r="Z47" s="172">
        <f>+'I-O'!BT44/'I-O'!BT$75</f>
        <v>0</v>
      </c>
      <c r="AA47" s="172">
        <f>+'I-O'!BU44/'I-O'!BU$75</f>
        <v>3.1196134327048299E-2</v>
      </c>
      <c r="AB47" s="172">
        <f>+'I-O'!BW44/'I-O'!BW$75</f>
        <v>6.8818575364831033E-2</v>
      </c>
      <c r="AC47" s="134"/>
      <c r="AD47" s="157">
        <f t="shared" si="7"/>
        <v>0</v>
      </c>
      <c r="AE47" s="157">
        <f t="shared" si="8"/>
        <v>0</v>
      </c>
      <c r="AF47" s="155"/>
      <c r="AG47" s="157">
        <f t="shared" si="9"/>
        <v>0</v>
      </c>
      <c r="AH47" s="157">
        <f t="shared" si="10"/>
        <v>0</v>
      </c>
      <c r="AI47" s="4"/>
      <c r="AJ47" s="157">
        <f t="shared" si="10"/>
        <v>0</v>
      </c>
      <c r="AK47" s="157">
        <f t="shared" si="27"/>
        <v>0</v>
      </c>
      <c r="AL47" s="157">
        <f t="shared" si="28"/>
        <v>0</v>
      </c>
      <c r="AM47" s="157">
        <f t="shared" si="29"/>
        <v>0</v>
      </c>
      <c r="AN47" s="157">
        <f t="shared" si="30"/>
        <v>0</v>
      </c>
      <c r="AO47" s="157">
        <f t="shared" si="31"/>
        <v>0</v>
      </c>
      <c r="AP47" s="157">
        <f t="shared" si="32"/>
        <v>0</v>
      </c>
      <c r="AQ47" s="157">
        <f t="shared" si="33"/>
        <v>0</v>
      </c>
      <c r="AR47" s="157">
        <f t="shared" si="34"/>
        <v>0</v>
      </c>
      <c r="AS47" s="157">
        <f t="shared" si="35"/>
        <v>0</v>
      </c>
      <c r="AT47" s="134"/>
      <c r="AU47" s="157">
        <f t="shared" si="11"/>
        <v>5.5817982151946588E-3</v>
      </c>
      <c r="AV47" s="157">
        <f t="shared" si="12"/>
        <v>8.2823655621457101E-3</v>
      </c>
      <c r="AW47" s="155"/>
      <c r="AX47" s="157">
        <f t="shared" si="13"/>
        <v>2.193345432399759E-3</v>
      </c>
      <c r="AY47" s="157">
        <f t="shared" si="14"/>
        <v>2.915751438932055E-3</v>
      </c>
      <c r="AZ47" s="4"/>
      <c r="BA47" s="157">
        <f t="shared" si="36"/>
        <v>3.433625466419099E-4</v>
      </c>
      <c r="BB47" s="157">
        <f t="shared" si="37"/>
        <v>5.033275822164874E-4</v>
      </c>
      <c r="BC47" s="157">
        <f t="shared" si="38"/>
        <v>1.585822835240327E-4</v>
      </c>
      <c r="BD47" s="157">
        <f t="shared" si="39"/>
        <v>2.1041850027233227E-4</v>
      </c>
      <c r="BE47" s="157">
        <f t="shared" si="40"/>
        <v>1.2789386103155063E-4</v>
      </c>
      <c r="BF47" s="157">
        <f t="shared" si="41"/>
        <v>1.9510418979511008E-4</v>
      </c>
      <c r="BG47" s="157">
        <f t="shared" si="42"/>
        <v>6.6562489763357822E-6</v>
      </c>
      <c r="BH47" s="157">
        <f t="shared" si="43"/>
        <v>1.2564135183480804E-5</v>
      </c>
      <c r="BI47" s="157">
        <f t="shared" si="44"/>
        <v>5.0230153109990776E-5</v>
      </c>
      <c r="BJ47" s="157">
        <f t="shared" si="45"/>
        <v>8.5240756965564195E-5</v>
      </c>
      <c r="BL47" s="157">
        <f t="shared" si="15"/>
        <v>0</v>
      </c>
      <c r="BM47" s="157">
        <f t="shared" si="16"/>
        <v>0</v>
      </c>
      <c r="BN47" s="155"/>
      <c r="BO47" s="157">
        <f t="shared" si="17"/>
        <v>0</v>
      </c>
      <c r="BP47" s="157">
        <f t="shared" si="18"/>
        <v>0</v>
      </c>
      <c r="BQ47" s="4"/>
      <c r="BR47" s="157">
        <f t="shared" si="46"/>
        <v>0</v>
      </c>
      <c r="BS47" s="157">
        <f t="shared" si="47"/>
        <v>0</v>
      </c>
      <c r="BT47" s="157">
        <f t="shared" si="48"/>
        <v>0</v>
      </c>
      <c r="BU47" s="157">
        <f t="shared" si="49"/>
        <v>0</v>
      </c>
      <c r="BV47" s="157">
        <f t="shared" si="50"/>
        <v>0</v>
      </c>
      <c r="BW47" s="157">
        <f t="shared" si="51"/>
        <v>0</v>
      </c>
      <c r="BX47" s="157">
        <f t="shared" si="52"/>
        <v>0</v>
      </c>
      <c r="BY47" s="157">
        <f t="shared" si="53"/>
        <v>0</v>
      </c>
      <c r="BZ47" s="157">
        <f t="shared" si="54"/>
        <v>0</v>
      </c>
      <c r="CA47" s="157">
        <f t="shared" si="55"/>
        <v>0</v>
      </c>
      <c r="CC47" s="157">
        <f t="shared" si="19"/>
        <v>0</v>
      </c>
      <c r="CD47" s="157">
        <f t="shared" si="20"/>
        <v>0</v>
      </c>
      <c r="CE47" s="155"/>
      <c r="CF47" s="157">
        <f t="shared" si="21"/>
        <v>0</v>
      </c>
      <c r="CG47" s="157">
        <f t="shared" si="22"/>
        <v>0</v>
      </c>
      <c r="CH47" s="4"/>
      <c r="CI47" s="157">
        <f t="shared" si="56"/>
        <v>0</v>
      </c>
      <c r="CJ47" s="157">
        <f t="shared" si="57"/>
        <v>0</v>
      </c>
      <c r="CK47" s="157">
        <f t="shared" si="58"/>
        <v>0</v>
      </c>
      <c r="CL47" s="157">
        <f t="shared" si="59"/>
        <v>0</v>
      </c>
      <c r="CM47" s="157">
        <f t="shared" si="60"/>
        <v>0</v>
      </c>
      <c r="CN47" s="157">
        <f t="shared" si="61"/>
        <v>0</v>
      </c>
      <c r="CO47" s="157">
        <f t="shared" si="62"/>
        <v>0</v>
      </c>
      <c r="CP47" s="157">
        <f t="shared" si="63"/>
        <v>0</v>
      </c>
      <c r="CQ47" s="157">
        <f t="shared" si="64"/>
        <v>0</v>
      </c>
      <c r="CR47" s="157">
        <f t="shared" si="65"/>
        <v>0</v>
      </c>
      <c r="CT47" s="157">
        <f t="shared" si="23"/>
        <v>0</v>
      </c>
      <c r="CU47" s="157">
        <f t="shared" si="24"/>
        <v>0</v>
      </c>
      <c r="CV47" s="155"/>
      <c r="CW47" s="157">
        <f t="shared" si="25"/>
        <v>0</v>
      </c>
      <c r="CX47" s="157">
        <f t="shared" si="26"/>
        <v>0</v>
      </c>
      <c r="CY47" s="4"/>
      <c r="CZ47" s="157">
        <f t="shared" si="66"/>
        <v>0</v>
      </c>
      <c r="DA47" s="157">
        <f t="shared" si="67"/>
        <v>0</v>
      </c>
      <c r="DB47" s="157">
        <f t="shared" si="68"/>
        <v>0</v>
      </c>
      <c r="DC47" s="157">
        <f t="shared" si="69"/>
        <v>0</v>
      </c>
      <c r="DD47" s="157">
        <f t="shared" si="70"/>
        <v>0</v>
      </c>
      <c r="DE47" s="157">
        <f t="shared" si="71"/>
        <v>0</v>
      </c>
      <c r="DF47" s="157">
        <f t="shared" si="72"/>
        <v>0</v>
      </c>
      <c r="DG47" s="157">
        <f t="shared" si="73"/>
        <v>0</v>
      </c>
      <c r="DH47" s="157">
        <f t="shared" si="74"/>
        <v>0</v>
      </c>
      <c r="DI47" s="157">
        <f t="shared" si="75"/>
        <v>0</v>
      </c>
    </row>
    <row r="48" spans="1:113" x14ac:dyDescent="0.25">
      <c r="A48">
        <f t="shared" si="6"/>
        <v>43</v>
      </c>
      <c r="B48" s="11" t="s">
        <v>11</v>
      </c>
      <c r="C48" s="158">
        <v>1.6171633810635093</v>
      </c>
      <c r="D48" s="17">
        <v>2.3443142754378337</v>
      </c>
      <c r="E48" s="155"/>
      <c r="F48" s="162">
        <v>0.59057704842723602</v>
      </c>
      <c r="G48" s="17">
        <v>0.78509105465796614</v>
      </c>
      <c r="H48" s="4"/>
      <c r="I48" s="155">
        <v>0.10068985316595626</v>
      </c>
      <c r="J48" s="17">
        <v>0.14376180944136588</v>
      </c>
      <c r="K48" s="155">
        <v>4.0914546536290432E-2</v>
      </c>
      <c r="L48" s="17">
        <v>5.4871891985224568E-2</v>
      </c>
      <c r="M48" s="155">
        <v>3.7579736348642603E-2</v>
      </c>
      <c r="N48" s="17">
        <v>5.5676693170249481E-2</v>
      </c>
      <c r="O48" s="169">
        <v>7.1982443183857816E-3</v>
      </c>
      <c r="P48" s="17">
        <v>8.7889932934992337E-3</v>
      </c>
      <c r="Q48" s="155">
        <v>1.4997325962637465E-2</v>
      </c>
      <c r="R48" s="17">
        <v>2.4424230992392597E-2</v>
      </c>
      <c r="S48" s="3"/>
      <c r="T48" s="104">
        <f t="shared" si="0"/>
        <v>1.4694067826251394</v>
      </c>
      <c r="U48" s="105">
        <f t="shared" si="0"/>
        <v>1.9533744559917059</v>
      </c>
      <c r="V48" s="166"/>
      <c r="W48" s="3">
        <v>0.4019152867745393</v>
      </c>
      <c r="X48" s="172">
        <f>+'I-O'!BO45/'I-O'!BO$75</f>
        <v>1.1846377045595664E-2</v>
      </c>
      <c r="Y48" s="172">
        <f>+'I-O'!BP45/'I-O'!BP$75</f>
        <v>1.8610494999341844E-3</v>
      </c>
      <c r="Z48" s="172">
        <f>+'I-O'!BT45/'I-O'!BT$75</f>
        <v>1.5463364568363803E-3</v>
      </c>
      <c r="AA48" s="172">
        <f>+'I-O'!BU45/'I-O'!BU$75</f>
        <v>8.0961998036866345E-4</v>
      </c>
      <c r="AB48" s="172">
        <f>+'I-O'!BW45/'I-O'!BW$75</f>
        <v>7.6181036502658422E-3</v>
      </c>
      <c r="AC48" s="134"/>
      <c r="AD48" s="157">
        <f t="shared" si="7"/>
        <v>0</v>
      </c>
      <c r="AE48" s="157">
        <f t="shared" si="8"/>
        <v>0</v>
      </c>
      <c r="AF48" s="155"/>
      <c r="AG48" s="157">
        <f t="shared" si="9"/>
        <v>0</v>
      </c>
      <c r="AH48" s="157">
        <f t="shared" si="10"/>
        <v>0</v>
      </c>
      <c r="AI48" s="4"/>
      <c r="AJ48" s="157">
        <f t="shared" si="10"/>
        <v>0</v>
      </c>
      <c r="AK48" s="157">
        <f t="shared" si="27"/>
        <v>0</v>
      </c>
      <c r="AL48" s="157">
        <f t="shared" si="28"/>
        <v>0</v>
      </c>
      <c r="AM48" s="157">
        <f t="shared" si="29"/>
        <v>0</v>
      </c>
      <c r="AN48" s="157">
        <f t="shared" si="30"/>
        <v>0</v>
      </c>
      <c r="AO48" s="157">
        <f t="shared" si="31"/>
        <v>0</v>
      </c>
      <c r="AP48" s="157">
        <f t="shared" si="32"/>
        <v>0</v>
      </c>
      <c r="AQ48" s="157">
        <f t="shared" si="33"/>
        <v>0</v>
      </c>
      <c r="AR48" s="157">
        <f t="shared" si="34"/>
        <v>0</v>
      </c>
      <c r="AS48" s="157">
        <f t="shared" si="35"/>
        <v>0</v>
      </c>
      <c r="AT48" s="134"/>
      <c r="AU48" s="157">
        <f t="shared" si="11"/>
        <v>0</v>
      </c>
      <c r="AV48" s="157">
        <f t="shared" si="12"/>
        <v>0</v>
      </c>
      <c r="AW48" s="155"/>
      <c r="AX48" s="157">
        <f t="shared" si="13"/>
        <v>0</v>
      </c>
      <c r="AY48" s="157">
        <f t="shared" si="14"/>
        <v>0</v>
      </c>
      <c r="AZ48" s="4"/>
      <c r="BA48" s="157">
        <f t="shared" si="36"/>
        <v>0</v>
      </c>
      <c r="BB48" s="157">
        <f t="shared" si="37"/>
        <v>0</v>
      </c>
      <c r="BC48" s="157">
        <f t="shared" si="38"/>
        <v>0</v>
      </c>
      <c r="BD48" s="157">
        <f t="shared" si="39"/>
        <v>0</v>
      </c>
      <c r="BE48" s="157">
        <f t="shared" si="40"/>
        <v>0</v>
      </c>
      <c r="BF48" s="157">
        <f t="shared" si="41"/>
        <v>0</v>
      </c>
      <c r="BG48" s="157">
        <f t="shared" si="42"/>
        <v>0</v>
      </c>
      <c r="BH48" s="157">
        <f t="shared" si="43"/>
        <v>0</v>
      </c>
      <c r="BI48" s="157">
        <f t="shared" si="44"/>
        <v>0</v>
      </c>
      <c r="BJ48" s="157">
        <f t="shared" si="45"/>
        <v>0</v>
      </c>
      <c r="BL48" s="157">
        <f t="shared" si="15"/>
        <v>0</v>
      </c>
      <c r="BM48" s="157">
        <f t="shared" si="16"/>
        <v>0</v>
      </c>
      <c r="BN48" s="155"/>
      <c r="BO48" s="157">
        <f t="shared" si="17"/>
        <v>0</v>
      </c>
      <c r="BP48" s="157">
        <f t="shared" si="18"/>
        <v>0</v>
      </c>
      <c r="BQ48" s="4"/>
      <c r="BR48" s="157">
        <f t="shared" si="46"/>
        <v>0</v>
      </c>
      <c r="BS48" s="157">
        <f t="shared" si="47"/>
        <v>0</v>
      </c>
      <c r="BT48" s="157">
        <f t="shared" si="48"/>
        <v>0</v>
      </c>
      <c r="BU48" s="157">
        <f t="shared" si="49"/>
        <v>0</v>
      </c>
      <c r="BV48" s="157">
        <f t="shared" si="50"/>
        <v>0</v>
      </c>
      <c r="BW48" s="157">
        <f t="shared" si="51"/>
        <v>0</v>
      </c>
      <c r="BX48" s="157">
        <f t="shared" si="52"/>
        <v>0</v>
      </c>
      <c r="BY48" s="157">
        <f t="shared" si="53"/>
        <v>0</v>
      </c>
      <c r="BZ48" s="157">
        <f t="shared" si="54"/>
        <v>0</v>
      </c>
      <c r="CA48" s="157">
        <f t="shared" si="55"/>
        <v>0</v>
      </c>
      <c r="CC48" s="157">
        <f t="shared" si="19"/>
        <v>4.5879114729215874E-2</v>
      </c>
      <c r="CD48" s="157">
        <f t="shared" si="20"/>
        <v>6.6504832344798342E-2</v>
      </c>
      <c r="CE48" s="155"/>
      <c r="CF48" s="157">
        <f t="shared" si="21"/>
        <v>1.6751784980730187E-2</v>
      </c>
      <c r="CG48" s="157">
        <f t="shared" si="22"/>
        <v>2.2269196835449548E-2</v>
      </c>
      <c r="CH48" s="4"/>
      <c r="CI48" s="157">
        <f t="shared" si="56"/>
        <v>2.7205565066288624E-3</v>
      </c>
      <c r="CJ48" s="157">
        <f t="shared" si="57"/>
        <v>3.9422974329763787E-3</v>
      </c>
      <c r="CK48" s="157">
        <f t="shared" si="58"/>
        <v>1.0549175536455227E-3</v>
      </c>
      <c r="CL48" s="157">
        <f t="shared" si="59"/>
        <v>1.4508192407919796E-3</v>
      </c>
      <c r="CM48" s="157">
        <f t="shared" si="60"/>
        <v>1.0826418817677969E-3</v>
      </c>
      <c r="CN48" s="157">
        <f t="shared" si="61"/>
        <v>1.5959641151469157E-3</v>
      </c>
      <c r="CO48" s="157">
        <f t="shared" si="62"/>
        <v>1.1951425369394509E-4</v>
      </c>
      <c r="CP48" s="157">
        <f t="shared" si="63"/>
        <v>1.6463602884654092E-4</v>
      </c>
      <c r="CQ48" s="157">
        <f t="shared" si="64"/>
        <v>4.6348281752159771E-4</v>
      </c>
      <c r="CR48" s="157">
        <f t="shared" si="65"/>
        <v>7.3087804819094312E-4</v>
      </c>
      <c r="CT48" s="157">
        <f t="shared" si="23"/>
        <v>0.10120918449587313</v>
      </c>
      <c r="CU48" s="157">
        <f t="shared" si="24"/>
        <v>0.1467094534490998</v>
      </c>
      <c r="CV48" s="155"/>
      <c r="CW48" s="157">
        <f t="shared" si="25"/>
        <v>3.6954385601304193E-2</v>
      </c>
      <c r="CX48" s="157">
        <f t="shared" si="26"/>
        <v>4.9125779004159265E-2</v>
      </c>
      <c r="CY48" s="4"/>
      <c r="CZ48" s="157">
        <f t="shared" si="66"/>
        <v>6.0015391978674865E-3</v>
      </c>
      <c r="DA48" s="157">
        <f t="shared" si="67"/>
        <v>8.696695884099782E-3</v>
      </c>
      <c r="DB48" s="157">
        <f t="shared" si="68"/>
        <v>2.3271448445550602E-3</v>
      </c>
      <c r="DC48" s="157">
        <f t="shared" si="69"/>
        <v>3.2005027358989681E-3</v>
      </c>
      <c r="DD48" s="157">
        <f t="shared" si="70"/>
        <v>2.388304626222873E-3</v>
      </c>
      <c r="DE48" s="157">
        <f t="shared" si="71"/>
        <v>3.5206918776014874E-3</v>
      </c>
      <c r="DF48" s="157">
        <f t="shared" si="72"/>
        <v>2.6364807218684988E-4</v>
      </c>
      <c r="DG48" s="157">
        <f t="shared" si="73"/>
        <v>3.6318656793058471E-4</v>
      </c>
      <c r="DH48" s="157">
        <f t="shared" si="74"/>
        <v>1.0224416549027035E-3</v>
      </c>
      <c r="DI48" s="157">
        <f t="shared" si="75"/>
        <v>1.6123147026687423E-3</v>
      </c>
    </row>
    <row r="49" spans="1:113" x14ac:dyDescent="0.25">
      <c r="A49">
        <f t="shared" si="6"/>
        <v>44</v>
      </c>
      <c r="B49" s="11" t="s">
        <v>152</v>
      </c>
      <c r="C49" s="158">
        <v>1.3571026687792196</v>
      </c>
      <c r="D49" s="17">
        <v>2.1548652257429706</v>
      </c>
      <c r="E49" s="155"/>
      <c r="F49" s="162">
        <v>0.64792639310828082</v>
      </c>
      <c r="G49" s="17">
        <v>0.86132912997682443</v>
      </c>
      <c r="H49" s="4"/>
      <c r="I49" s="155">
        <v>9.720410311054152E-2</v>
      </c>
      <c r="J49" s="17">
        <v>0.14445866091627407</v>
      </c>
      <c r="K49" s="155">
        <v>5.0236151431190992E-2</v>
      </c>
      <c r="L49" s="17">
        <v>6.5548857060672275E-2</v>
      </c>
      <c r="M49" s="155">
        <v>3.2404049827507823E-2</v>
      </c>
      <c r="N49" s="17">
        <v>5.2258353327595042E-2</v>
      </c>
      <c r="O49" s="169">
        <v>9.9192365169853565E-4</v>
      </c>
      <c r="P49" s="17">
        <v>2.7371459703287213E-3</v>
      </c>
      <c r="Q49" s="155">
        <v>1.3571978200144179E-2</v>
      </c>
      <c r="R49" s="17">
        <v>2.391430455767804E-2</v>
      </c>
      <c r="S49" s="3"/>
      <c r="T49" s="104">
        <f t="shared" si="0"/>
        <v>1.2209161977549807</v>
      </c>
      <c r="U49" s="105">
        <f t="shared" si="0"/>
        <v>1.6230403600971477</v>
      </c>
      <c r="V49" s="166"/>
      <c r="W49" s="3">
        <v>0.53068866995104746</v>
      </c>
      <c r="X49" s="172">
        <f>+'I-O'!BO46/'I-O'!BO$75</f>
        <v>0</v>
      </c>
      <c r="Y49" s="172">
        <f>+'I-O'!BP46/'I-O'!BP$75</f>
        <v>0</v>
      </c>
      <c r="Z49" s="172">
        <f>+'I-O'!BT46/'I-O'!BT$75</f>
        <v>0</v>
      </c>
      <c r="AA49" s="172">
        <f>+'I-O'!BU46/'I-O'!BU$75</f>
        <v>0</v>
      </c>
      <c r="AB49" s="172">
        <f>+'I-O'!BW46/'I-O'!BW$75</f>
        <v>0</v>
      </c>
      <c r="AC49" s="134"/>
      <c r="AD49" s="157">
        <f t="shared" si="7"/>
        <v>1.915752715640863E-2</v>
      </c>
      <c r="AE49" s="157">
        <f t="shared" si="8"/>
        <v>2.7771630820208986E-2</v>
      </c>
      <c r="AF49" s="155"/>
      <c r="AG49" s="157">
        <f t="shared" si="9"/>
        <v>6.9961983901440476E-3</v>
      </c>
      <c r="AH49" s="157">
        <f t="shared" si="10"/>
        <v>9.3004846486026208E-3</v>
      </c>
      <c r="AI49" s="4"/>
      <c r="AJ49" s="157">
        <f t="shared" si="10"/>
        <v>1.1928099652695821E-3</v>
      </c>
      <c r="AK49" s="157">
        <f t="shared" si="27"/>
        <v>1.7030565993994948E-3</v>
      </c>
      <c r="AL49" s="157">
        <f t="shared" si="28"/>
        <v>4.8468914491846656E-4</v>
      </c>
      <c r="AM49" s="157">
        <f t="shared" si="29"/>
        <v>6.50033121662169E-4</v>
      </c>
      <c r="AN49" s="157">
        <f t="shared" si="30"/>
        <v>4.4518372606009674E-4</v>
      </c>
      <c r="AO49" s="157">
        <f t="shared" si="31"/>
        <v>6.5956709994671639E-4</v>
      </c>
      <c r="AP49" s="157">
        <f t="shared" si="32"/>
        <v>8.5273116261914736E-5</v>
      </c>
      <c r="AQ49" s="157">
        <f t="shared" si="33"/>
        <v>1.0411772840600356E-4</v>
      </c>
      <c r="AR49" s="157">
        <f t="shared" si="34"/>
        <v>1.7766397802910437E-4</v>
      </c>
      <c r="AS49" s="157">
        <f t="shared" si="35"/>
        <v>2.8933864938460586E-4</v>
      </c>
      <c r="AT49" s="134"/>
      <c r="AU49" s="157">
        <f t="shared" si="11"/>
        <v>3.0096211016401187E-3</v>
      </c>
      <c r="AV49" s="157">
        <f t="shared" si="12"/>
        <v>4.3628849099921502E-3</v>
      </c>
      <c r="AW49" s="155"/>
      <c r="AX49" s="157">
        <f t="shared" si="13"/>
        <v>1.0990931206481141E-3</v>
      </c>
      <c r="AY49" s="157">
        <f t="shared" si="14"/>
        <v>1.4610933146740092E-3</v>
      </c>
      <c r="AZ49" s="4"/>
      <c r="BA49" s="157">
        <f t="shared" si="36"/>
        <v>1.8738880088294934E-4</v>
      </c>
      <c r="BB49" s="157">
        <f t="shared" si="37"/>
        <v>2.6754784357048748E-4</v>
      </c>
      <c r="BC49" s="157">
        <f t="shared" si="38"/>
        <v>7.6143996371397219E-5</v>
      </c>
      <c r="BD49" s="157">
        <f t="shared" si="39"/>
        <v>1.0211930713954476E-4</v>
      </c>
      <c r="BE49" s="157">
        <f t="shared" si="40"/>
        <v>6.9937749539299813E-5</v>
      </c>
      <c r="BF49" s="157">
        <f t="shared" si="41"/>
        <v>1.0361708198248182E-4</v>
      </c>
      <c r="BG49" s="157">
        <f t="shared" si="42"/>
        <v>1.3396288989135943E-5</v>
      </c>
      <c r="BH49" s="157">
        <f t="shared" si="43"/>
        <v>1.635675157379165E-5</v>
      </c>
      <c r="BI49" s="157">
        <f t="shared" si="44"/>
        <v>2.7910765983116415E-5</v>
      </c>
      <c r="BJ49" s="157">
        <f t="shared" si="45"/>
        <v>4.545470287466925E-5</v>
      </c>
      <c r="BL49" s="157">
        <f t="shared" si="15"/>
        <v>2.5006786927992881E-3</v>
      </c>
      <c r="BM49" s="157">
        <f t="shared" si="16"/>
        <v>3.6250986303914857E-3</v>
      </c>
      <c r="BN49" s="155"/>
      <c r="BO49" s="157">
        <f t="shared" si="17"/>
        <v>9.1323082055385957E-4</v>
      </c>
      <c r="BP49" s="157">
        <f t="shared" si="18"/>
        <v>1.2140149197537363E-3</v>
      </c>
      <c r="BQ49" s="4"/>
      <c r="BR49" s="157">
        <f t="shared" si="46"/>
        <v>1.5570039078402018E-4</v>
      </c>
      <c r="BS49" s="157">
        <f t="shared" si="47"/>
        <v>2.2230412703994859E-4</v>
      </c>
      <c r="BT49" s="157">
        <f t="shared" si="48"/>
        <v>6.3267654923994542E-5</v>
      </c>
      <c r="BU49" s="157">
        <f t="shared" si="49"/>
        <v>8.4850407032340737E-5</v>
      </c>
      <c r="BV49" s="157">
        <f t="shared" si="50"/>
        <v>5.8110916354205336E-5</v>
      </c>
      <c r="BW49" s="157">
        <f t="shared" si="51"/>
        <v>8.6094900445249877E-5</v>
      </c>
      <c r="BX49" s="157">
        <f t="shared" si="52"/>
        <v>1.1130907614735274E-5</v>
      </c>
      <c r="BY49" s="157">
        <f t="shared" si="53"/>
        <v>1.3590740748628313E-5</v>
      </c>
      <c r="BZ49" s="157">
        <f t="shared" si="54"/>
        <v>2.3190911891085073E-5</v>
      </c>
      <c r="CA49" s="157">
        <f t="shared" si="55"/>
        <v>3.7768078813729673E-5</v>
      </c>
      <c r="CC49" s="157">
        <f t="shared" si="19"/>
        <v>1.3092877848295598E-3</v>
      </c>
      <c r="CD49" s="157">
        <f t="shared" si="20"/>
        <v>1.8980036776579563E-3</v>
      </c>
      <c r="CE49" s="155"/>
      <c r="CF49" s="157">
        <f t="shared" si="21"/>
        <v>4.7814297835384204E-4</v>
      </c>
      <c r="CG49" s="157">
        <f t="shared" si="22"/>
        <v>6.3562540425979579E-4</v>
      </c>
      <c r="CH49" s="4"/>
      <c r="CI49" s="157">
        <f t="shared" si="56"/>
        <v>8.1520516943545105E-5</v>
      </c>
      <c r="CJ49" s="157">
        <f t="shared" si="57"/>
        <v>1.1639243333768218E-4</v>
      </c>
      <c r="CK49" s="157">
        <f t="shared" si="58"/>
        <v>3.3125234363504229E-5</v>
      </c>
      <c r="CL49" s="157">
        <f t="shared" si="59"/>
        <v>4.4425380111868937E-5</v>
      </c>
      <c r="CM49" s="157">
        <f t="shared" si="60"/>
        <v>3.0425305404847571E-5</v>
      </c>
      <c r="CN49" s="157">
        <f t="shared" si="61"/>
        <v>4.5076963231489484E-5</v>
      </c>
      <c r="CO49" s="157">
        <f t="shared" si="62"/>
        <v>5.8278424237403396E-6</v>
      </c>
      <c r="CP49" s="157">
        <f t="shared" si="63"/>
        <v>7.1157445777431644E-6</v>
      </c>
      <c r="CQ49" s="157">
        <f t="shared" si="64"/>
        <v>1.214213475145299E-5</v>
      </c>
      <c r="CR49" s="157">
        <f t="shared" si="65"/>
        <v>1.9774345416580596E-5</v>
      </c>
      <c r="CT49" s="157">
        <f t="shared" si="23"/>
        <v>1.2319718256356171E-2</v>
      </c>
      <c r="CU49" s="157">
        <f t="shared" si="24"/>
        <v>1.7859229139083284E-2</v>
      </c>
      <c r="CV49" s="155"/>
      <c r="CW49" s="157">
        <f t="shared" si="25"/>
        <v>4.499077168386754E-3</v>
      </c>
      <c r="CX49" s="157">
        <f t="shared" si="26"/>
        <v>5.9809050292809118E-3</v>
      </c>
      <c r="CY49" s="4"/>
      <c r="CZ49" s="157">
        <f t="shared" si="66"/>
        <v>7.6706573794830309E-4</v>
      </c>
      <c r="DA49" s="157">
        <f t="shared" si="67"/>
        <v>1.0951923652740918E-3</v>
      </c>
      <c r="DB49" s="157">
        <f t="shared" si="68"/>
        <v>3.1169125631708584E-4</v>
      </c>
      <c r="DC49" s="157">
        <f t="shared" si="69"/>
        <v>4.180197606296323E-4</v>
      </c>
      <c r="DD49" s="157">
        <f t="shared" si="70"/>
        <v>2.8628632665362219E-4</v>
      </c>
      <c r="DE49" s="157">
        <f t="shared" si="71"/>
        <v>4.2415081947500883E-4</v>
      </c>
      <c r="DF49" s="157">
        <f t="shared" si="72"/>
        <v>5.4836971317400082E-5</v>
      </c>
      <c r="DG49" s="157">
        <f t="shared" si="73"/>
        <v>6.6955461891368521E-5</v>
      </c>
      <c r="DH49" s="157">
        <f t="shared" si="74"/>
        <v>1.1425118366019515E-4</v>
      </c>
      <c r="DI49" s="157">
        <f t="shared" si="75"/>
        <v>1.8606632327808215E-4</v>
      </c>
    </row>
    <row r="50" spans="1:113" x14ac:dyDescent="0.25">
      <c r="A50">
        <f t="shared" si="6"/>
        <v>45</v>
      </c>
      <c r="B50" s="11" t="s">
        <v>153</v>
      </c>
      <c r="C50" s="158">
        <v>1.2316068604345458</v>
      </c>
      <c r="D50" s="17">
        <v>2.051358500495712</v>
      </c>
      <c r="E50" s="155"/>
      <c r="F50" s="162">
        <v>0.66578547558175682</v>
      </c>
      <c r="G50" s="17">
        <v>0.88507032671256647</v>
      </c>
      <c r="H50" s="4"/>
      <c r="I50" s="155">
        <v>8.2282795385213672E-2</v>
      </c>
      <c r="J50" s="17">
        <v>0.13083985152112176</v>
      </c>
      <c r="K50" s="155">
        <v>4.2343446020462479E-2</v>
      </c>
      <c r="L50" s="17">
        <v>5.8078222545091353E-2</v>
      </c>
      <c r="M50" s="155">
        <v>2.7783923439049826E-2</v>
      </c>
      <c r="N50" s="17">
        <v>4.8185479910204443E-2</v>
      </c>
      <c r="O50" s="169">
        <v>1.7849650821028197E-3</v>
      </c>
      <c r="P50" s="17">
        <v>3.578291737359031E-3</v>
      </c>
      <c r="Q50" s="155">
        <v>1.0370460843598526E-2</v>
      </c>
      <c r="R50" s="17">
        <v>2.0997857328466953E-2</v>
      </c>
      <c r="S50" s="3"/>
      <c r="T50" s="104">
        <f t="shared" si="0"/>
        <v>1.1192000118284751</v>
      </c>
      <c r="U50" s="105">
        <f t="shared" si="0"/>
        <v>1.4878226642901538</v>
      </c>
      <c r="V50" s="166"/>
      <c r="W50" s="3">
        <v>0.59487622278884766</v>
      </c>
      <c r="X50" s="172">
        <f>+'I-O'!BO47/'I-O'!BO$75</f>
        <v>1.8213756229242277E-3</v>
      </c>
      <c r="Y50" s="172">
        <f>+'I-O'!BP47/'I-O'!BP$75</f>
        <v>1.3590169960335814E-2</v>
      </c>
      <c r="Z50" s="172">
        <f>+'I-O'!BT47/'I-O'!BT$75</f>
        <v>0</v>
      </c>
      <c r="AA50" s="172">
        <f>+'I-O'!BU47/'I-O'!BU$75</f>
        <v>0</v>
      </c>
      <c r="AB50" s="172">
        <f>+'I-O'!BW47/'I-O'!BW$75</f>
        <v>0</v>
      </c>
      <c r="AC50" s="134"/>
      <c r="AD50" s="157">
        <f t="shared" si="7"/>
        <v>0</v>
      </c>
      <c r="AE50" s="157">
        <f t="shared" si="8"/>
        <v>0</v>
      </c>
      <c r="AF50" s="155"/>
      <c r="AG50" s="157">
        <f t="shared" si="9"/>
        <v>0</v>
      </c>
      <c r="AH50" s="157">
        <f t="shared" si="10"/>
        <v>0</v>
      </c>
      <c r="AI50" s="4"/>
      <c r="AJ50" s="157">
        <f t="shared" si="10"/>
        <v>0</v>
      </c>
      <c r="AK50" s="157">
        <f t="shared" si="27"/>
        <v>0</v>
      </c>
      <c r="AL50" s="157">
        <f t="shared" si="28"/>
        <v>0</v>
      </c>
      <c r="AM50" s="157">
        <f t="shared" si="29"/>
        <v>0</v>
      </c>
      <c r="AN50" s="157">
        <f t="shared" si="30"/>
        <v>0</v>
      </c>
      <c r="AO50" s="157">
        <f t="shared" si="31"/>
        <v>0</v>
      </c>
      <c r="AP50" s="157">
        <f t="shared" si="32"/>
        <v>0</v>
      </c>
      <c r="AQ50" s="157">
        <f t="shared" si="33"/>
        <v>0</v>
      </c>
      <c r="AR50" s="157">
        <f t="shared" si="34"/>
        <v>0</v>
      </c>
      <c r="AS50" s="157">
        <f t="shared" si="35"/>
        <v>0</v>
      </c>
      <c r="AT50" s="134"/>
      <c r="AU50" s="157">
        <f t="shared" si="11"/>
        <v>0</v>
      </c>
      <c r="AV50" s="157">
        <f t="shared" si="12"/>
        <v>0</v>
      </c>
      <c r="AW50" s="155"/>
      <c r="AX50" s="157">
        <f t="shared" si="13"/>
        <v>0</v>
      </c>
      <c r="AY50" s="157">
        <f t="shared" si="14"/>
        <v>0</v>
      </c>
      <c r="AZ50" s="4"/>
      <c r="BA50" s="157">
        <f t="shared" si="36"/>
        <v>0</v>
      </c>
      <c r="BB50" s="157">
        <f t="shared" si="37"/>
        <v>0</v>
      </c>
      <c r="BC50" s="157">
        <f t="shared" si="38"/>
        <v>0</v>
      </c>
      <c r="BD50" s="157">
        <f t="shared" si="39"/>
        <v>0</v>
      </c>
      <c r="BE50" s="157">
        <f t="shared" si="40"/>
        <v>0</v>
      </c>
      <c r="BF50" s="157">
        <f t="shared" si="41"/>
        <v>0</v>
      </c>
      <c r="BG50" s="157">
        <f t="shared" si="42"/>
        <v>0</v>
      </c>
      <c r="BH50" s="157">
        <f t="shared" si="43"/>
        <v>0</v>
      </c>
      <c r="BI50" s="157">
        <f t="shared" si="44"/>
        <v>0</v>
      </c>
      <c r="BJ50" s="157">
        <f t="shared" si="45"/>
        <v>0</v>
      </c>
      <c r="BL50" s="157">
        <f t="shared" si="15"/>
        <v>0</v>
      </c>
      <c r="BM50" s="157">
        <f t="shared" si="16"/>
        <v>0</v>
      </c>
      <c r="BN50" s="155"/>
      <c r="BO50" s="157">
        <f t="shared" si="17"/>
        <v>0</v>
      </c>
      <c r="BP50" s="157">
        <f t="shared" si="18"/>
        <v>0</v>
      </c>
      <c r="BQ50" s="4"/>
      <c r="BR50" s="157">
        <f t="shared" si="46"/>
        <v>0</v>
      </c>
      <c r="BS50" s="157">
        <f t="shared" si="47"/>
        <v>0</v>
      </c>
      <c r="BT50" s="157">
        <f t="shared" si="48"/>
        <v>0</v>
      </c>
      <c r="BU50" s="157">
        <f t="shared" si="49"/>
        <v>0</v>
      </c>
      <c r="BV50" s="157">
        <f t="shared" si="50"/>
        <v>0</v>
      </c>
      <c r="BW50" s="157">
        <f t="shared" si="51"/>
        <v>0</v>
      </c>
      <c r="BX50" s="157">
        <f t="shared" si="52"/>
        <v>0</v>
      </c>
      <c r="BY50" s="157">
        <f t="shared" si="53"/>
        <v>0</v>
      </c>
      <c r="BZ50" s="157">
        <f t="shared" si="54"/>
        <v>0</v>
      </c>
      <c r="CA50" s="157">
        <f t="shared" si="55"/>
        <v>0</v>
      </c>
      <c r="CC50" s="157">
        <f t="shared" si="19"/>
        <v>0</v>
      </c>
      <c r="CD50" s="157">
        <f t="shared" si="20"/>
        <v>0</v>
      </c>
      <c r="CE50" s="155"/>
      <c r="CF50" s="157">
        <f t="shared" si="21"/>
        <v>0</v>
      </c>
      <c r="CG50" s="157">
        <f t="shared" si="22"/>
        <v>0</v>
      </c>
      <c r="CH50" s="4"/>
      <c r="CI50" s="157">
        <f t="shared" si="56"/>
        <v>0</v>
      </c>
      <c r="CJ50" s="157">
        <f t="shared" si="57"/>
        <v>0</v>
      </c>
      <c r="CK50" s="157">
        <f t="shared" si="58"/>
        <v>0</v>
      </c>
      <c r="CL50" s="157">
        <f t="shared" si="59"/>
        <v>0</v>
      </c>
      <c r="CM50" s="157">
        <f t="shared" si="60"/>
        <v>0</v>
      </c>
      <c r="CN50" s="157">
        <f t="shared" si="61"/>
        <v>0</v>
      </c>
      <c r="CO50" s="157">
        <f t="shared" si="62"/>
        <v>0</v>
      </c>
      <c r="CP50" s="157">
        <f t="shared" si="63"/>
        <v>0</v>
      </c>
      <c r="CQ50" s="157">
        <f t="shared" si="64"/>
        <v>0</v>
      </c>
      <c r="CR50" s="157">
        <f t="shared" si="65"/>
        <v>0</v>
      </c>
      <c r="CT50" s="157">
        <f t="shared" si="23"/>
        <v>0</v>
      </c>
      <c r="CU50" s="157">
        <f t="shared" si="24"/>
        <v>0</v>
      </c>
      <c r="CV50" s="155"/>
      <c r="CW50" s="157">
        <f t="shared" si="25"/>
        <v>0</v>
      </c>
      <c r="CX50" s="157">
        <f t="shared" si="26"/>
        <v>0</v>
      </c>
      <c r="CY50" s="4"/>
      <c r="CZ50" s="157">
        <f t="shared" si="66"/>
        <v>0</v>
      </c>
      <c r="DA50" s="157">
        <f t="shared" si="67"/>
        <v>0</v>
      </c>
      <c r="DB50" s="157">
        <f t="shared" si="68"/>
        <v>0</v>
      </c>
      <c r="DC50" s="157">
        <f t="shared" si="69"/>
        <v>0</v>
      </c>
      <c r="DD50" s="157">
        <f t="shared" si="70"/>
        <v>0</v>
      </c>
      <c r="DE50" s="157">
        <f t="shared" si="71"/>
        <v>0</v>
      </c>
      <c r="DF50" s="157">
        <f t="shared" si="72"/>
        <v>0</v>
      </c>
      <c r="DG50" s="157">
        <f t="shared" si="73"/>
        <v>0</v>
      </c>
      <c r="DH50" s="157">
        <f t="shared" si="74"/>
        <v>0</v>
      </c>
      <c r="DI50" s="157">
        <f t="shared" si="75"/>
        <v>0</v>
      </c>
    </row>
    <row r="51" spans="1:113" x14ac:dyDescent="0.25">
      <c r="A51">
        <f t="shared" si="6"/>
        <v>46</v>
      </c>
      <c r="B51" s="11" t="s">
        <v>154</v>
      </c>
      <c r="C51" s="158">
        <v>1.2295734603285453</v>
      </c>
      <c r="D51" s="17">
        <v>2.0519027259711957</v>
      </c>
      <c r="E51" s="155"/>
      <c r="F51" s="162">
        <v>0.66787897023278542</v>
      </c>
      <c r="G51" s="17">
        <v>0.88785334025478568</v>
      </c>
      <c r="H51" s="4"/>
      <c r="I51" s="155">
        <v>8.8833562027353583E-2</v>
      </c>
      <c r="J51" s="17">
        <v>0.13754330088317449</v>
      </c>
      <c r="K51" s="155">
        <v>4.6553094132633456E-2</v>
      </c>
      <c r="L51" s="17">
        <v>6.2337347060244352E-2</v>
      </c>
      <c r="M51" s="155">
        <v>2.8800022384355351E-2</v>
      </c>
      <c r="N51" s="17">
        <v>4.9265729472955766E-2</v>
      </c>
      <c r="O51" s="169">
        <v>1.7828773353899328E-3</v>
      </c>
      <c r="P51" s="17">
        <v>3.5818429237530064E-3</v>
      </c>
      <c r="Q51" s="155">
        <v>1.1697568174974856E-2</v>
      </c>
      <c r="R51" s="17">
        <v>2.2358381426221371E-2</v>
      </c>
      <c r="S51" s="3"/>
      <c r="T51" s="104">
        <f t="shared" si="0"/>
        <v>1.1227192223311475</v>
      </c>
      <c r="U51" s="105">
        <f t="shared" si="0"/>
        <v>1.4925009711977191</v>
      </c>
      <c r="V51" s="166"/>
      <c r="W51" s="3">
        <v>0.59487622278884755</v>
      </c>
      <c r="X51" s="172">
        <f>+'I-O'!BO48/'I-O'!BO$75</f>
        <v>9.0175319241509334E-3</v>
      </c>
      <c r="Y51" s="172">
        <f>+'I-O'!BP48/'I-O'!BP$75</f>
        <v>5.6970354107677779E-3</v>
      </c>
      <c r="Z51" s="172">
        <f>+'I-O'!BT48/'I-O'!BT$75</f>
        <v>0</v>
      </c>
      <c r="AA51" s="172">
        <f>+'I-O'!BU48/'I-O'!BU$75</f>
        <v>6.5131930543371611E-3</v>
      </c>
      <c r="AB51" s="172">
        <f>+'I-O'!BW48/'I-O'!BW$75</f>
        <v>5.0359070984408207E-3</v>
      </c>
      <c r="AC51" s="134"/>
      <c r="AD51" s="157">
        <f t="shared" si="7"/>
        <v>2.2432187126217233E-3</v>
      </c>
      <c r="AE51" s="157">
        <f t="shared" si="8"/>
        <v>3.7362943666812871E-3</v>
      </c>
      <c r="AF51" s="155"/>
      <c r="AG51" s="157">
        <f t="shared" si="9"/>
        <v>1.2126454353216256E-3</v>
      </c>
      <c r="AH51" s="157">
        <f t="shared" si="10"/>
        <v>1.6120455176478505E-3</v>
      </c>
      <c r="AI51" s="4"/>
      <c r="AJ51" s="157">
        <f t="shared" si="10"/>
        <v>1.4986787770069032E-4</v>
      </c>
      <c r="AK51" s="157">
        <f t="shared" si="27"/>
        <v>2.3830851606759662E-4</v>
      </c>
      <c r="AL51" s="157">
        <f t="shared" si="28"/>
        <v>7.7123320372278253E-5</v>
      </c>
      <c r="AM51" s="157">
        <f t="shared" si="29"/>
        <v>1.0578225876639768E-4</v>
      </c>
      <c r="AN51" s="157">
        <f t="shared" si="30"/>
        <v>5.0604960861078425E-5</v>
      </c>
      <c r="AO51" s="157">
        <f t="shared" si="31"/>
        <v>8.7763858487351472E-5</v>
      </c>
      <c r="AP51" s="157">
        <f t="shared" si="32"/>
        <v>3.2510918883130184E-6</v>
      </c>
      <c r="AQ51" s="157">
        <f t="shared" si="33"/>
        <v>6.517413342136922E-6</v>
      </c>
      <c r="AR51" s="157">
        <f t="shared" si="34"/>
        <v>1.8888504579020577E-5</v>
      </c>
      <c r="AS51" s="157">
        <f t="shared" si="35"/>
        <v>3.8244985471710557E-5</v>
      </c>
      <c r="AT51" s="134"/>
      <c r="AU51" s="157">
        <f t="shared" si="11"/>
        <v>1.6737746557621069E-2</v>
      </c>
      <c r="AV51" s="157">
        <f t="shared" si="12"/>
        <v>2.7878310671316343E-2</v>
      </c>
      <c r="AW51" s="155"/>
      <c r="AX51" s="157">
        <f t="shared" si="13"/>
        <v>9.0481377702790848E-3</v>
      </c>
      <c r="AY51" s="157">
        <f t="shared" si="14"/>
        <v>1.2028256166873724E-2</v>
      </c>
      <c r="AZ51" s="4"/>
      <c r="BA51" s="157">
        <f t="shared" si="36"/>
        <v>1.1182371740965891E-3</v>
      </c>
      <c r="BB51" s="157">
        <f t="shared" si="37"/>
        <v>1.7781358197571471E-3</v>
      </c>
      <c r="BC51" s="157">
        <f t="shared" si="38"/>
        <v>5.7545462812439027E-4</v>
      </c>
      <c r="BD51" s="157">
        <f t="shared" si="39"/>
        <v>7.8929291538199875E-4</v>
      </c>
      <c r="BE51" s="157">
        <f t="shared" si="40"/>
        <v>3.7758824170164507E-4</v>
      </c>
      <c r="BF51" s="157">
        <f t="shared" si="41"/>
        <v>6.5484886160002524E-4</v>
      </c>
      <c r="BG51" s="157">
        <f t="shared" si="42"/>
        <v>2.425797883904209E-5</v>
      </c>
      <c r="BH51" s="157">
        <f t="shared" si="43"/>
        <v>4.8629592878374553E-5</v>
      </c>
      <c r="BI51" s="157">
        <f t="shared" si="44"/>
        <v>1.409363254315115E-4</v>
      </c>
      <c r="BJ51" s="157">
        <f t="shared" si="45"/>
        <v>2.8536444989674879E-4</v>
      </c>
      <c r="BL51" s="157">
        <f t="shared" si="15"/>
        <v>0</v>
      </c>
      <c r="BM51" s="157">
        <f t="shared" si="16"/>
        <v>0</v>
      </c>
      <c r="BN51" s="155"/>
      <c r="BO51" s="157">
        <f t="shared" si="17"/>
        <v>0</v>
      </c>
      <c r="BP51" s="157">
        <f t="shared" si="18"/>
        <v>0</v>
      </c>
      <c r="BQ51" s="4"/>
      <c r="BR51" s="157">
        <f t="shared" si="46"/>
        <v>0</v>
      </c>
      <c r="BS51" s="157">
        <f t="shared" si="47"/>
        <v>0</v>
      </c>
      <c r="BT51" s="157">
        <f t="shared" si="48"/>
        <v>0</v>
      </c>
      <c r="BU51" s="157">
        <f t="shared" si="49"/>
        <v>0</v>
      </c>
      <c r="BV51" s="157">
        <f t="shared" si="50"/>
        <v>0</v>
      </c>
      <c r="BW51" s="157">
        <f t="shared" si="51"/>
        <v>0</v>
      </c>
      <c r="BX51" s="157">
        <f t="shared" si="52"/>
        <v>0</v>
      </c>
      <c r="BY51" s="157">
        <f t="shared" si="53"/>
        <v>0</v>
      </c>
      <c r="BZ51" s="157">
        <f t="shared" si="54"/>
        <v>0</v>
      </c>
      <c r="CA51" s="157">
        <f t="shared" si="55"/>
        <v>0</v>
      </c>
      <c r="CC51" s="157">
        <f t="shared" si="19"/>
        <v>0</v>
      </c>
      <c r="CD51" s="157">
        <f t="shared" si="20"/>
        <v>0</v>
      </c>
      <c r="CE51" s="155"/>
      <c r="CF51" s="157">
        <f t="shared" si="21"/>
        <v>0</v>
      </c>
      <c r="CG51" s="157">
        <f t="shared" si="22"/>
        <v>0</v>
      </c>
      <c r="CH51" s="4"/>
      <c r="CI51" s="157">
        <f t="shared" si="56"/>
        <v>0</v>
      </c>
      <c r="CJ51" s="157">
        <f t="shared" si="57"/>
        <v>0</v>
      </c>
      <c r="CK51" s="157">
        <f t="shared" si="58"/>
        <v>0</v>
      </c>
      <c r="CL51" s="157">
        <f t="shared" si="59"/>
        <v>0</v>
      </c>
      <c r="CM51" s="157">
        <f t="shared" si="60"/>
        <v>0</v>
      </c>
      <c r="CN51" s="157">
        <f t="shared" si="61"/>
        <v>0</v>
      </c>
      <c r="CO51" s="157">
        <f t="shared" si="62"/>
        <v>0</v>
      </c>
      <c r="CP51" s="157">
        <f t="shared" si="63"/>
        <v>0</v>
      </c>
      <c r="CQ51" s="157">
        <f t="shared" si="64"/>
        <v>0</v>
      </c>
      <c r="CR51" s="157">
        <f t="shared" si="65"/>
        <v>0</v>
      </c>
      <c r="CT51" s="157">
        <f t="shared" si="23"/>
        <v>0</v>
      </c>
      <c r="CU51" s="157">
        <f t="shared" si="24"/>
        <v>0</v>
      </c>
      <c r="CV51" s="155"/>
      <c r="CW51" s="157">
        <f t="shared" si="25"/>
        <v>0</v>
      </c>
      <c r="CX51" s="157">
        <f t="shared" si="26"/>
        <v>0</v>
      </c>
      <c r="CY51" s="4"/>
      <c r="CZ51" s="157">
        <f t="shared" si="66"/>
        <v>0</v>
      </c>
      <c r="DA51" s="157">
        <f t="shared" si="67"/>
        <v>0</v>
      </c>
      <c r="DB51" s="157">
        <f t="shared" si="68"/>
        <v>0</v>
      </c>
      <c r="DC51" s="157">
        <f t="shared" si="69"/>
        <v>0</v>
      </c>
      <c r="DD51" s="157">
        <f t="shared" si="70"/>
        <v>0</v>
      </c>
      <c r="DE51" s="157">
        <f t="shared" si="71"/>
        <v>0</v>
      </c>
      <c r="DF51" s="157">
        <f t="shared" si="72"/>
        <v>0</v>
      </c>
      <c r="DG51" s="157">
        <f t="shared" si="73"/>
        <v>0</v>
      </c>
      <c r="DH51" s="157">
        <f t="shared" si="74"/>
        <v>0</v>
      </c>
      <c r="DI51" s="157">
        <f t="shared" si="75"/>
        <v>0</v>
      </c>
    </row>
    <row r="52" spans="1:113" x14ac:dyDescent="0.25">
      <c r="A52">
        <f t="shared" si="6"/>
        <v>47</v>
      </c>
      <c r="B52" s="11" t="s">
        <v>155</v>
      </c>
      <c r="C52" s="158">
        <v>1.5621899298037887</v>
      </c>
      <c r="D52" s="17">
        <v>2.1270399683779129</v>
      </c>
      <c r="E52" s="155"/>
      <c r="F52" s="162">
        <v>0.45875962082416399</v>
      </c>
      <c r="G52" s="17">
        <v>0.60985789323593609</v>
      </c>
      <c r="H52" s="4"/>
      <c r="I52" s="155">
        <v>8.308953755493681E-2</v>
      </c>
      <c r="J52" s="17">
        <v>0.1165477872137812</v>
      </c>
      <c r="K52" s="155">
        <v>3.425996240101789E-2</v>
      </c>
      <c r="L52" s="17">
        <v>4.5102013447391731E-2</v>
      </c>
      <c r="M52" s="155">
        <v>3.2292499175935491E-2</v>
      </c>
      <c r="N52" s="17">
        <v>4.6350195917895048E-2</v>
      </c>
      <c r="O52" s="169">
        <v>2.9325147638852599E-3</v>
      </c>
      <c r="P52" s="17">
        <v>4.1682068697551479E-3</v>
      </c>
      <c r="Q52" s="155">
        <v>1.3604561214098176E-2</v>
      </c>
      <c r="R52" s="17">
        <v>2.0927370978739257E-2</v>
      </c>
      <c r="S52" s="3"/>
      <c r="T52" s="104">
        <f t="shared" si="0"/>
        <v>1.7283784043305661</v>
      </c>
      <c r="U52" s="105">
        <f t="shared" si="0"/>
        <v>2.2976416505138233</v>
      </c>
      <c r="V52" s="166"/>
      <c r="W52" s="3">
        <v>0.26542776724975936</v>
      </c>
      <c r="X52" s="172">
        <f>+'I-O'!BO49/'I-O'!BO$75</f>
        <v>1.050481065186228E-3</v>
      </c>
      <c r="Y52" s="172">
        <f>+'I-O'!BP49/'I-O'!BP$75</f>
        <v>0</v>
      </c>
      <c r="Z52" s="172">
        <f>+'I-O'!BT49/'I-O'!BT$75</f>
        <v>0</v>
      </c>
      <c r="AA52" s="172">
        <f>+'I-O'!BU49/'I-O'!BU$75</f>
        <v>3.13731142260479E-3</v>
      </c>
      <c r="AB52" s="172">
        <f>+'I-O'!BW49/'I-O'!BW$75</f>
        <v>1.95237065496429E-3</v>
      </c>
      <c r="AC52" s="134"/>
      <c r="AD52" s="157">
        <f t="shared" si="7"/>
        <v>1.1087717931601388E-2</v>
      </c>
      <c r="AE52" s="157">
        <f t="shared" si="8"/>
        <v>1.8503098336697582E-2</v>
      </c>
      <c r="AF52" s="155"/>
      <c r="AG52" s="157">
        <f t="shared" si="9"/>
        <v>6.0226199355431932E-3</v>
      </c>
      <c r="AH52" s="157">
        <f t="shared" si="10"/>
        <v>8.0062458397115715E-3</v>
      </c>
      <c r="AI52" s="4"/>
      <c r="AJ52" s="157">
        <f t="shared" si="10"/>
        <v>8.01059481517703E-4</v>
      </c>
      <c r="AK52" s="157">
        <f t="shared" si="27"/>
        <v>1.2403011066671231E-3</v>
      </c>
      <c r="AL52" s="157">
        <f t="shared" si="28"/>
        <v>4.1979401250902569E-4</v>
      </c>
      <c r="AM52" s="157">
        <f t="shared" si="29"/>
        <v>5.6212901718262975E-4</v>
      </c>
      <c r="AN52" s="157">
        <f t="shared" si="30"/>
        <v>2.5970512126718585E-4</v>
      </c>
      <c r="AO52" s="157">
        <f t="shared" si="31"/>
        <v>4.4425528828896215E-4</v>
      </c>
      <c r="AP52" s="157">
        <f t="shared" si="32"/>
        <v>1.6077153288723869E-5</v>
      </c>
      <c r="AQ52" s="157">
        <f t="shared" si="33"/>
        <v>3.2299382912236854E-5</v>
      </c>
      <c r="AR52" s="157">
        <f t="shared" si="34"/>
        <v>1.0548319445276774E-4</v>
      </c>
      <c r="AS52" s="157">
        <f t="shared" si="35"/>
        <v>2.0161741828329449E-4</v>
      </c>
      <c r="AT52" s="134"/>
      <c r="AU52" s="157">
        <f t="shared" si="11"/>
        <v>7.0049235436319924E-3</v>
      </c>
      <c r="AV52" s="157">
        <f t="shared" si="12"/>
        <v>1.1689762489308834E-2</v>
      </c>
      <c r="AW52" s="155"/>
      <c r="AX52" s="157">
        <f t="shared" si="13"/>
        <v>3.8049301435232972E-3</v>
      </c>
      <c r="AY52" s="157">
        <f t="shared" si="14"/>
        <v>5.0581319189999668E-3</v>
      </c>
      <c r="AZ52" s="4"/>
      <c r="BA52" s="157">
        <f t="shared" si="36"/>
        <v>5.0608794853446919E-4</v>
      </c>
      <c r="BB52" s="157">
        <f t="shared" si="37"/>
        <v>7.8358905564533199E-4</v>
      </c>
      <c r="BC52" s="157">
        <f t="shared" si="38"/>
        <v>2.652146257544185E-4</v>
      </c>
      <c r="BD52" s="157">
        <f t="shared" si="39"/>
        <v>3.5513807361553274E-4</v>
      </c>
      <c r="BE52" s="157">
        <f t="shared" si="40"/>
        <v>1.640747473545771E-4</v>
      </c>
      <c r="BF52" s="157">
        <f t="shared" si="41"/>
        <v>2.8066860534473476E-4</v>
      </c>
      <c r="BG52" s="157">
        <f t="shared" si="42"/>
        <v>1.0157115312771748E-5</v>
      </c>
      <c r="BH52" s="157">
        <f t="shared" si="43"/>
        <v>2.0405885972428866E-5</v>
      </c>
      <c r="BI52" s="157">
        <f t="shared" si="44"/>
        <v>6.6641460112701968E-5</v>
      </c>
      <c r="BJ52" s="157">
        <f t="shared" si="45"/>
        <v>1.2737649071263574E-4</v>
      </c>
      <c r="BL52" s="157">
        <f t="shared" si="15"/>
        <v>0</v>
      </c>
      <c r="BM52" s="157">
        <f t="shared" si="16"/>
        <v>0</v>
      </c>
      <c r="BN52" s="155"/>
      <c r="BO52" s="157">
        <f t="shared" si="17"/>
        <v>0</v>
      </c>
      <c r="BP52" s="157">
        <f t="shared" si="18"/>
        <v>0</v>
      </c>
      <c r="BQ52" s="4"/>
      <c r="BR52" s="157">
        <f t="shared" si="46"/>
        <v>0</v>
      </c>
      <c r="BS52" s="157">
        <f t="shared" si="47"/>
        <v>0</v>
      </c>
      <c r="BT52" s="157">
        <f t="shared" si="48"/>
        <v>0</v>
      </c>
      <c r="BU52" s="157">
        <f t="shared" si="49"/>
        <v>0</v>
      </c>
      <c r="BV52" s="157">
        <f t="shared" si="50"/>
        <v>0</v>
      </c>
      <c r="BW52" s="157">
        <f t="shared" si="51"/>
        <v>0</v>
      </c>
      <c r="BX52" s="157">
        <f t="shared" si="52"/>
        <v>0</v>
      </c>
      <c r="BY52" s="157">
        <f t="shared" si="53"/>
        <v>0</v>
      </c>
      <c r="BZ52" s="157">
        <f t="shared" si="54"/>
        <v>0</v>
      </c>
      <c r="CA52" s="157">
        <f t="shared" si="55"/>
        <v>0</v>
      </c>
      <c r="CC52" s="157">
        <f t="shared" si="19"/>
        <v>8.0084493216091897E-3</v>
      </c>
      <c r="CD52" s="157">
        <f t="shared" si="20"/>
        <v>1.3364438582971079E-2</v>
      </c>
      <c r="CE52" s="155"/>
      <c r="CF52" s="157">
        <f t="shared" si="21"/>
        <v>4.3500246700580334E-3</v>
      </c>
      <c r="CG52" s="157">
        <f t="shared" si="22"/>
        <v>5.7827602090175182E-3</v>
      </c>
      <c r="CH52" s="4"/>
      <c r="CI52" s="157">
        <f t="shared" si="56"/>
        <v>5.7859013918858874E-4</v>
      </c>
      <c r="CJ52" s="157">
        <f t="shared" si="57"/>
        <v>8.9584607198289832E-4</v>
      </c>
      <c r="CK52" s="157">
        <f t="shared" si="58"/>
        <v>3.0320928936257229E-4</v>
      </c>
      <c r="CL52" s="157">
        <f t="shared" si="59"/>
        <v>4.0601517589858858E-4</v>
      </c>
      <c r="CM52" s="157">
        <f t="shared" si="60"/>
        <v>1.8758010575853804E-4</v>
      </c>
      <c r="CN52" s="157">
        <f t="shared" si="61"/>
        <v>3.2087720702010907E-4</v>
      </c>
      <c r="CO52" s="157">
        <f t="shared" si="62"/>
        <v>1.1612224277596855E-5</v>
      </c>
      <c r="CP52" s="157">
        <f t="shared" si="63"/>
        <v>2.332923445271479E-5</v>
      </c>
      <c r="CQ52" s="157">
        <f t="shared" si="64"/>
        <v>7.6188519789881652E-5</v>
      </c>
      <c r="CR52" s="157">
        <f t="shared" si="65"/>
        <v>1.4562445461148603E-4</v>
      </c>
      <c r="CT52" s="157">
        <f t="shared" si="23"/>
        <v>6.1920177169229639E-3</v>
      </c>
      <c r="CU52" s="157">
        <f t="shared" si="24"/>
        <v>1.0333191503028414E-2</v>
      </c>
      <c r="CV52" s="155"/>
      <c r="CW52" s="157">
        <f t="shared" si="25"/>
        <v>3.3633764470946295E-3</v>
      </c>
      <c r="CX52" s="157">
        <f t="shared" si="26"/>
        <v>4.4711469385634688E-3</v>
      </c>
      <c r="CY52" s="4"/>
      <c r="CZ52" s="157">
        <f t="shared" si="66"/>
        <v>4.4735756559333286E-4</v>
      </c>
      <c r="DA52" s="157">
        <f t="shared" si="67"/>
        <v>6.9265528526055999E-4</v>
      </c>
      <c r="DB52" s="157">
        <f t="shared" si="68"/>
        <v>2.3443705719691254E-4</v>
      </c>
      <c r="DC52" s="157">
        <f t="shared" si="69"/>
        <v>3.1392508855865357E-4</v>
      </c>
      <c r="DD52" s="157">
        <f t="shared" si="70"/>
        <v>1.4503423716062964E-4</v>
      </c>
      <c r="DE52" s="157">
        <f t="shared" si="71"/>
        <v>2.4809763676272308E-4</v>
      </c>
      <c r="DF52" s="157">
        <f t="shared" si="72"/>
        <v>8.9784046289394186E-6</v>
      </c>
      <c r="DG52" s="157">
        <f t="shared" si="73"/>
        <v>1.8037828205227788E-5</v>
      </c>
      <c r="DH52" s="157">
        <f t="shared" si="74"/>
        <v>5.8907866606851313E-5</v>
      </c>
      <c r="DI52" s="157">
        <f t="shared" si="75"/>
        <v>1.125947317339556E-4</v>
      </c>
    </row>
    <row r="53" spans="1:113" x14ac:dyDescent="0.25">
      <c r="A53">
        <f t="shared" si="6"/>
        <v>48</v>
      </c>
      <c r="B53" s="11" t="s">
        <v>156</v>
      </c>
      <c r="C53" s="158">
        <v>1.0525686520707729</v>
      </c>
      <c r="D53" s="17">
        <v>1.464798343570755</v>
      </c>
      <c r="E53" s="155"/>
      <c r="F53" s="162">
        <v>0.33480450393945821</v>
      </c>
      <c r="G53" s="17">
        <v>0.44507659381966647</v>
      </c>
      <c r="H53" s="4"/>
      <c r="I53" s="155">
        <v>6.2413171466594669E-2</v>
      </c>
      <c r="J53" s="17">
        <v>8.6831128434096613E-2</v>
      </c>
      <c r="K53" s="155">
        <v>2.7500666283874462E-2</v>
      </c>
      <c r="L53" s="17">
        <v>3.5413236086217194E-2</v>
      </c>
      <c r="M53" s="155">
        <v>2.4250551152124305E-2</v>
      </c>
      <c r="N53" s="17">
        <v>3.4509911328086854E-2</v>
      </c>
      <c r="O53" s="169">
        <v>3.8672428822330088E-4</v>
      </c>
      <c r="P53" s="17">
        <v>1.2885370540993183E-3</v>
      </c>
      <c r="Q53" s="155">
        <v>1.0275229742372631E-2</v>
      </c>
      <c r="R53" s="17">
        <v>1.5619443965693267E-2</v>
      </c>
      <c r="S53" s="3"/>
      <c r="T53" s="104">
        <f t="shared" si="0"/>
        <v>1.0486854238575101</v>
      </c>
      <c r="U53" s="105">
        <f t="shared" si="0"/>
        <v>1.394083206608338</v>
      </c>
      <c r="V53" s="166"/>
      <c r="W53" s="3">
        <v>0.31926114001652195</v>
      </c>
      <c r="X53" s="172">
        <f>+'I-O'!BO50/'I-O'!BO$75</f>
        <v>7.4792314811663102E-3</v>
      </c>
      <c r="Y53" s="172">
        <f>+'I-O'!BP50/'I-O'!BP$75</f>
        <v>7.4834662485444388E-3</v>
      </c>
      <c r="Z53" s="172">
        <f>+'I-O'!BT50/'I-O'!BT$75</f>
        <v>0</v>
      </c>
      <c r="AA53" s="172">
        <f>+'I-O'!BU50/'I-O'!BU$75</f>
        <v>2.8176699012802098E-5</v>
      </c>
      <c r="AB53" s="172">
        <f>+'I-O'!BW50/'I-O'!BW$75</f>
        <v>0</v>
      </c>
      <c r="AC53" s="134"/>
      <c r="AD53" s="157">
        <f t="shared" si="7"/>
        <v>1.6410509414834826E-3</v>
      </c>
      <c r="AE53" s="157">
        <f t="shared" si="8"/>
        <v>2.2344152116753105E-3</v>
      </c>
      <c r="AF53" s="155"/>
      <c r="AG53" s="157">
        <f t="shared" si="9"/>
        <v>4.8191829514779782E-4</v>
      </c>
      <c r="AH53" s="157">
        <f t="shared" si="10"/>
        <v>6.4064416929871502E-4</v>
      </c>
      <c r="AI53" s="4"/>
      <c r="AJ53" s="157">
        <f t="shared" si="10"/>
        <v>8.7283985916541113E-5</v>
      </c>
      <c r="AK53" s="157">
        <f t="shared" si="27"/>
        <v>1.2243124365743071E-4</v>
      </c>
      <c r="AL53" s="157">
        <f t="shared" si="28"/>
        <v>3.5989441796261396E-5</v>
      </c>
      <c r="AM53" s="157">
        <f t="shared" si="29"/>
        <v>4.7378811128259644E-5</v>
      </c>
      <c r="AN53" s="157">
        <f t="shared" si="30"/>
        <v>3.3922658931862102E-5</v>
      </c>
      <c r="AO53" s="157">
        <f t="shared" si="31"/>
        <v>4.8690003179420746E-5</v>
      </c>
      <c r="AP53" s="157">
        <f t="shared" si="32"/>
        <v>3.0805512328405276E-6</v>
      </c>
      <c r="AQ53" s="157">
        <f t="shared" si="33"/>
        <v>4.378622392456941E-6</v>
      </c>
      <c r="AR53" s="157">
        <f t="shared" si="34"/>
        <v>1.4291333955577094E-5</v>
      </c>
      <c r="AS53" s="157">
        <f t="shared" si="35"/>
        <v>2.1983806957293368E-5</v>
      </c>
      <c r="AT53" s="134"/>
      <c r="AU53" s="157">
        <f t="shared" si="11"/>
        <v>0</v>
      </c>
      <c r="AV53" s="157">
        <f t="shared" si="12"/>
        <v>0</v>
      </c>
      <c r="AW53" s="155"/>
      <c r="AX53" s="157">
        <f t="shared" si="13"/>
        <v>0</v>
      </c>
      <c r="AY53" s="157">
        <f t="shared" si="14"/>
        <v>0</v>
      </c>
      <c r="AZ53" s="4"/>
      <c r="BA53" s="157">
        <f t="shared" si="36"/>
        <v>0</v>
      </c>
      <c r="BB53" s="157">
        <f t="shared" si="37"/>
        <v>0</v>
      </c>
      <c r="BC53" s="157">
        <f t="shared" si="38"/>
        <v>0</v>
      </c>
      <c r="BD53" s="157">
        <f t="shared" si="39"/>
        <v>0</v>
      </c>
      <c r="BE53" s="157">
        <f t="shared" si="40"/>
        <v>0</v>
      </c>
      <c r="BF53" s="157">
        <f t="shared" si="41"/>
        <v>0</v>
      </c>
      <c r="BG53" s="157">
        <f t="shared" si="42"/>
        <v>0</v>
      </c>
      <c r="BH53" s="157">
        <f t="shared" si="43"/>
        <v>0</v>
      </c>
      <c r="BI53" s="157">
        <f t="shared" si="44"/>
        <v>0</v>
      </c>
      <c r="BJ53" s="157">
        <f t="shared" si="45"/>
        <v>0</v>
      </c>
      <c r="BL53" s="157">
        <f t="shared" si="15"/>
        <v>0</v>
      </c>
      <c r="BM53" s="157">
        <f t="shared" si="16"/>
        <v>0</v>
      </c>
      <c r="BN53" s="155"/>
      <c r="BO53" s="157">
        <f t="shared" si="17"/>
        <v>0</v>
      </c>
      <c r="BP53" s="157">
        <f t="shared" si="18"/>
        <v>0</v>
      </c>
      <c r="BQ53" s="4"/>
      <c r="BR53" s="157">
        <f t="shared" si="46"/>
        <v>0</v>
      </c>
      <c r="BS53" s="157">
        <f t="shared" si="47"/>
        <v>0</v>
      </c>
      <c r="BT53" s="157">
        <f t="shared" si="48"/>
        <v>0</v>
      </c>
      <c r="BU53" s="157">
        <f t="shared" si="49"/>
        <v>0</v>
      </c>
      <c r="BV53" s="157">
        <f t="shared" si="50"/>
        <v>0</v>
      </c>
      <c r="BW53" s="157">
        <f t="shared" si="51"/>
        <v>0</v>
      </c>
      <c r="BX53" s="157">
        <f t="shared" si="52"/>
        <v>0</v>
      </c>
      <c r="BY53" s="157">
        <f t="shared" si="53"/>
        <v>0</v>
      </c>
      <c r="BZ53" s="157">
        <f t="shared" si="54"/>
        <v>0</v>
      </c>
      <c r="CA53" s="157">
        <f t="shared" si="55"/>
        <v>0</v>
      </c>
      <c r="CC53" s="157">
        <f t="shared" si="19"/>
        <v>4.901076311051601E-3</v>
      </c>
      <c r="CD53" s="157">
        <f t="shared" si="20"/>
        <v>6.6731867891289577E-3</v>
      </c>
      <c r="CE53" s="155"/>
      <c r="CF53" s="157">
        <f t="shared" si="21"/>
        <v>1.4392717986414919E-3</v>
      </c>
      <c r="CG53" s="157">
        <f t="shared" si="22"/>
        <v>1.9133141346147947E-3</v>
      </c>
      <c r="CH53" s="4"/>
      <c r="CI53" s="157">
        <f t="shared" si="56"/>
        <v>2.6067775527005294E-4</v>
      </c>
      <c r="CJ53" s="157">
        <f t="shared" si="57"/>
        <v>3.6564670410510827E-4</v>
      </c>
      <c r="CK53" s="157">
        <f t="shared" si="58"/>
        <v>1.0748417137872405E-4</v>
      </c>
      <c r="CL53" s="157">
        <f t="shared" si="59"/>
        <v>1.4149906197097692E-4</v>
      </c>
      <c r="CM53" s="157">
        <f t="shared" si="60"/>
        <v>1.0131162652911818E-4</v>
      </c>
      <c r="CN53" s="157">
        <f t="shared" si="61"/>
        <v>1.4541499909318203E-4</v>
      </c>
      <c r="CO53" s="157">
        <f t="shared" si="62"/>
        <v>9.200212065694415E-6</v>
      </c>
      <c r="CP53" s="157">
        <f t="shared" si="63"/>
        <v>1.3076963024262582E-5</v>
      </c>
      <c r="CQ53" s="157">
        <f t="shared" si="64"/>
        <v>4.2681745296516295E-5</v>
      </c>
      <c r="CR53" s="157">
        <f t="shared" si="65"/>
        <v>6.5655680016686658E-5</v>
      </c>
      <c r="CT53" s="157">
        <f t="shared" si="23"/>
        <v>3.0499737764296412E-3</v>
      </c>
      <c r="CU53" s="157">
        <f t="shared" si="24"/>
        <v>4.1527704161972087E-3</v>
      </c>
      <c r="CV53" s="155"/>
      <c r="CW53" s="157">
        <f t="shared" si="25"/>
        <v>8.9566882137964243E-4</v>
      </c>
      <c r="CX53" s="157">
        <f t="shared" si="26"/>
        <v>1.1906686544521866E-3</v>
      </c>
      <c r="CY53" s="4"/>
      <c r="CZ53" s="157">
        <f t="shared" si="66"/>
        <v>1.6222157485681194E-4</v>
      </c>
      <c r="DA53" s="157">
        <f t="shared" si="67"/>
        <v>2.2754447965720872E-4</v>
      </c>
      <c r="DB53" s="157">
        <f t="shared" si="68"/>
        <v>6.6888145231927247E-5</v>
      </c>
      <c r="DC53" s="157">
        <f t="shared" si="69"/>
        <v>8.8055847534492413E-5</v>
      </c>
      <c r="DD53" s="157">
        <f t="shared" si="70"/>
        <v>6.3046927766554966E-5</v>
      </c>
      <c r="DE53" s="157">
        <f t="shared" si="71"/>
        <v>9.0492762361943919E-5</v>
      </c>
      <c r="DF53" s="157">
        <f t="shared" si="72"/>
        <v>5.7253557702591156E-6</v>
      </c>
      <c r="DG53" s="157">
        <f t="shared" si="73"/>
        <v>8.1378847763305109E-6</v>
      </c>
      <c r="DH53" s="157">
        <f t="shared" si="74"/>
        <v>2.6561146088070632E-5</v>
      </c>
      <c r="DI53" s="157">
        <f t="shared" si="75"/>
        <v>4.0857984984441834E-5</v>
      </c>
    </row>
    <row r="54" spans="1:113" x14ac:dyDescent="0.25">
      <c r="A54">
        <f t="shared" si="6"/>
        <v>49</v>
      </c>
      <c r="B54" s="11" t="s">
        <v>157</v>
      </c>
      <c r="C54" s="158">
        <v>1.3132425064011306</v>
      </c>
      <c r="D54" s="17">
        <v>1.9557646392414709</v>
      </c>
      <c r="E54" s="155"/>
      <c r="F54" s="162">
        <v>0.52184330336074891</v>
      </c>
      <c r="G54" s="17">
        <v>0.69371898297223622</v>
      </c>
      <c r="H54" s="4"/>
      <c r="I54" s="155">
        <v>8.3032808851847328E-2</v>
      </c>
      <c r="J54" s="17">
        <v>0.12109187668190854</v>
      </c>
      <c r="K54" s="155">
        <v>3.7955492467253757E-2</v>
      </c>
      <c r="L54" s="17">
        <v>5.0288425612244239E-2</v>
      </c>
      <c r="M54" s="155">
        <v>3.0754854905490906E-2</v>
      </c>
      <c r="N54" s="17">
        <v>4.6745614711876673E-2</v>
      </c>
      <c r="O54" s="169">
        <v>1.2338896311805746E-3</v>
      </c>
      <c r="P54" s="17">
        <v>2.6395008079129305E-3</v>
      </c>
      <c r="Q54" s="155">
        <v>1.3088571847922127E-2</v>
      </c>
      <c r="R54" s="17">
        <v>2.1418335549874705E-2</v>
      </c>
      <c r="S54" s="3"/>
      <c r="T54" s="104">
        <f t="shared" si="0"/>
        <v>1.2379240706297947</v>
      </c>
      <c r="U54" s="105">
        <f t="shared" si="0"/>
        <v>1.6456499906074016</v>
      </c>
      <c r="V54" s="166"/>
      <c r="W54" s="3">
        <v>0.42154710110391569</v>
      </c>
      <c r="X54" s="172">
        <f>+'I-O'!BO51/'I-O'!BO$75</f>
        <v>2.4038544569690082E-3</v>
      </c>
      <c r="Y54" s="172">
        <f>+'I-O'!BP51/'I-O'!BP$75</f>
        <v>1.9857715616019849E-3</v>
      </c>
      <c r="Z54" s="172">
        <f>+'I-O'!BT51/'I-O'!BT$75</f>
        <v>0</v>
      </c>
      <c r="AA54" s="172">
        <f>+'I-O'!BU51/'I-O'!BU$75</f>
        <v>8.4361400411354265E-6</v>
      </c>
      <c r="AB54" s="172">
        <f>+'I-O'!BW51/'I-O'!BW$75</f>
        <v>2.6091736151345917E-5</v>
      </c>
      <c r="AC54" s="134"/>
      <c r="AD54" s="157">
        <f t="shared" si="7"/>
        <v>7.8724045986565128E-3</v>
      </c>
      <c r="AE54" s="157">
        <f t="shared" si="8"/>
        <v>1.0955565884794656E-2</v>
      </c>
      <c r="AF54" s="155"/>
      <c r="AG54" s="157">
        <f t="shared" si="9"/>
        <v>2.5040803859002658E-3</v>
      </c>
      <c r="AH54" s="157">
        <f t="shared" si="10"/>
        <v>3.3288308720263201E-3</v>
      </c>
      <c r="AI54" s="4"/>
      <c r="AJ54" s="157">
        <f t="shared" si="10"/>
        <v>4.6680255687238571E-4</v>
      </c>
      <c r="AK54" s="157">
        <f t="shared" si="27"/>
        <v>6.4943010932949055E-4</v>
      </c>
      <c r="AL54" s="157">
        <f t="shared" si="28"/>
        <v>2.0568384902340281E-4</v>
      </c>
      <c r="AM54" s="157">
        <f t="shared" si="29"/>
        <v>2.6486379018601043E-4</v>
      </c>
      <c r="AN54" s="157">
        <f t="shared" si="30"/>
        <v>1.8137548561260203E-4</v>
      </c>
      <c r="AO54" s="157">
        <f t="shared" si="31"/>
        <v>2.5810761521728509E-4</v>
      </c>
      <c r="AP54" s="157">
        <f t="shared" si="32"/>
        <v>2.8924004710113457E-6</v>
      </c>
      <c r="AQ54" s="157">
        <f t="shared" si="33"/>
        <v>9.6372668996689184E-6</v>
      </c>
      <c r="AR54" s="157">
        <f t="shared" si="34"/>
        <v>7.6850821765369779E-5</v>
      </c>
      <c r="AS54" s="157">
        <f t="shared" si="35"/>
        <v>1.1682143702652624E-4</v>
      </c>
      <c r="AT54" s="134"/>
      <c r="AU54" s="157">
        <f t="shared" si="11"/>
        <v>7.8768619820475429E-3</v>
      </c>
      <c r="AV54" s="157">
        <f t="shared" si="12"/>
        <v>1.0961768965035546E-2</v>
      </c>
      <c r="AW54" s="155"/>
      <c r="AX54" s="157">
        <f t="shared" si="13"/>
        <v>2.5054982050915992E-3</v>
      </c>
      <c r="AY54" s="157">
        <f t="shared" si="14"/>
        <v>3.3307156678665964E-3</v>
      </c>
      <c r="AZ54" s="4"/>
      <c r="BA54" s="157">
        <f t="shared" si="36"/>
        <v>4.67066862134878E-4</v>
      </c>
      <c r="BB54" s="157">
        <f t="shared" si="37"/>
        <v>6.497978189595893E-4</v>
      </c>
      <c r="BC54" s="157">
        <f t="shared" si="38"/>
        <v>2.0580030794785855E-4</v>
      </c>
      <c r="BD54" s="157">
        <f t="shared" si="39"/>
        <v>2.6501375700294235E-4</v>
      </c>
      <c r="BE54" s="157">
        <f t="shared" si="40"/>
        <v>1.8147818105552268E-4</v>
      </c>
      <c r="BF54" s="157">
        <f t="shared" si="41"/>
        <v>2.5825375666399937E-4</v>
      </c>
      <c r="BG54" s="157">
        <f t="shared" si="42"/>
        <v>2.8940381584114436E-6</v>
      </c>
      <c r="BH54" s="157">
        <f t="shared" si="43"/>
        <v>9.6427235543511287E-6</v>
      </c>
      <c r="BI54" s="157">
        <f t="shared" si="44"/>
        <v>7.6894334973085551E-5</v>
      </c>
      <c r="BJ54" s="157">
        <f t="shared" si="45"/>
        <v>1.1688758173829666E-4</v>
      </c>
      <c r="BL54" s="157">
        <f t="shared" si="15"/>
        <v>0</v>
      </c>
      <c r="BM54" s="157">
        <f t="shared" si="16"/>
        <v>0</v>
      </c>
      <c r="BN54" s="155"/>
      <c r="BO54" s="157">
        <f t="shared" si="17"/>
        <v>0</v>
      </c>
      <c r="BP54" s="157">
        <f t="shared" si="18"/>
        <v>0</v>
      </c>
      <c r="BQ54" s="4"/>
      <c r="BR54" s="157">
        <f t="shared" si="46"/>
        <v>0</v>
      </c>
      <c r="BS54" s="157">
        <f t="shared" si="47"/>
        <v>0</v>
      </c>
      <c r="BT54" s="157">
        <f t="shared" si="48"/>
        <v>0</v>
      </c>
      <c r="BU54" s="157">
        <f t="shared" si="49"/>
        <v>0</v>
      </c>
      <c r="BV54" s="157">
        <f t="shared" si="50"/>
        <v>0</v>
      </c>
      <c r="BW54" s="157">
        <f t="shared" si="51"/>
        <v>0</v>
      </c>
      <c r="BX54" s="157">
        <f t="shared" si="52"/>
        <v>0</v>
      </c>
      <c r="BY54" s="157">
        <f t="shared" si="53"/>
        <v>0</v>
      </c>
      <c r="BZ54" s="157">
        <f t="shared" si="54"/>
        <v>0</v>
      </c>
      <c r="CA54" s="157">
        <f t="shared" si="55"/>
        <v>0</v>
      </c>
      <c r="CC54" s="157">
        <f t="shared" si="19"/>
        <v>2.9657910099708982E-5</v>
      </c>
      <c r="CD54" s="157">
        <f t="shared" si="20"/>
        <v>4.1273182041244244E-5</v>
      </c>
      <c r="CE54" s="155"/>
      <c r="CF54" s="157">
        <f t="shared" si="21"/>
        <v>9.433685735632629E-6</v>
      </c>
      <c r="CG54" s="157">
        <f t="shared" si="22"/>
        <v>1.2540789221699917E-5</v>
      </c>
      <c r="CH54" s="4"/>
      <c r="CI54" s="157">
        <f t="shared" si="56"/>
        <v>1.7585971468486461E-6</v>
      </c>
      <c r="CJ54" s="157">
        <f t="shared" si="57"/>
        <v>2.446614570829502E-6</v>
      </c>
      <c r="CK54" s="157">
        <f t="shared" si="58"/>
        <v>7.7487799653224554E-7</v>
      </c>
      <c r="CL54" s="157">
        <f t="shared" si="59"/>
        <v>9.978280942706436E-7</v>
      </c>
      <c r="CM54" s="157">
        <f t="shared" si="60"/>
        <v>6.8330048070796764E-7</v>
      </c>
      <c r="CN54" s="157">
        <f t="shared" si="61"/>
        <v>9.7237538444999288E-7</v>
      </c>
      <c r="CO54" s="157">
        <f t="shared" si="62"/>
        <v>1.0896613870208075E-8</v>
      </c>
      <c r="CP54" s="157">
        <f t="shared" si="63"/>
        <v>3.6306720740199189E-8</v>
      </c>
      <c r="CQ54" s="157">
        <f t="shared" si="64"/>
        <v>2.8952205573822564E-7</v>
      </c>
      <c r="CR54" s="157">
        <f t="shared" si="65"/>
        <v>4.4010437136866718E-7</v>
      </c>
      <c r="CT54" s="157">
        <f t="shared" si="23"/>
        <v>0</v>
      </c>
      <c r="CU54" s="157">
        <f t="shared" si="24"/>
        <v>0</v>
      </c>
      <c r="CV54" s="155"/>
      <c r="CW54" s="157">
        <f t="shared" si="25"/>
        <v>0</v>
      </c>
      <c r="CX54" s="157">
        <f t="shared" si="26"/>
        <v>0</v>
      </c>
      <c r="CY54" s="4"/>
      <c r="CZ54" s="157">
        <f t="shared" si="66"/>
        <v>0</v>
      </c>
      <c r="DA54" s="157">
        <f t="shared" si="67"/>
        <v>0</v>
      </c>
      <c r="DB54" s="157">
        <f t="shared" si="68"/>
        <v>0</v>
      </c>
      <c r="DC54" s="157">
        <f t="shared" si="69"/>
        <v>0</v>
      </c>
      <c r="DD54" s="157">
        <f t="shared" si="70"/>
        <v>0</v>
      </c>
      <c r="DE54" s="157">
        <f t="shared" si="71"/>
        <v>0</v>
      </c>
      <c r="DF54" s="157">
        <f t="shared" si="72"/>
        <v>0</v>
      </c>
      <c r="DG54" s="157">
        <f t="shared" si="73"/>
        <v>0</v>
      </c>
      <c r="DH54" s="157">
        <f t="shared" si="74"/>
        <v>0</v>
      </c>
      <c r="DI54" s="157">
        <f t="shared" si="75"/>
        <v>0</v>
      </c>
    </row>
    <row r="55" spans="1:113" x14ac:dyDescent="0.25">
      <c r="A55">
        <f t="shared" si="6"/>
        <v>50</v>
      </c>
      <c r="B55" s="11" t="s">
        <v>158</v>
      </c>
      <c r="C55" s="158">
        <v>1.16074085677494</v>
      </c>
      <c r="D55" s="17">
        <v>1.7506544736390244</v>
      </c>
      <c r="E55" s="155"/>
      <c r="F55" s="162">
        <v>0.47911574525999501</v>
      </c>
      <c r="G55" s="17">
        <v>0.63691856422651283</v>
      </c>
      <c r="H55" s="4"/>
      <c r="I55" s="155">
        <v>6.9659840083946101E-2</v>
      </c>
      <c r="J55" s="17">
        <v>0.10460270229922465</v>
      </c>
      <c r="K55" s="155">
        <v>3.3366579445150334E-2</v>
      </c>
      <c r="L55" s="17">
        <v>4.4689714985933542E-2</v>
      </c>
      <c r="M55" s="155">
        <v>2.5624897651641096E-2</v>
      </c>
      <c r="N55" s="17">
        <v>4.0306363817000243E-2</v>
      </c>
      <c r="O55" s="169">
        <v>3.1339270076027447E-4</v>
      </c>
      <c r="P55" s="17">
        <v>1.6039150513371236E-3</v>
      </c>
      <c r="Q55" s="155">
        <v>1.0354970286394382E-2</v>
      </c>
      <c r="R55" s="17">
        <v>1.8002708444953726E-2</v>
      </c>
      <c r="S55" s="3"/>
      <c r="T55" s="104">
        <f t="shared" si="0"/>
        <v>1.1517249968832945</v>
      </c>
      <c r="U55" s="105">
        <f t="shared" si="0"/>
        <v>1.5310601637619421</v>
      </c>
      <c r="V55" s="166"/>
      <c r="W55" s="3">
        <v>0.4159983907239484</v>
      </c>
      <c r="X55" s="172">
        <f>+'I-O'!BO52/'I-O'!BO$75</f>
        <v>5.5316066720951296E-2</v>
      </c>
      <c r="Y55" s="172">
        <f>+'I-O'!BP52/'I-O'!BP$75</f>
        <v>4.9267912404166048E-3</v>
      </c>
      <c r="Z55" s="172">
        <f>+'I-O'!BT52/'I-O'!BT$75</f>
        <v>0</v>
      </c>
      <c r="AA55" s="172">
        <f>+'I-O'!BU52/'I-O'!BU$75</f>
        <v>4.5410487955435192E-4</v>
      </c>
      <c r="AB55" s="172">
        <f>+'I-O'!BW52/'I-O'!BW$75</f>
        <v>1.4190869784268485E-2</v>
      </c>
      <c r="AC55" s="134"/>
      <c r="AD55" s="157">
        <f t="shared" si="7"/>
        <v>3.1568438520935089E-3</v>
      </c>
      <c r="AE55" s="157">
        <f t="shared" si="8"/>
        <v>4.701373544822994E-3</v>
      </c>
      <c r="AF55" s="155"/>
      <c r="AG55" s="157">
        <f t="shared" si="9"/>
        <v>1.2544353506231665E-3</v>
      </c>
      <c r="AH55" s="157">
        <f t="shared" si="10"/>
        <v>1.6675994691018176E-3</v>
      </c>
      <c r="AI55" s="4"/>
      <c r="AJ55" s="157">
        <f t="shared" si="10"/>
        <v>1.9959878763316891E-4</v>
      </c>
      <c r="AK55" s="157">
        <f t="shared" si="27"/>
        <v>2.9108724746454738E-4</v>
      </c>
      <c r="AL55" s="157">
        <f t="shared" si="28"/>
        <v>9.1239479733861562E-5</v>
      </c>
      <c r="AM55" s="157">
        <f t="shared" si="29"/>
        <v>1.2088605604194774E-4</v>
      </c>
      <c r="AN55" s="157">
        <f t="shared" si="30"/>
        <v>7.3930195037999482E-5</v>
      </c>
      <c r="AO55" s="157">
        <f t="shared" si="31"/>
        <v>1.1236965426890078E-4</v>
      </c>
      <c r="AP55" s="157">
        <f t="shared" si="32"/>
        <v>2.9660910893212699E-6</v>
      </c>
      <c r="AQ55" s="157">
        <f t="shared" si="33"/>
        <v>6.3449757812747956E-6</v>
      </c>
      <c r="AR55" s="157">
        <f t="shared" si="34"/>
        <v>3.1463021771986693E-5</v>
      </c>
      <c r="AS55" s="157">
        <f t="shared" si="35"/>
        <v>5.1486561372424059E-5</v>
      </c>
      <c r="AT55" s="134"/>
      <c r="AU55" s="157">
        <f t="shared" si="11"/>
        <v>2.6077996226982775E-3</v>
      </c>
      <c r="AV55" s="157">
        <f t="shared" si="12"/>
        <v>3.8837018017924782E-3</v>
      </c>
      <c r="AW55" s="155"/>
      <c r="AX55" s="157">
        <f t="shared" si="13"/>
        <v>1.0362615914262126E-3</v>
      </c>
      <c r="AY55" s="157">
        <f t="shared" si="14"/>
        <v>1.3775674281297182E-3</v>
      </c>
      <c r="AZ55" s="4"/>
      <c r="BA55" s="157">
        <f t="shared" si="36"/>
        <v>1.6488419049793198E-4</v>
      </c>
      <c r="BB55" s="157">
        <f t="shared" si="37"/>
        <v>2.4046080505594851E-4</v>
      </c>
      <c r="BC55" s="157">
        <f t="shared" si="38"/>
        <v>7.5370937548070868E-5</v>
      </c>
      <c r="BD55" s="157">
        <f t="shared" si="39"/>
        <v>9.9861325458531488E-5</v>
      </c>
      <c r="BE55" s="157">
        <f t="shared" si="40"/>
        <v>6.1072116252519141E-5</v>
      </c>
      <c r="BF55" s="157">
        <f t="shared" si="41"/>
        <v>9.2826112324448064E-5</v>
      </c>
      <c r="BG55" s="157">
        <f t="shared" si="42"/>
        <v>2.4502229397539467E-6</v>
      </c>
      <c r="BH55" s="157">
        <f t="shared" si="43"/>
        <v>5.2414456411789605E-6</v>
      </c>
      <c r="BI55" s="157">
        <f t="shared" si="44"/>
        <v>2.5990913757588099E-5</v>
      </c>
      <c r="BJ55" s="157">
        <f t="shared" si="45"/>
        <v>4.2531921631789999E-5</v>
      </c>
      <c r="BL55" s="157">
        <f t="shared" si="15"/>
        <v>0</v>
      </c>
      <c r="BM55" s="157">
        <f t="shared" si="16"/>
        <v>0</v>
      </c>
      <c r="BN55" s="155"/>
      <c r="BO55" s="157">
        <f t="shared" si="17"/>
        <v>0</v>
      </c>
      <c r="BP55" s="157">
        <f t="shared" si="18"/>
        <v>0</v>
      </c>
      <c r="BQ55" s="4"/>
      <c r="BR55" s="157">
        <f t="shared" si="46"/>
        <v>0</v>
      </c>
      <c r="BS55" s="157">
        <f t="shared" si="47"/>
        <v>0</v>
      </c>
      <c r="BT55" s="157">
        <f t="shared" si="48"/>
        <v>0</v>
      </c>
      <c r="BU55" s="157">
        <f t="shared" si="49"/>
        <v>0</v>
      </c>
      <c r="BV55" s="157">
        <f t="shared" si="50"/>
        <v>0</v>
      </c>
      <c r="BW55" s="157">
        <f t="shared" si="51"/>
        <v>0</v>
      </c>
      <c r="BX55" s="157">
        <f t="shared" si="52"/>
        <v>0</v>
      </c>
      <c r="BY55" s="157">
        <f t="shared" si="53"/>
        <v>0</v>
      </c>
      <c r="BZ55" s="157">
        <f t="shared" si="54"/>
        <v>0</v>
      </c>
      <c r="CA55" s="157">
        <f t="shared" si="55"/>
        <v>0</v>
      </c>
      <c r="CC55" s="157">
        <f t="shared" si="19"/>
        <v>1.1078697691971624E-5</v>
      </c>
      <c r="CD55" s="157">
        <f t="shared" si="20"/>
        <v>1.6499104384141754E-5</v>
      </c>
      <c r="CE55" s="155"/>
      <c r="CF55" s="157">
        <f t="shared" si="21"/>
        <v>4.4023431866799954E-6</v>
      </c>
      <c r="CG55" s="157">
        <f t="shared" si="22"/>
        <v>5.8523104895478271E-6</v>
      </c>
      <c r="CH55" s="4"/>
      <c r="CI55" s="157">
        <f t="shared" si="56"/>
        <v>7.004764034830133E-7</v>
      </c>
      <c r="CJ55" s="157">
        <f t="shared" si="57"/>
        <v>1.0215480295324819E-6</v>
      </c>
      <c r="CK55" s="157">
        <f t="shared" si="58"/>
        <v>3.2019784978401349E-7</v>
      </c>
      <c r="CL55" s="157">
        <f t="shared" si="59"/>
        <v>4.2424020091311393E-7</v>
      </c>
      <c r="CM55" s="157">
        <f t="shared" si="60"/>
        <v>2.594522629275221E-7</v>
      </c>
      <c r="CN55" s="157">
        <f t="shared" si="61"/>
        <v>3.9435255201835205E-7</v>
      </c>
      <c r="CO55" s="157">
        <f t="shared" si="62"/>
        <v>1.0409265723944268E-8</v>
      </c>
      <c r="CP55" s="157">
        <f t="shared" si="63"/>
        <v>2.226719845424358E-8</v>
      </c>
      <c r="CQ55" s="157">
        <f t="shared" si="64"/>
        <v>1.1041702504753376E-7</v>
      </c>
      <c r="CR55" s="157">
        <f t="shared" si="65"/>
        <v>1.8068807814677236E-7</v>
      </c>
      <c r="CT55" s="157">
        <f t="shared" si="23"/>
        <v>3.42647769797505E-5</v>
      </c>
      <c r="CU55" s="157">
        <f t="shared" si="24"/>
        <v>5.1029294941220693E-5</v>
      </c>
      <c r="CV55" s="155"/>
      <c r="CW55" s="157">
        <f t="shared" si="25"/>
        <v>1.3615797783635427E-5</v>
      </c>
      <c r="CX55" s="157">
        <f t="shared" si="26"/>
        <v>1.8100332666891619E-5</v>
      </c>
      <c r="CY55" s="4"/>
      <c r="CZ55" s="157">
        <f t="shared" si="66"/>
        <v>2.1664701404675402E-6</v>
      </c>
      <c r="DA55" s="157">
        <f t="shared" si="67"/>
        <v>3.1594972964556748E-6</v>
      </c>
      <c r="DB55" s="157">
        <f t="shared" si="68"/>
        <v>9.9032469494998247E-7</v>
      </c>
      <c r="DC55" s="157">
        <f t="shared" si="69"/>
        <v>1.3121123325412629E-6</v>
      </c>
      <c r="DD55" s="157">
        <f t="shared" si="70"/>
        <v>8.0244755956699536E-7</v>
      </c>
      <c r="DE55" s="157">
        <f t="shared" si="71"/>
        <v>1.2196742452947601E-6</v>
      </c>
      <c r="DF55" s="157">
        <f t="shared" si="72"/>
        <v>3.219432269664508E-8</v>
      </c>
      <c r="DG55" s="157">
        <f t="shared" si="73"/>
        <v>6.8869158651328562E-8</v>
      </c>
      <c r="DH55" s="157">
        <f t="shared" si="74"/>
        <v>3.4150356325391818E-7</v>
      </c>
      <c r="DI55" s="157">
        <f t="shared" si="75"/>
        <v>5.5884155996832323E-7</v>
      </c>
    </row>
    <row r="56" spans="1:113" x14ac:dyDescent="0.25">
      <c r="A56">
        <f t="shared" si="6"/>
        <v>51</v>
      </c>
      <c r="B56" s="11" t="s">
        <v>12</v>
      </c>
      <c r="C56" s="158">
        <v>1.6391653435387921</v>
      </c>
      <c r="D56" s="17">
        <v>2.2345213624053506</v>
      </c>
      <c r="E56" s="155"/>
      <c r="F56" s="162">
        <v>0.48353595258675741</v>
      </c>
      <c r="G56" s="17">
        <v>0.64279462263619269</v>
      </c>
      <c r="H56" s="4"/>
      <c r="I56" s="155">
        <v>9.6290534803456729E-2</v>
      </c>
      <c r="J56" s="17">
        <v>0.13155577151197637</v>
      </c>
      <c r="K56" s="155">
        <v>3.6232260407330054E-2</v>
      </c>
      <c r="L56" s="17">
        <v>4.7659860489666007E-2</v>
      </c>
      <c r="M56" s="155">
        <v>3.8367663846070599E-2</v>
      </c>
      <c r="N56" s="17">
        <v>5.318457770847114E-2</v>
      </c>
      <c r="O56" s="169">
        <v>5.5544722049448029E-3</v>
      </c>
      <c r="P56" s="17">
        <v>6.856900606211502E-3</v>
      </c>
      <c r="Q56" s="155">
        <v>1.6136138345111271E-2</v>
      </c>
      <c r="R56" s="17">
        <v>2.3854432707627733E-2</v>
      </c>
      <c r="S56" s="3"/>
      <c r="T56" s="104">
        <f t="shared" si="0"/>
        <v>1.7797371769820893</v>
      </c>
      <c r="U56" s="105">
        <f t="shared" si="0"/>
        <v>2.3659160832814066</v>
      </c>
      <c r="V56" s="166"/>
      <c r="W56" s="3">
        <v>0.27168952744286218</v>
      </c>
      <c r="X56" s="172">
        <f>+'I-O'!BO53/'I-O'!BO$75</f>
        <v>7.2934190331035556E-2</v>
      </c>
      <c r="Y56" s="172">
        <f>+'I-O'!BP53/'I-O'!BP$75</f>
        <v>5.4746392794308976E-3</v>
      </c>
      <c r="Z56" s="172">
        <f>+'I-O'!BT53/'I-O'!BT$75</f>
        <v>0</v>
      </c>
      <c r="AA56" s="172">
        <f>+'I-O'!BU53/'I-O'!BU$75</f>
        <v>1.9833645934955009E-4</v>
      </c>
      <c r="AB56" s="172">
        <f>+'I-O'!BW53/'I-O'!BW$75</f>
        <v>1.7979074654980442E-5</v>
      </c>
      <c r="AC56" s="134"/>
      <c r="AD56" s="157">
        <f t="shared" si="7"/>
        <v>6.4207618679096759E-2</v>
      </c>
      <c r="AE56" s="157">
        <f t="shared" si="8"/>
        <v>9.6839319669148147E-2</v>
      </c>
      <c r="AF56" s="155"/>
      <c r="AG56" s="157">
        <f t="shared" si="9"/>
        <v>2.6502798531860189E-2</v>
      </c>
      <c r="AH56" s="157">
        <f t="shared" si="10"/>
        <v>3.5231829794566287E-2</v>
      </c>
      <c r="AI56" s="4"/>
      <c r="AJ56" s="157">
        <f t="shared" si="10"/>
        <v>3.85330836185436E-3</v>
      </c>
      <c r="AK56" s="157">
        <f t="shared" si="27"/>
        <v>5.7862100595757167E-3</v>
      </c>
      <c r="AL56" s="157">
        <f t="shared" si="28"/>
        <v>1.845707934837858E-3</v>
      </c>
      <c r="AM56" s="157">
        <f t="shared" si="29"/>
        <v>2.472059255902197E-3</v>
      </c>
      <c r="AN56" s="157">
        <f t="shared" si="30"/>
        <v>1.417468548215727E-3</v>
      </c>
      <c r="AO56" s="157">
        <f t="shared" si="31"/>
        <v>2.2295895101801227E-3</v>
      </c>
      <c r="AP56" s="157">
        <f t="shared" si="32"/>
        <v>1.7335651545114467E-5</v>
      </c>
      <c r="AQ56" s="157">
        <f t="shared" si="33"/>
        <v>8.8722271994502356E-5</v>
      </c>
      <c r="AR56" s="157">
        <f t="shared" si="34"/>
        <v>5.727962272556598E-4</v>
      </c>
      <c r="AS56" s="157">
        <f t="shared" si="35"/>
        <v>9.9583902149889369E-4</v>
      </c>
      <c r="AT56" s="134"/>
      <c r="AU56" s="157">
        <f t="shared" si="11"/>
        <v>5.7187278855524394E-3</v>
      </c>
      <c r="AV56" s="157">
        <f t="shared" si="12"/>
        <v>8.6251091257208874E-3</v>
      </c>
      <c r="AW56" s="155"/>
      <c r="AX56" s="157">
        <f t="shared" si="13"/>
        <v>2.3605032568926169E-3</v>
      </c>
      <c r="AY56" s="157">
        <f t="shared" si="14"/>
        <v>3.1379648030899041E-3</v>
      </c>
      <c r="AZ56" s="4"/>
      <c r="BA56" s="157">
        <f t="shared" si="36"/>
        <v>3.4319948993440715E-4</v>
      </c>
      <c r="BB56" s="157">
        <f t="shared" si="37"/>
        <v>5.1535567741172589E-4</v>
      </c>
      <c r="BC56" s="157">
        <f t="shared" si="38"/>
        <v>1.6439017133303141E-4</v>
      </c>
      <c r="BD56" s="157">
        <f t="shared" si="39"/>
        <v>2.2017689632941205E-4</v>
      </c>
      <c r="BE56" s="157">
        <f t="shared" si="40"/>
        <v>1.2624852128667737E-4</v>
      </c>
      <c r="BF56" s="157">
        <f t="shared" si="41"/>
        <v>1.9858104018664159E-4</v>
      </c>
      <c r="BG56" s="157">
        <f t="shared" si="42"/>
        <v>1.5440204129162225E-6</v>
      </c>
      <c r="BH56" s="157">
        <f t="shared" si="43"/>
        <v>7.9021546253000889E-6</v>
      </c>
      <c r="BI56" s="157">
        <f t="shared" si="44"/>
        <v>5.1016776901782064E-5</v>
      </c>
      <c r="BJ56" s="157">
        <f t="shared" si="45"/>
        <v>8.8695586270372056E-5</v>
      </c>
      <c r="BL56" s="157">
        <f t="shared" si="15"/>
        <v>0</v>
      </c>
      <c r="BM56" s="157">
        <f t="shared" si="16"/>
        <v>0</v>
      </c>
      <c r="BN56" s="155"/>
      <c r="BO56" s="157">
        <f t="shared" si="17"/>
        <v>0</v>
      </c>
      <c r="BP56" s="157">
        <f t="shared" si="18"/>
        <v>0</v>
      </c>
      <c r="BQ56" s="4"/>
      <c r="BR56" s="157">
        <f t="shared" si="46"/>
        <v>0</v>
      </c>
      <c r="BS56" s="157">
        <f t="shared" si="47"/>
        <v>0</v>
      </c>
      <c r="BT56" s="157">
        <f t="shared" si="48"/>
        <v>0</v>
      </c>
      <c r="BU56" s="157">
        <f t="shared" si="49"/>
        <v>0</v>
      </c>
      <c r="BV56" s="157">
        <f t="shared" si="50"/>
        <v>0</v>
      </c>
      <c r="BW56" s="157">
        <f t="shared" si="51"/>
        <v>0</v>
      </c>
      <c r="BX56" s="157">
        <f t="shared" si="52"/>
        <v>0</v>
      </c>
      <c r="BY56" s="157">
        <f t="shared" si="53"/>
        <v>0</v>
      </c>
      <c r="BZ56" s="157">
        <f t="shared" si="54"/>
        <v>0</v>
      </c>
      <c r="CA56" s="157">
        <f t="shared" si="55"/>
        <v>0</v>
      </c>
      <c r="CC56" s="157">
        <f t="shared" si="19"/>
        <v>5.2709808695959939E-4</v>
      </c>
      <c r="CD56" s="157">
        <f t="shared" si="20"/>
        <v>7.9498073889313649E-4</v>
      </c>
      <c r="CE56" s="155"/>
      <c r="CF56" s="157">
        <f t="shared" si="21"/>
        <v>2.175687977938836E-4</v>
      </c>
      <c r="CG56" s="157">
        <f t="shared" si="22"/>
        <v>2.8922782789401135E-4</v>
      </c>
      <c r="CH56" s="4"/>
      <c r="CI56" s="157">
        <f t="shared" si="56"/>
        <v>3.163287329109576E-5</v>
      </c>
      <c r="CJ56" s="157">
        <f t="shared" si="57"/>
        <v>4.7500597528649142E-5</v>
      </c>
      <c r="CK56" s="157">
        <f t="shared" si="58"/>
        <v>1.5151926540080707E-5</v>
      </c>
      <c r="CL56" s="157">
        <f t="shared" si="59"/>
        <v>2.0293817641005666E-5</v>
      </c>
      <c r="CM56" s="157">
        <f t="shared" si="60"/>
        <v>1.1636391061691074E-5</v>
      </c>
      <c r="CN56" s="157">
        <f t="shared" si="61"/>
        <v>1.8303316486392785E-5</v>
      </c>
      <c r="CO56" s="157">
        <f t="shared" si="62"/>
        <v>1.4231315463195748E-7</v>
      </c>
      <c r="CP56" s="157">
        <f t="shared" si="63"/>
        <v>7.2834565120285664E-7</v>
      </c>
      <c r="CQ56" s="157">
        <f t="shared" si="64"/>
        <v>4.702242534692014E-6</v>
      </c>
      <c r="CR56" s="157">
        <f t="shared" si="65"/>
        <v>8.1751177500478261E-6</v>
      </c>
      <c r="CT56" s="157">
        <f t="shared" si="23"/>
        <v>1.6471922351773409E-2</v>
      </c>
      <c r="CU56" s="157">
        <f t="shared" si="24"/>
        <v>2.4843309672658482E-2</v>
      </c>
      <c r="CV56" s="155"/>
      <c r="CW56" s="157">
        <f t="shared" si="25"/>
        <v>6.7990691525773401E-3</v>
      </c>
      <c r="CX56" s="157">
        <f t="shared" si="26"/>
        <v>9.0384284081216869E-3</v>
      </c>
      <c r="CY56" s="4"/>
      <c r="CZ56" s="157">
        <f t="shared" si="66"/>
        <v>9.8853371982424534E-4</v>
      </c>
      <c r="DA56" s="157">
        <f t="shared" si="67"/>
        <v>1.4844033274108988E-3</v>
      </c>
      <c r="DB56" s="157">
        <f t="shared" si="68"/>
        <v>4.7350078405257782E-4</v>
      </c>
      <c r="DC56" s="157">
        <f t="shared" si="69"/>
        <v>6.3418592606145484E-4</v>
      </c>
      <c r="DD56" s="157">
        <f t="shared" si="70"/>
        <v>3.6363958580964609E-4</v>
      </c>
      <c r="DE56" s="157">
        <f t="shared" si="71"/>
        <v>5.7198236040440127E-4</v>
      </c>
      <c r="DF56" s="157">
        <f t="shared" si="72"/>
        <v>4.4473150078292746E-6</v>
      </c>
      <c r="DG56" s="157">
        <f t="shared" si="73"/>
        <v>2.2760949638553424E-5</v>
      </c>
      <c r="DH56" s="157">
        <f t="shared" si="74"/>
        <v>1.4694603495419201E-4</v>
      </c>
      <c r="DI56" s="157">
        <f t="shared" si="75"/>
        <v>2.554740913064889E-4</v>
      </c>
    </row>
    <row r="57" spans="1:113" x14ac:dyDescent="0.25">
      <c r="A57">
        <f t="shared" si="6"/>
        <v>52</v>
      </c>
      <c r="B57" s="11" t="s">
        <v>20</v>
      </c>
      <c r="C57" s="158">
        <v>1.3623603805775513</v>
      </c>
      <c r="D57" s="17">
        <v>2.1769050206828817</v>
      </c>
      <c r="E57" s="155"/>
      <c r="F57" s="162">
        <v>0.66155645697108145</v>
      </c>
      <c r="G57" s="17">
        <v>0.8794484274361466</v>
      </c>
      <c r="H57" s="4"/>
      <c r="I57" s="155">
        <v>7.0304471514808134E-2</v>
      </c>
      <c r="J57" s="17">
        <v>0.11855309692999656</v>
      </c>
      <c r="K57" s="155">
        <v>4.6425385406430437E-2</v>
      </c>
      <c r="L57" s="17">
        <v>6.2060215829502607E-2</v>
      </c>
      <c r="M57" s="155">
        <v>8.2568184279054064E-3</v>
      </c>
      <c r="N57" s="17">
        <v>2.8528785766873153E-2</v>
      </c>
      <c r="O57" s="169">
        <v>1.8995495041253176E-3</v>
      </c>
      <c r="P57" s="17">
        <v>3.6814850851117405E-3</v>
      </c>
      <c r="Q57" s="155">
        <v>1.3722718176346946E-2</v>
      </c>
      <c r="R57" s="17">
        <v>2.4282610248509067E-2</v>
      </c>
      <c r="S57" s="3"/>
      <c r="T57" s="104">
        <f t="shared" si="0"/>
        <v>1.1930083652902037</v>
      </c>
      <c r="U57" s="105">
        <f t="shared" si="0"/>
        <v>1.5859407307069797</v>
      </c>
      <c r="V57" s="166"/>
      <c r="W57" s="3">
        <v>0.55452792806708895</v>
      </c>
      <c r="X57" s="172">
        <f>+'I-O'!BO54/'I-O'!BO$75</f>
        <v>1.1097093551410392E-2</v>
      </c>
      <c r="Y57" s="172">
        <f>+'I-O'!BP54/'I-O'!BP$75</f>
        <v>0</v>
      </c>
      <c r="Z57" s="172">
        <f>+'I-O'!BT54/'I-O'!BT$75</f>
        <v>0</v>
      </c>
      <c r="AA57" s="172">
        <f>+'I-O'!BU54/'I-O'!BU$75</f>
        <v>0</v>
      </c>
      <c r="AB57" s="172">
        <f>+'I-O'!BW54/'I-O'!BW$75</f>
        <v>8.0184154463035107E-3</v>
      </c>
      <c r="AC57" s="134"/>
      <c r="AD57" s="157">
        <f t="shared" si="7"/>
        <v>0.11955119714969555</v>
      </c>
      <c r="AE57" s="157">
        <f t="shared" si="8"/>
        <v>0.16297300634443673</v>
      </c>
      <c r="AF57" s="155"/>
      <c r="AG57" s="157">
        <f t="shared" si="9"/>
        <v>3.526630319786115E-2</v>
      </c>
      <c r="AH57" s="157">
        <f t="shared" si="10"/>
        <v>4.6881705351114251E-2</v>
      </c>
      <c r="AI57" s="4"/>
      <c r="AJ57" s="157">
        <f t="shared" si="10"/>
        <v>7.0228721924325164E-3</v>
      </c>
      <c r="AK57" s="157">
        <f t="shared" si="27"/>
        <v>9.5949136786007087E-3</v>
      </c>
      <c r="AL57" s="157">
        <f t="shared" si="28"/>
        <v>2.6425705766718538E-3</v>
      </c>
      <c r="AM57" s="157">
        <f t="shared" si="29"/>
        <v>3.476033336103902E-3</v>
      </c>
      <c r="AN57" s="157">
        <f t="shared" si="30"/>
        <v>2.7983144975065048E-3</v>
      </c>
      <c r="AO57" s="157">
        <f t="shared" si="31"/>
        <v>3.8789741132653848E-3</v>
      </c>
      <c r="AP57" s="157">
        <f t="shared" si="32"/>
        <v>4.0511093298389097E-4</v>
      </c>
      <c r="AQ57" s="157">
        <f t="shared" si="33"/>
        <v>5.0010249389442275E-4</v>
      </c>
      <c r="AR57" s="157">
        <f t="shared" si="34"/>
        <v>1.1768761852702665E-3</v>
      </c>
      <c r="AS57" s="157">
        <f t="shared" si="35"/>
        <v>1.739803735337001E-3</v>
      </c>
      <c r="AT57" s="134"/>
      <c r="AU57" s="157">
        <f t="shared" si="11"/>
        <v>8.9738389752193129E-3</v>
      </c>
      <c r="AV57" s="157">
        <f t="shared" si="12"/>
        <v>1.2233198421351775E-2</v>
      </c>
      <c r="AW57" s="155"/>
      <c r="AX57" s="157">
        <f t="shared" si="13"/>
        <v>2.6471849190484982E-3</v>
      </c>
      <c r="AY57" s="157">
        <f t="shared" si="14"/>
        <v>3.5190686896910618E-3</v>
      </c>
      <c r="AZ57" s="4"/>
      <c r="BA57" s="157">
        <f t="shared" si="36"/>
        <v>5.2715594407241211E-4</v>
      </c>
      <c r="BB57" s="157">
        <f t="shared" si="37"/>
        <v>7.2022039415530208E-4</v>
      </c>
      <c r="BC57" s="157">
        <f t="shared" si="38"/>
        <v>1.9835855600853805E-4</v>
      </c>
      <c r="BD57" s="157">
        <f t="shared" si="39"/>
        <v>2.6092054428892219E-4</v>
      </c>
      <c r="BE57" s="157">
        <f t="shared" si="40"/>
        <v>2.1004911955169886E-4</v>
      </c>
      <c r="BF57" s="157">
        <f t="shared" si="41"/>
        <v>2.9116637818274102E-4</v>
      </c>
      <c r="BG57" s="157">
        <f t="shared" si="42"/>
        <v>3.0408731709697963E-5</v>
      </c>
      <c r="BH57" s="157">
        <f t="shared" si="43"/>
        <v>3.7539057393919025E-5</v>
      </c>
      <c r="BI57" s="157">
        <f t="shared" si="44"/>
        <v>8.8339536802477248E-5</v>
      </c>
      <c r="BJ57" s="157">
        <f t="shared" si="45"/>
        <v>1.3059441428971992E-4</v>
      </c>
      <c r="BL57" s="157">
        <f t="shared" si="15"/>
        <v>0</v>
      </c>
      <c r="BM57" s="157">
        <f t="shared" si="16"/>
        <v>0</v>
      </c>
      <c r="BN57" s="155"/>
      <c r="BO57" s="157">
        <f t="shared" si="17"/>
        <v>0</v>
      </c>
      <c r="BP57" s="157">
        <f t="shared" si="18"/>
        <v>0</v>
      </c>
      <c r="BQ57" s="4"/>
      <c r="BR57" s="157">
        <f t="shared" si="46"/>
        <v>0</v>
      </c>
      <c r="BS57" s="157">
        <f t="shared" si="47"/>
        <v>0</v>
      </c>
      <c r="BT57" s="157">
        <f t="shared" si="48"/>
        <v>0</v>
      </c>
      <c r="BU57" s="157">
        <f t="shared" si="49"/>
        <v>0</v>
      </c>
      <c r="BV57" s="157">
        <f t="shared" si="50"/>
        <v>0</v>
      </c>
      <c r="BW57" s="157">
        <f t="shared" si="51"/>
        <v>0</v>
      </c>
      <c r="BX57" s="157">
        <f t="shared" si="52"/>
        <v>0</v>
      </c>
      <c r="BY57" s="157">
        <f t="shared" si="53"/>
        <v>0</v>
      </c>
      <c r="BZ57" s="157">
        <f t="shared" si="54"/>
        <v>0</v>
      </c>
      <c r="CA57" s="157">
        <f t="shared" si="55"/>
        <v>0</v>
      </c>
      <c r="CC57" s="157">
        <f t="shared" si="19"/>
        <v>3.2510625052597293E-4</v>
      </c>
      <c r="CD57" s="157">
        <f t="shared" si="20"/>
        <v>4.431870553604101E-4</v>
      </c>
      <c r="CE57" s="155"/>
      <c r="CF57" s="157">
        <f t="shared" si="21"/>
        <v>9.5902808804269386E-5</v>
      </c>
      <c r="CG57" s="157">
        <f t="shared" si="22"/>
        <v>1.2748960954259261E-4</v>
      </c>
      <c r="CH57" s="4"/>
      <c r="CI57" s="157">
        <f t="shared" si="56"/>
        <v>1.9097923741792233E-5</v>
      </c>
      <c r="CJ57" s="157">
        <f t="shared" si="57"/>
        <v>2.6092305928683801E-5</v>
      </c>
      <c r="CK57" s="157">
        <f t="shared" si="58"/>
        <v>7.1861782434207304E-6</v>
      </c>
      <c r="CL57" s="157">
        <f t="shared" si="59"/>
        <v>9.4526879826138701E-6</v>
      </c>
      <c r="CM57" s="157">
        <f t="shared" si="60"/>
        <v>7.6097066007433836E-6</v>
      </c>
      <c r="CN57" s="157">
        <f t="shared" si="61"/>
        <v>1.0548440834699173E-5</v>
      </c>
      <c r="CO57" s="157">
        <f t="shared" si="62"/>
        <v>1.1016543506842408E-6</v>
      </c>
      <c r="CP57" s="157">
        <f t="shared" si="63"/>
        <v>1.359973388347773E-6</v>
      </c>
      <c r="CQ57" s="157">
        <f t="shared" si="64"/>
        <v>3.200384546943878E-6</v>
      </c>
      <c r="CR57" s="157">
        <f t="shared" si="65"/>
        <v>4.7312037230229857E-6</v>
      </c>
      <c r="CT57" s="157">
        <f t="shared" si="23"/>
        <v>2.9470676083340605E-5</v>
      </c>
      <c r="CU57" s="157">
        <f t="shared" si="24"/>
        <v>4.0174626392834404E-5</v>
      </c>
      <c r="CV57" s="155"/>
      <c r="CW57" s="157">
        <f t="shared" si="25"/>
        <v>8.693528989924394E-6</v>
      </c>
      <c r="CX57" s="157">
        <f t="shared" si="26"/>
        <v>1.1556852508196088E-5</v>
      </c>
      <c r="CY57" s="4"/>
      <c r="CZ57" s="157">
        <f t="shared" si="66"/>
        <v>1.7312147137993409E-6</v>
      </c>
      <c r="DA57" s="157">
        <f t="shared" si="67"/>
        <v>2.3652510373073724E-6</v>
      </c>
      <c r="DB57" s="157">
        <f t="shared" si="68"/>
        <v>6.5142251478207913E-7</v>
      </c>
      <c r="DC57" s="157">
        <f t="shared" si="69"/>
        <v>8.5688018978965783E-7</v>
      </c>
      <c r="DD57" s="157">
        <f t="shared" si="70"/>
        <v>6.8981509262569736E-7</v>
      </c>
      <c r="DE57" s="157">
        <f t="shared" si="71"/>
        <v>9.5620949311421125E-7</v>
      </c>
      <c r="DF57" s="157">
        <f t="shared" si="72"/>
        <v>9.9864270441716432E-8</v>
      </c>
      <c r="DG57" s="157">
        <f t="shared" si="73"/>
        <v>1.2328072790085725E-7</v>
      </c>
      <c r="DH57" s="157">
        <f t="shared" si="74"/>
        <v>2.9011283594984809E-7</v>
      </c>
      <c r="DI57" s="157">
        <f t="shared" si="75"/>
        <v>4.2888062650264625E-7</v>
      </c>
    </row>
    <row r="58" spans="1:113" x14ac:dyDescent="0.25">
      <c r="A58">
        <f t="shared" si="6"/>
        <v>53</v>
      </c>
      <c r="B58" s="11" t="s">
        <v>21</v>
      </c>
      <c r="C58" s="158">
        <v>1.1670253240014952</v>
      </c>
      <c r="D58" s="17">
        <v>1.6657917712275512</v>
      </c>
      <c r="E58" s="155"/>
      <c r="F58" s="162">
        <v>0.40508788277123237</v>
      </c>
      <c r="G58" s="17">
        <v>0.53850869071355956</v>
      </c>
      <c r="H58" s="4"/>
      <c r="I58" s="155">
        <v>6.5232532427754161E-2</v>
      </c>
      <c r="J58" s="17">
        <v>9.4776395706705305E-2</v>
      </c>
      <c r="K58" s="155">
        <v>2.8123257622296303E-2</v>
      </c>
      <c r="L58" s="17">
        <v>3.7696862848019937E-2</v>
      </c>
      <c r="M58" s="155">
        <v>2.6091421689129039E-2</v>
      </c>
      <c r="N58" s="17">
        <v>3.8504464056742092E-2</v>
      </c>
      <c r="O58" s="169">
        <v>7.8938719645502186E-4</v>
      </c>
      <c r="P58" s="17">
        <v>1.8805117771770411E-3</v>
      </c>
      <c r="Q58" s="155">
        <v>1.0228465919873793E-2</v>
      </c>
      <c r="R58" s="17">
        <v>1.6694557024766247E-2</v>
      </c>
      <c r="S58" s="3"/>
      <c r="T58" s="104">
        <f t="shared" si="0"/>
        <v>1.1536797572509905</v>
      </c>
      <c r="U58" s="105">
        <f t="shared" si="0"/>
        <v>1.5336587491332581</v>
      </c>
      <c r="V58" s="166"/>
      <c r="W58" s="3">
        <v>0.35112680119869943</v>
      </c>
      <c r="X58" s="172">
        <f>+'I-O'!BO55/'I-O'!BO$75</f>
        <v>1.2458579130687807E-2</v>
      </c>
      <c r="Y58" s="172">
        <f>+'I-O'!BP55/'I-O'!BP$75</f>
        <v>0</v>
      </c>
      <c r="Z58" s="172">
        <f>+'I-O'!BT55/'I-O'!BT$75</f>
        <v>0</v>
      </c>
      <c r="AA58" s="172">
        <f>+'I-O'!BU55/'I-O'!BU$75</f>
        <v>9.406506502888107E-8</v>
      </c>
      <c r="AB58" s="172">
        <f>+'I-O'!BW55/'I-O'!BW$75</f>
        <v>1.3457768771624442E-3</v>
      </c>
      <c r="AC58" s="134"/>
      <c r="AD58" s="157">
        <f t="shared" si="7"/>
        <v>1.5118240594004151E-2</v>
      </c>
      <c r="AE58" s="157">
        <f t="shared" si="8"/>
        <v>2.4157318667052913E-2</v>
      </c>
      <c r="AF58" s="155"/>
      <c r="AG58" s="157">
        <f t="shared" si="9"/>
        <v>7.3413538925476947E-3</v>
      </c>
      <c r="AH58" s="157">
        <f t="shared" si="10"/>
        <v>9.7593214728996722E-3</v>
      </c>
      <c r="AI58" s="4"/>
      <c r="AJ58" s="157">
        <f t="shared" si="10"/>
        <v>7.8017529748229295E-4</v>
      </c>
      <c r="AK58" s="157">
        <f t="shared" si="27"/>
        <v>1.315594807441596E-3</v>
      </c>
      <c r="AL58" s="157">
        <f t="shared" si="28"/>
        <v>5.1518684501544135E-4</v>
      </c>
      <c r="AM58" s="157">
        <f t="shared" si="29"/>
        <v>6.8868802088071048E-4</v>
      </c>
      <c r="AN58" s="157">
        <f t="shared" si="30"/>
        <v>9.1626686531475569E-5</v>
      </c>
      <c r="AO58" s="157">
        <f t="shared" si="31"/>
        <v>3.1658660456313663E-4</v>
      </c>
      <c r="AP58" s="157">
        <f t="shared" si="32"/>
        <v>2.1079478552813871E-5</v>
      </c>
      <c r="AQ58" s="157">
        <f t="shared" si="33"/>
        <v>4.0853784397607031E-5</v>
      </c>
      <c r="AR58" s="157">
        <f t="shared" si="34"/>
        <v>1.5228228738256187E-4</v>
      </c>
      <c r="AS58" s="157">
        <f t="shared" si="35"/>
        <v>2.6946639760014188E-4</v>
      </c>
      <c r="AT58" s="134"/>
      <c r="AU58" s="157">
        <f t="shared" si="11"/>
        <v>0</v>
      </c>
      <c r="AV58" s="157">
        <f t="shared" si="12"/>
        <v>0</v>
      </c>
      <c r="AW58" s="155"/>
      <c r="AX58" s="157">
        <f t="shared" si="13"/>
        <v>0</v>
      </c>
      <c r="AY58" s="157">
        <f t="shared" si="14"/>
        <v>0</v>
      </c>
      <c r="AZ58" s="4"/>
      <c r="BA58" s="157">
        <f t="shared" si="36"/>
        <v>0</v>
      </c>
      <c r="BB58" s="157">
        <f t="shared" si="37"/>
        <v>0</v>
      </c>
      <c r="BC58" s="157">
        <f t="shared" si="38"/>
        <v>0</v>
      </c>
      <c r="BD58" s="157">
        <f t="shared" si="39"/>
        <v>0</v>
      </c>
      <c r="BE58" s="157">
        <f t="shared" si="40"/>
        <v>0</v>
      </c>
      <c r="BF58" s="157">
        <f t="shared" si="41"/>
        <v>0</v>
      </c>
      <c r="BG58" s="157">
        <f t="shared" si="42"/>
        <v>0</v>
      </c>
      <c r="BH58" s="157">
        <f t="shared" si="43"/>
        <v>0</v>
      </c>
      <c r="BI58" s="157">
        <f t="shared" si="44"/>
        <v>0</v>
      </c>
      <c r="BJ58" s="157">
        <f t="shared" si="45"/>
        <v>0</v>
      </c>
      <c r="BL58" s="157">
        <f t="shared" si="15"/>
        <v>0</v>
      </c>
      <c r="BM58" s="157">
        <f t="shared" si="16"/>
        <v>0</v>
      </c>
      <c r="BN58" s="155"/>
      <c r="BO58" s="157">
        <f t="shared" si="17"/>
        <v>0</v>
      </c>
      <c r="BP58" s="157">
        <f t="shared" si="18"/>
        <v>0</v>
      </c>
      <c r="BQ58" s="4"/>
      <c r="BR58" s="157">
        <f t="shared" si="46"/>
        <v>0</v>
      </c>
      <c r="BS58" s="157">
        <f t="shared" si="47"/>
        <v>0</v>
      </c>
      <c r="BT58" s="157">
        <f t="shared" si="48"/>
        <v>0</v>
      </c>
      <c r="BU58" s="157">
        <f t="shared" si="49"/>
        <v>0</v>
      </c>
      <c r="BV58" s="157">
        <f t="shared" si="50"/>
        <v>0</v>
      </c>
      <c r="BW58" s="157">
        <f t="shared" si="51"/>
        <v>0</v>
      </c>
      <c r="BX58" s="157">
        <f t="shared" si="52"/>
        <v>0</v>
      </c>
      <c r="BY58" s="157">
        <f t="shared" si="53"/>
        <v>0</v>
      </c>
      <c r="BZ58" s="157">
        <f t="shared" si="54"/>
        <v>0</v>
      </c>
      <c r="CA58" s="157">
        <f t="shared" si="55"/>
        <v>0</v>
      </c>
      <c r="CC58" s="157">
        <f t="shared" si="19"/>
        <v>0</v>
      </c>
      <c r="CD58" s="157">
        <f t="shared" si="20"/>
        <v>0</v>
      </c>
      <c r="CE58" s="155"/>
      <c r="CF58" s="157">
        <f t="shared" si="21"/>
        <v>0</v>
      </c>
      <c r="CG58" s="157">
        <f t="shared" si="22"/>
        <v>0</v>
      </c>
      <c r="CH58" s="4"/>
      <c r="CI58" s="157">
        <f t="shared" si="56"/>
        <v>0</v>
      </c>
      <c r="CJ58" s="157">
        <f t="shared" si="57"/>
        <v>0</v>
      </c>
      <c r="CK58" s="157">
        <f t="shared" si="58"/>
        <v>0</v>
      </c>
      <c r="CL58" s="157">
        <f t="shared" si="59"/>
        <v>0</v>
      </c>
      <c r="CM58" s="157">
        <f t="shared" si="60"/>
        <v>0</v>
      </c>
      <c r="CN58" s="157">
        <f t="shared" si="61"/>
        <v>0</v>
      </c>
      <c r="CO58" s="157">
        <f t="shared" si="62"/>
        <v>0</v>
      </c>
      <c r="CP58" s="157">
        <f t="shared" si="63"/>
        <v>0</v>
      </c>
      <c r="CQ58" s="157">
        <f t="shared" si="64"/>
        <v>0</v>
      </c>
      <c r="CR58" s="157">
        <f t="shared" si="65"/>
        <v>0</v>
      </c>
      <c r="CT58" s="157">
        <f t="shared" si="23"/>
        <v>1.0923971519054967E-2</v>
      </c>
      <c r="CU58" s="157">
        <f t="shared" si="24"/>
        <v>1.7455328842979283E-2</v>
      </c>
      <c r="CV58" s="155"/>
      <c r="CW58" s="157">
        <f t="shared" si="25"/>
        <v>5.3046345131787433E-3</v>
      </c>
      <c r="CX58" s="157">
        <f t="shared" si="26"/>
        <v>7.0517828547813303E-3</v>
      </c>
      <c r="CY58" s="4"/>
      <c r="CZ58" s="157">
        <f t="shared" si="66"/>
        <v>5.637304603385427E-4</v>
      </c>
      <c r="DA58" s="157">
        <f t="shared" si="67"/>
        <v>9.5060798363060179E-4</v>
      </c>
      <c r="DB58" s="157">
        <f t="shared" si="68"/>
        <v>3.7225802744351544E-4</v>
      </c>
      <c r="DC58" s="157">
        <f t="shared" si="69"/>
        <v>4.9762459320821335E-4</v>
      </c>
      <c r="DD58" s="157">
        <f t="shared" si="70"/>
        <v>6.6206600419640177E-5</v>
      </c>
      <c r="DE58" s="157">
        <f t="shared" si="71"/>
        <v>2.2875565645737942E-4</v>
      </c>
      <c r="DF58" s="157">
        <f t="shared" si="72"/>
        <v>1.5231377084896622E-5</v>
      </c>
      <c r="DG58" s="157">
        <f t="shared" si="73"/>
        <v>2.9519676871795975E-5</v>
      </c>
      <c r="DH58" s="157">
        <f t="shared" si="74"/>
        <v>1.1003445539049029E-4</v>
      </c>
      <c r="DI58" s="157">
        <f t="shared" si="75"/>
        <v>1.9470805709321303E-4</v>
      </c>
    </row>
    <row r="59" spans="1:113" x14ac:dyDescent="0.25">
      <c r="A59">
        <f t="shared" si="6"/>
        <v>54</v>
      </c>
      <c r="B59" s="11" t="s">
        <v>159</v>
      </c>
      <c r="C59" s="158">
        <v>1.0701681699166035</v>
      </c>
      <c r="D59" s="17">
        <v>1.8133700406767668</v>
      </c>
      <c r="E59" s="155"/>
      <c r="F59" s="162">
        <v>0.60361332237210996</v>
      </c>
      <c r="G59" s="17">
        <v>0.80242098999400246</v>
      </c>
      <c r="H59" s="4"/>
      <c r="I59" s="155">
        <v>6.8616812869995519E-2</v>
      </c>
      <c r="J59" s="17">
        <v>0.11263953047763635</v>
      </c>
      <c r="K59" s="155">
        <v>3.6799794332418201E-2</v>
      </c>
      <c r="L59" s="17">
        <v>5.1065231298454306E-2</v>
      </c>
      <c r="M59" s="155">
        <v>2.2631317318824628E-2</v>
      </c>
      <c r="N59" s="17">
        <v>4.112774257105084E-2</v>
      </c>
      <c r="O59" s="169">
        <v>2.3509784240529637E-4</v>
      </c>
      <c r="P59" s="17">
        <v>1.8609606768743251E-3</v>
      </c>
      <c r="Q59" s="155">
        <v>8.9506033763473783E-3</v>
      </c>
      <c r="R59" s="17">
        <v>1.8585595931256891E-2</v>
      </c>
      <c r="S59" s="3"/>
      <c r="T59" s="104">
        <f t="shared" si="0"/>
        <v>1.0434067031622856</v>
      </c>
      <c r="U59" s="105">
        <f t="shared" si="0"/>
        <v>1.3870658726145848</v>
      </c>
      <c r="V59" s="166"/>
      <c r="W59" s="3">
        <v>0.57850243873526985</v>
      </c>
      <c r="X59" s="172">
        <f>+'I-O'!BO56/'I-O'!BO$75</f>
        <v>6.9924681535181122E-3</v>
      </c>
      <c r="Y59" s="172">
        <f>+'I-O'!BP56/'I-O'!BP$75</f>
        <v>3.1709292350253833E-2</v>
      </c>
      <c r="Z59" s="172">
        <f>+'I-O'!BT56/'I-O'!BT$75</f>
        <v>0</v>
      </c>
      <c r="AA59" s="172">
        <f>+'I-O'!BU56/'I-O'!BU$75</f>
        <v>7.3760824630867387E-5</v>
      </c>
      <c r="AB59" s="172">
        <f>+'I-O'!BW56/'I-O'!BW$75</f>
        <v>1.5415449166281311E-5</v>
      </c>
      <c r="AC59" s="134"/>
      <c r="AD59" s="157">
        <f t="shared" si="7"/>
        <v>1.4539477346589204E-2</v>
      </c>
      <c r="AE59" s="157">
        <f t="shared" si="8"/>
        <v>2.0753398597087046E-2</v>
      </c>
      <c r="AF59" s="155"/>
      <c r="AG59" s="157">
        <f t="shared" si="9"/>
        <v>5.0468194423881844E-3</v>
      </c>
      <c r="AH59" s="157">
        <f t="shared" si="10"/>
        <v>6.7090531358179675E-3</v>
      </c>
      <c r="AI59" s="4"/>
      <c r="AJ59" s="157">
        <f t="shared" si="10"/>
        <v>8.1270466714633365E-4</v>
      </c>
      <c r="AK59" s="157">
        <f t="shared" si="27"/>
        <v>1.1807792256333682E-3</v>
      </c>
      <c r="AL59" s="157">
        <f t="shared" si="28"/>
        <v>3.503758305000975E-4</v>
      </c>
      <c r="AM59" s="157">
        <f t="shared" si="29"/>
        <v>4.6964934877074171E-4</v>
      </c>
      <c r="AN59" s="157">
        <f t="shared" si="30"/>
        <v>3.2506204174615827E-4</v>
      </c>
      <c r="AO59" s="157">
        <f t="shared" si="31"/>
        <v>4.7971091233564578E-4</v>
      </c>
      <c r="AP59" s="157">
        <f t="shared" si="32"/>
        <v>9.8346428517866915E-6</v>
      </c>
      <c r="AQ59" s="157">
        <f t="shared" si="33"/>
        <v>2.3428504782150524E-5</v>
      </c>
      <c r="AR59" s="157">
        <f t="shared" si="34"/>
        <v>1.2743215204829108E-4</v>
      </c>
      <c r="AS59" s="157">
        <f t="shared" si="35"/>
        <v>2.0799045974483028E-4</v>
      </c>
      <c r="AT59" s="134"/>
      <c r="AU59" s="157">
        <f t="shared" si="11"/>
        <v>0</v>
      </c>
      <c r="AV59" s="157">
        <f t="shared" si="12"/>
        <v>0</v>
      </c>
      <c r="AW59" s="155"/>
      <c r="AX59" s="157">
        <f t="shared" si="13"/>
        <v>0</v>
      </c>
      <c r="AY59" s="157">
        <f t="shared" si="14"/>
        <v>0</v>
      </c>
      <c r="AZ59" s="4"/>
      <c r="BA59" s="157">
        <f t="shared" si="36"/>
        <v>0</v>
      </c>
      <c r="BB59" s="157">
        <f t="shared" si="37"/>
        <v>0</v>
      </c>
      <c r="BC59" s="157">
        <f t="shared" si="38"/>
        <v>0</v>
      </c>
      <c r="BD59" s="157">
        <f t="shared" si="39"/>
        <v>0</v>
      </c>
      <c r="BE59" s="157">
        <f t="shared" si="40"/>
        <v>0</v>
      </c>
      <c r="BF59" s="157">
        <f t="shared" si="41"/>
        <v>0</v>
      </c>
      <c r="BG59" s="157">
        <f t="shared" si="42"/>
        <v>0</v>
      </c>
      <c r="BH59" s="157">
        <f t="shared" si="43"/>
        <v>0</v>
      </c>
      <c r="BI59" s="157">
        <f t="shared" si="44"/>
        <v>0</v>
      </c>
      <c r="BJ59" s="157">
        <f t="shared" si="45"/>
        <v>0</v>
      </c>
      <c r="BL59" s="157">
        <f t="shared" si="15"/>
        <v>0</v>
      </c>
      <c r="BM59" s="157">
        <f t="shared" si="16"/>
        <v>0</v>
      </c>
      <c r="BN59" s="155"/>
      <c r="BO59" s="157">
        <f t="shared" si="17"/>
        <v>0</v>
      </c>
      <c r="BP59" s="157">
        <f t="shared" si="18"/>
        <v>0</v>
      </c>
      <c r="BQ59" s="4"/>
      <c r="BR59" s="157">
        <f t="shared" si="46"/>
        <v>0</v>
      </c>
      <c r="BS59" s="157">
        <f t="shared" si="47"/>
        <v>0</v>
      </c>
      <c r="BT59" s="157">
        <f t="shared" si="48"/>
        <v>0</v>
      </c>
      <c r="BU59" s="157">
        <f t="shared" si="49"/>
        <v>0</v>
      </c>
      <c r="BV59" s="157">
        <f t="shared" si="50"/>
        <v>0</v>
      </c>
      <c r="BW59" s="157">
        <f t="shared" si="51"/>
        <v>0</v>
      </c>
      <c r="BX59" s="157">
        <f t="shared" si="52"/>
        <v>0</v>
      </c>
      <c r="BY59" s="157">
        <f t="shared" si="53"/>
        <v>0</v>
      </c>
      <c r="BZ59" s="157">
        <f t="shared" si="54"/>
        <v>0</v>
      </c>
      <c r="CA59" s="157">
        <f t="shared" si="55"/>
        <v>0</v>
      </c>
      <c r="CC59" s="157">
        <f t="shared" si="19"/>
        <v>1.0977631299255164E-7</v>
      </c>
      <c r="CD59" s="157">
        <f t="shared" si="20"/>
        <v>1.5669281128509458E-7</v>
      </c>
      <c r="CE59" s="155"/>
      <c r="CF59" s="157">
        <f t="shared" si="21"/>
        <v>3.8104618035287724E-8</v>
      </c>
      <c r="CG59" s="157">
        <f t="shared" si="22"/>
        <v>5.0654855010588583E-8</v>
      </c>
      <c r="CH59" s="4"/>
      <c r="CI59" s="157">
        <f t="shared" si="56"/>
        <v>6.1361024048152887E-9</v>
      </c>
      <c r="CJ59" s="157">
        <f t="shared" si="57"/>
        <v>8.915147825354199E-9</v>
      </c>
      <c r="CK59" s="157">
        <f t="shared" si="58"/>
        <v>2.6454160570652769E-9</v>
      </c>
      <c r="CL59" s="157">
        <f t="shared" si="59"/>
        <v>3.5459578551838062E-9</v>
      </c>
      <c r="CM59" s="157">
        <f t="shared" si="60"/>
        <v>2.454291277883881E-9</v>
      </c>
      <c r="CN59" s="157">
        <f t="shared" si="61"/>
        <v>3.6219249153996588E-9</v>
      </c>
      <c r="CO59" s="157">
        <f t="shared" si="62"/>
        <v>7.4253757967507751E-11</v>
      </c>
      <c r="CP59" s="157">
        <f t="shared" si="63"/>
        <v>1.7689046260773509E-10</v>
      </c>
      <c r="CQ59" s="157">
        <f t="shared" si="64"/>
        <v>9.6214131189862207E-10</v>
      </c>
      <c r="CR59" s="157">
        <f t="shared" si="65"/>
        <v>1.5703745921630004E-9</v>
      </c>
      <c r="CT59" s="157">
        <f t="shared" si="23"/>
        <v>1.5705556961042217E-3</v>
      </c>
      <c r="CU59" s="157">
        <f t="shared" si="24"/>
        <v>2.2417840478855104E-3</v>
      </c>
      <c r="CV59" s="155"/>
      <c r="CW59" s="157">
        <f t="shared" si="25"/>
        <v>5.4515790585221539E-4</v>
      </c>
      <c r="CX59" s="157">
        <f t="shared" si="26"/>
        <v>7.2471254411333064E-4</v>
      </c>
      <c r="CY59" s="4"/>
      <c r="CZ59" s="157">
        <f t="shared" si="66"/>
        <v>8.7788433780020862E-5</v>
      </c>
      <c r="DA59" s="157">
        <f t="shared" si="67"/>
        <v>1.2754788184288194E-4</v>
      </c>
      <c r="DB59" s="157">
        <f t="shared" si="68"/>
        <v>3.7847629818568824E-5</v>
      </c>
      <c r="DC59" s="157">
        <f t="shared" si="69"/>
        <v>5.0731566362429231E-5</v>
      </c>
      <c r="DD59" s="157">
        <f t="shared" si="70"/>
        <v>3.5113232001524539E-5</v>
      </c>
      <c r="DE59" s="157">
        <f t="shared" si="71"/>
        <v>5.1818417395095948E-5</v>
      </c>
      <c r="DF59" s="157">
        <f t="shared" si="72"/>
        <v>1.0623390361172562E-6</v>
      </c>
      <c r="DG59" s="157">
        <f t="shared" si="73"/>
        <v>2.5307492669565166E-6</v>
      </c>
      <c r="DH59" s="157">
        <f t="shared" si="74"/>
        <v>1.3765232923810239E-5</v>
      </c>
      <c r="DI59" s="157">
        <f t="shared" si="75"/>
        <v>2.2467148818400264E-5</v>
      </c>
    </row>
    <row r="60" spans="1:113" x14ac:dyDescent="0.25">
      <c r="A60">
        <f t="shared" si="6"/>
        <v>55</v>
      </c>
      <c r="B60" s="11" t="s">
        <v>59</v>
      </c>
      <c r="C60" s="158">
        <v>1.5887530511236032</v>
      </c>
      <c r="D60" s="17">
        <v>2.1022554716262571</v>
      </c>
      <c r="E60" s="155"/>
      <c r="F60" s="162">
        <v>0.41705613815085907</v>
      </c>
      <c r="G60" s="17">
        <v>0.55441884208742342</v>
      </c>
      <c r="H60" s="4"/>
      <c r="I60" s="155">
        <v>0.14493547127675732</v>
      </c>
      <c r="J60" s="17">
        <v>0.17535220317425199</v>
      </c>
      <c r="K60" s="155">
        <v>2.5852526629032604E-2</v>
      </c>
      <c r="L60" s="17">
        <v>3.5708982458584088E-2</v>
      </c>
      <c r="M60" s="155">
        <v>3.3794459512612098E-2</v>
      </c>
      <c r="N60" s="17">
        <v>4.6574243190968381E-2</v>
      </c>
      <c r="O60" s="169">
        <v>6.9595049462021871E-2</v>
      </c>
      <c r="P60" s="17">
        <v>7.0718411140392276E-2</v>
      </c>
      <c r="Q60" s="155">
        <v>1.5693435673090689E-2</v>
      </c>
      <c r="R60" s="17">
        <v>2.2350566384307258E-2</v>
      </c>
      <c r="S60" s="3"/>
      <c r="T60" s="104">
        <f t="shared" si="0"/>
        <v>1.8428231562559751</v>
      </c>
      <c r="U60" s="105">
        <f t="shared" si="0"/>
        <v>2.4497802262144317</v>
      </c>
      <c r="V60" s="166"/>
      <c r="W60" s="3">
        <v>0.22631370608462681</v>
      </c>
      <c r="X60" s="172">
        <f>+'I-O'!BO57/'I-O'!BO$75</f>
        <v>1.1461071098226222E-2</v>
      </c>
      <c r="Y60" s="172">
        <f>+'I-O'!BP57/'I-O'!BP$75</f>
        <v>0.34175444275064321</v>
      </c>
      <c r="Z60" s="172">
        <f>+'I-O'!BT57/'I-O'!BT$75</f>
        <v>2.7281513469831096E-3</v>
      </c>
      <c r="AA60" s="172">
        <f>+'I-O'!BU57/'I-O'!BU$75</f>
        <v>4.4423831476343816E-5</v>
      </c>
      <c r="AB60" s="172">
        <f>+'I-O'!BW57/'I-O'!BW$75</f>
        <v>2.0923342743739609E-2</v>
      </c>
      <c r="AC60" s="134"/>
      <c r="AD60" s="157">
        <f t="shared" si="7"/>
        <v>7.4831168470506099E-3</v>
      </c>
      <c r="AE60" s="157">
        <f t="shared" si="8"/>
        <v>1.2679932259976136E-2</v>
      </c>
      <c r="AF60" s="155"/>
      <c r="AG60" s="157">
        <f t="shared" si="9"/>
        <v>4.2207469337262405E-3</v>
      </c>
      <c r="AH60" s="157">
        <f t="shared" si="10"/>
        <v>5.6109032182475376E-3</v>
      </c>
      <c r="AI60" s="4"/>
      <c r="AJ60" s="157">
        <f t="shared" si="10"/>
        <v>4.7980087878935542E-4</v>
      </c>
      <c r="AK60" s="157">
        <f t="shared" si="27"/>
        <v>7.8762832969210496E-4</v>
      </c>
      <c r="AL60" s="157">
        <f t="shared" si="28"/>
        <v>2.5732138992545057E-4</v>
      </c>
      <c r="AM60" s="157">
        <f t="shared" si="29"/>
        <v>3.5707200360647807E-4</v>
      </c>
      <c r="AN60" s="157">
        <f t="shared" si="30"/>
        <v>1.5824876562404411E-4</v>
      </c>
      <c r="AO60" s="157">
        <f t="shared" si="31"/>
        <v>2.8758443015416415E-4</v>
      </c>
      <c r="AP60" s="157">
        <f t="shared" si="32"/>
        <v>1.6439141759798548E-6</v>
      </c>
      <c r="AQ60" s="157">
        <f t="shared" si="33"/>
        <v>1.3012708267993229E-5</v>
      </c>
      <c r="AR60" s="157">
        <f t="shared" si="34"/>
        <v>6.2586809063880738E-5</v>
      </c>
      <c r="AS60" s="157">
        <f t="shared" si="35"/>
        <v>1.2995918766346961E-4</v>
      </c>
      <c r="AT60" s="134"/>
      <c r="AU60" s="157">
        <f t="shared" si="11"/>
        <v>3.3934275363821695E-2</v>
      </c>
      <c r="AV60" s="157">
        <f t="shared" si="12"/>
        <v>5.7500680759011283E-2</v>
      </c>
      <c r="AW60" s="155"/>
      <c r="AX60" s="157">
        <f t="shared" si="13"/>
        <v>1.9140151305605247E-2</v>
      </c>
      <c r="AY60" s="157">
        <f t="shared" si="14"/>
        <v>2.5444201759699931E-2</v>
      </c>
      <c r="AZ60" s="4"/>
      <c r="BA60" s="157">
        <f t="shared" si="36"/>
        <v>2.1757905794373479E-3</v>
      </c>
      <c r="BB60" s="157">
        <f t="shared" si="37"/>
        <v>3.5717198021106978E-3</v>
      </c>
      <c r="BC60" s="157">
        <f t="shared" si="38"/>
        <v>1.1668954369158629E-3</v>
      </c>
      <c r="BD60" s="157">
        <f t="shared" si="39"/>
        <v>1.6192423481760198E-3</v>
      </c>
      <c r="BE60" s="157">
        <f t="shared" si="40"/>
        <v>7.1762305713397282E-4</v>
      </c>
      <c r="BF60" s="157">
        <f t="shared" si="41"/>
        <v>1.3041316128914312E-3</v>
      </c>
      <c r="BG60" s="157">
        <f t="shared" si="42"/>
        <v>7.4547862157434457E-6</v>
      </c>
      <c r="BH60" s="157">
        <f t="shared" si="43"/>
        <v>5.9009746155334232E-5</v>
      </c>
      <c r="BI60" s="157">
        <f t="shared" si="44"/>
        <v>2.8381729917176804E-4</v>
      </c>
      <c r="BJ60" s="157">
        <f t="shared" si="45"/>
        <v>5.8933609488791294E-4</v>
      </c>
      <c r="BL60" s="157">
        <f t="shared" si="15"/>
        <v>0</v>
      </c>
      <c r="BM60" s="157">
        <f t="shared" si="16"/>
        <v>0</v>
      </c>
      <c r="BN60" s="155"/>
      <c r="BO60" s="157">
        <f t="shared" si="17"/>
        <v>0</v>
      </c>
      <c r="BP60" s="157">
        <f t="shared" si="18"/>
        <v>0</v>
      </c>
      <c r="BQ60" s="4"/>
      <c r="BR60" s="157">
        <f t="shared" si="46"/>
        <v>0</v>
      </c>
      <c r="BS60" s="157">
        <f t="shared" si="47"/>
        <v>0</v>
      </c>
      <c r="BT60" s="157">
        <f t="shared" si="48"/>
        <v>0</v>
      </c>
      <c r="BU60" s="157">
        <f t="shared" si="49"/>
        <v>0</v>
      </c>
      <c r="BV60" s="157">
        <f t="shared" si="50"/>
        <v>0</v>
      </c>
      <c r="BW60" s="157">
        <f t="shared" si="51"/>
        <v>0</v>
      </c>
      <c r="BX60" s="157">
        <f t="shared" si="52"/>
        <v>0</v>
      </c>
      <c r="BY60" s="157">
        <f t="shared" si="53"/>
        <v>0</v>
      </c>
      <c r="BZ60" s="157">
        <f t="shared" si="54"/>
        <v>0</v>
      </c>
      <c r="CA60" s="157">
        <f t="shared" si="55"/>
        <v>0</v>
      </c>
      <c r="CC60" s="157">
        <f t="shared" si="19"/>
        <v>7.8936486706754886E-5</v>
      </c>
      <c r="CD60" s="157">
        <f t="shared" si="20"/>
        <v>1.3375566956122786E-4</v>
      </c>
      <c r="CE60" s="155"/>
      <c r="CF60" s="157">
        <f t="shared" si="21"/>
        <v>4.4523016416344426E-5</v>
      </c>
      <c r="CG60" s="157">
        <f t="shared" si="22"/>
        <v>5.918723392307461E-5</v>
      </c>
      <c r="CH60" s="4"/>
      <c r="CI60" s="157">
        <f t="shared" si="56"/>
        <v>5.0612327008327837E-6</v>
      </c>
      <c r="CJ60" s="157">
        <f t="shared" si="57"/>
        <v>8.3083846540641775E-6</v>
      </c>
      <c r="CK60" s="157">
        <f t="shared" si="58"/>
        <v>2.7143831762054866E-6</v>
      </c>
      <c r="CL60" s="157">
        <f t="shared" si="59"/>
        <v>3.7666135705399686E-6</v>
      </c>
      <c r="CM60" s="157">
        <f t="shared" si="60"/>
        <v>1.6693046279193353E-6</v>
      </c>
      <c r="CN60" s="157">
        <f t="shared" si="61"/>
        <v>3.0336162072467399E-6</v>
      </c>
      <c r="CO60" s="157">
        <f t="shared" si="62"/>
        <v>1.7341010724752365E-8</v>
      </c>
      <c r="CP60" s="157">
        <f t="shared" si="63"/>
        <v>1.3726599413186737E-7</v>
      </c>
      <c r="CQ60" s="157">
        <f t="shared" si="64"/>
        <v>6.6020388598320848E-7</v>
      </c>
      <c r="CR60" s="157">
        <f t="shared" si="65"/>
        <v>1.370888882145602E-6</v>
      </c>
      <c r="CT60" s="157">
        <f t="shared" si="23"/>
        <v>1.6497123022721701E-5</v>
      </c>
      <c r="CU60" s="157">
        <f t="shared" si="24"/>
        <v>2.795391368171017E-5</v>
      </c>
      <c r="CV60" s="155"/>
      <c r="CW60" s="157">
        <f t="shared" si="25"/>
        <v>9.3049704871174344E-6</v>
      </c>
      <c r="CX60" s="157">
        <f t="shared" si="26"/>
        <v>1.236967998120967E-5</v>
      </c>
      <c r="CY60" s="4"/>
      <c r="CZ60" s="157">
        <f t="shared" si="66"/>
        <v>1.0577589907496531E-6</v>
      </c>
      <c r="DA60" s="157">
        <f t="shared" si="67"/>
        <v>1.7363889561917977E-6</v>
      </c>
      <c r="DB60" s="157">
        <f t="shared" si="68"/>
        <v>5.6728535886099987E-7</v>
      </c>
      <c r="DC60" s="157">
        <f t="shared" si="69"/>
        <v>7.8719347724571972E-7</v>
      </c>
      <c r="DD60" s="157">
        <f t="shared" si="70"/>
        <v>3.4887192169432292E-7</v>
      </c>
      <c r="DE60" s="157">
        <f t="shared" si="71"/>
        <v>6.3400262492793802E-7</v>
      </c>
      <c r="DF60" s="157">
        <f t="shared" si="72"/>
        <v>3.6241388387012612E-9</v>
      </c>
      <c r="DG60" s="157">
        <f t="shared" si="73"/>
        <v>2.8687544714804618E-8</v>
      </c>
      <c r="DH60" s="157">
        <f t="shared" si="74"/>
        <v>1.3797757135562887E-7</v>
      </c>
      <c r="DI60" s="157">
        <f t="shared" si="75"/>
        <v>2.8650530930333538E-7</v>
      </c>
    </row>
    <row r="61" spans="1:113" x14ac:dyDescent="0.25">
      <c r="A61">
        <f t="shared" si="6"/>
        <v>56</v>
      </c>
      <c r="B61" s="11" t="s">
        <v>160</v>
      </c>
      <c r="C61" s="158">
        <v>1.5189485127323852</v>
      </c>
      <c r="D61" s="17">
        <v>2.1393386435437671</v>
      </c>
      <c r="E61" s="155"/>
      <c r="F61" s="162">
        <v>0.5038681450611856</v>
      </c>
      <c r="G61" s="17">
        <v>0.66982347937176612</v>
      </c>
      <c r="H61" s="4"/>
      <c r="I61" s="155">
        <v>8.325067923729898E-2</v>
      </c>
      <c r="J61" s="17">
        <v>0.11999878309680932</v>
      </c>
      <c r="K61" s="155">
        <v>3.2478099570257768E-2</v>
      </c>
      <c r="L61" s="17">
        <v>4.43862185533122E-2</v>
      </c>
      <c r="M61" s="155">
        <v>3.3540957731959024E-2</v>
      </c>
      <c r="N61" s="17">
        <v>4.8980907674542856E-2</v>
      </c>
      <c r="O61" s="169">
        <v>2.8233992137365765E-3</v>
      </c>
      <c r="P61" s="17">
        <v>4.1805933977688593E-3</v>
      </c>
      <c r="Q61" s="155">
        <v>1.4408222721345617E-2</v>
      </c>
      <c r="R61" s="17">
        <v>2.2451063471185403E-2</v>
      </c>
      <c r="S61" s="3"/>
      <c r="T61" s="104">
        <f t="shared" si="0"/>
        <v>1.4498608044095052</v>
      </c>
      <c r="U61" s="105">
        <f t="shared" si="0"/>
        <v>1.9273907631060778</v>
      </c>
      <c r="V61" s="166"/>
      <c r="W61" s="3">
        <v>0.34752863414802049</v>
      </c>
      <c r="X61" s="172">
        <f>+'I-O'!BO58/'I-O'!BO$75</f>
        <v>3.8597701026450069E-2</v>
      </c>
      <c r="Y61" s="172">
        <f>+'I-O'!BP58/'I-O'!BP$75</f>
        <v>9.7876206293966164E-2</v>
      </c>
      <c r="Z61" s="172">
        <f>+'I-O'!BT58/'I-O'!BT$75</f>
        <v>0</v>
      </c>
      <c r="AA61" s="172">
        <f>+'I-O'!BU58/'I-O'!BU$75</f>
        <v>7.3358790351284959E-5</v>
      </c>
      <c r="AB61" s="172">
        <f>+'I-O'!BW58/'I-O'!BW$75</f>
        <v>0</v>
      </c>
      <c r="AC61" s="134"/>
      <c r="AD61" s="157">
        <f t="shared" si="7"/>
        <v>1.8208811676451456E-2</v>
      </c>
      <c r="AE61" s="157">
        <f t="shared" si="8"/>
        <v>2.4094099426943631E-2</v>
      </c>
      <c r="AF61" s="155"/>
      <c r="AG61" s="157">
        <f t="shared" si="9"/>
        <v>4.7799100512986538E-3</v>
      </c>
      <c r="AH61" s="157">
        <f t="shared" si="10"/>
        <v>6.3542337673602161E-3</v>
      </c>
      <c r="AI61" s="4"/>
      <c r="AJ61" s="157">
        <f t="shared" si="10"/>
        <v>1.6611157409578401E-3</v>
      </c>
      <c r="AK61" s="157">
        <f t="shared" si="27"/>
        <v>2.009724067810712E-3</v>
      </c>
      <c r="AL61" s="157">
        <f t="shared" si="28"/>
        <v>2.9629764576412934E-4</v>
      </c>
      <c r="AM61" s="157">
        <f t="shared" si="29"/>
        <v>4.0926318680314521E-4</v>
      </c>
      <c r="AN61" s="157">
        <f t="shared" si="30"/>
        <v>3.8732070320017471E-4</v>
      </c>
      <c r="AO61" s="157">
        <f t="shared" si="31"/>
        <v>5.3379071255776716E-4</v>
      </c>
      <c r="AP61" s="157">
        <f t="shared" si="32"/>
        <v>7.9763380996880325E-4</v>
      </c>
      <c r="AQ61" s="157">
        <f t="shared" si="33"/>
        <v>8.1050873803362915E-4</v>
      </c>
      <c r="AR61" s="157">
        <f t="shared" si="34"/>
        <v>1.7986358202473209E-4</v>
      </c>
      <c r="AS61" s="157">
        <f t="shared" si="35"/>
        <v>2.5616143041617045E-4</v>
      </c>
      <c r="AT61" s="134"/>
      <c r="AU61" s="157">
        <f t="shared" si="11"/>
        <v>0.54296341365513112</v>
      </c>
      <c r="AV61" s="157">
        <f t="shared" si="12"/>
        <v>0.71845514722512216</v>
      </c>
      <c r="AW61" s="155"/>
      <c r="AX61" s="157">
        <f t="shared" si="13"/>
        <v>0.14253078808948211</v>
      </c>
      <c r="AY61" s="157">
        <f t="shared" si="14"/>
        <v>0.18947510242804425</v>
      </c>
      <c r="AZ61" s="4"/>
      <c r="BA61" s="157">
        <f t="shared" si="36"/>
        <v>4.9532341220990053E-2</v>
      </c>
      <c r="BB61" s="157">
        <f t="shared" si="37"/>
        <v>5.9927394480914054E-2</v>
      </c>
      <c r="BC61" s="157">
        <f t="shared" si="38"/>
        <v>8.835215831801203E-3</v>
      </c>
      <c r="BD61" s="157">
        <f t="shared" si="39"/>
        <v>1.2203703401325898E-2</v>
      </c>
      <c r="BE61" s="157">
        <f t="shared" si="40"/>
        <v>1.154940667879192E-2</v>
      </c>
      <c r="BF61" s="157">
        <f t="shared" si="41"/>
        <v>1.5916954528262337E-2</v>
      </c>
      <c r="BG61" s="157">
        <f t="shared" si="42"/>
        <v>2.3784417347096735E-2</v>
      </c>
      <c r="BH61" s="157">
        <f t="shared" si="43"/>
        <v>2.416833119149564E-2</v>
      </c>
      <c r="BI61" s="157">
        <f t="shared" si="44"/>
        <v>5.3633013633001738E-3</v>
      </c>
      <c r="BJ61" s="157">
        <f t="shared" si="45"/>
        <v>7.6384053598301856E-3</v>
      </c>
      <c r="BL61" s="157">
        <f t="shared" si="15"/>
        <v>4.3343587764463837E-3</v>
      </c>
      <c r="BM61" s="157">
        <f t="shared" si="16"/>
        <v>5.7352710966197861E-3</v>
      </c>
      <c r="BN61" s="155"/>
      <c r="BO61" s="157">
        <f t="shared" si="17"/>
        <v>1.1377922650638401E-3</v>
      </c>
      <c r="BP61" s="157">
        <f t="shared" si="18"/>
        <v>1.5125385108336201E-3</v>
      </c>
      <c r="BQ61" s="4"/>
      <c r="BR61" s="157">
        <f t="shared" si="46"/>
        <v>3.9540590118931728E-4</v>
      </c>
      <c r="BS61" s="157">
        <f t="shared" si="47"/>
        <v>4.7838734928629144E-4</v>
      </c>
      <c r="BT61" s="157">
        <f t="shared" si="48"/>
        <v>7.0529605345912016E-5</v>
      </c>
      <c r="BU61" s="157">
        <f t="shared" si="49"/>
        <v>9.7419508593782415E-5</v>
      </c>
      <c r="BV61" s="157">
        <f t="shared" si="50"/>
        <v>9.219640023989885E-5</v>
      </c>
      <c r="BW61" s="157">
        <f t="shared" si="51"/>
        <v>1.2706158429615932E-4</v>
      </c>
      <c r="BX61" s="157">
        <f t="shared" si="52"/>
        <v>1.898658279331711E-4</v>
      </c>
      <c r="BY61" s="157">
        <f t="shared" si="53"/>
        <v>1.9293052860916654E-4</v>
      </c>
      <c r="BZ61" s="157">
        <f t="shared" si="54"/>
        <v>4.2814067670335149E-5</v>
      </c>
      <c r="CA61" s="157">
        <f t="shared" si="55"/>
        <v>6.097572778718326E-5</v>
      </c>
      <c r="CC61" s="157">
        <f t="shared" si="19"/>
        <v>7.0578497800642003E-5</v>
      </c>
      <c r="CD61" s="157">
        <f t="shared" si="20"/>
        <v>9.3390242791746531E-5</v>
      </c>
      <c r="CE61" s="155"/>
      <c r="CF61" s="157">
        <f t="shared" si="21"/>
        <v>1.8527231597388528E-5</v>
      </c>
      <c r="CG61" s="157">
        <f t="shared" si="22"/>
        <v>2.4629409208201372E-5</v>
      </c>
      <c r="CH61" s="4"/>
      <c r="CI61" s="157">
        <f t="shared" si="56"/>
        <v>6.4385889509431369E-6</v>
      </c>
      <c r="CJ61" s="157">
        <f t="shared" si="57"/>
        <v>7.7898167228185708E-6</v>
      </c>
      <c r="CK61" s="157">
        <f t="shared" si="58"/>
        <v>1.1484682862058354E-6</v>
      </c>
      <c r="CL61" s="157">
        <f t="shared" si="59"/>
        <v>1.5863298189318571E-6</v>
      </c>
      <c r="CM61" s="157">
        <f t="shared" si="60"/>
        <v>1.501279374222404E-6</v>
      </c>
      <c r="CN61" s="157">
        <f t="shared" si="61"/>
        <v>2.0690063306538327E-6</v>
      </c>
      <c r="CO61" s="157">
        <f t="shared" si="62"/>
        <v>3.0916787488886718E-6</v>
      </c>
      <c r="CP61" s="157">
        <f t="shared" si="63"/>
        <v>3.1415827787755816E-6</v>
      </c>
      <c r="CQ61" s="157">
        <f t="shared" si="64"/>
        <v>6.9716254162622303E-7</v>
      </c>
      <c r="CR61" s="157">
        <f t="shared" si="65"/>
        <v>9.928977944573007E-7</v>
      </c>
      <c r="CT61" s="157">
        <f t="shared" si="23"/>
        <v>3.3242024623821205E-2</v>
      </c>
      <c r="CU61" s="157">
        <f t="shared" si="24"/>
        <v>4.3986211767738134E-2</v>
      </c>
      <c r="CV61" s="155"/>
      <c r="CW61" s="157">
        <f t="shared" si="25"/>
        <v>8.7262085219108419E-3</v>
      </c>
      <c r="CX61" s="157">
        <f t="shared" si="26"/>
        <v>1.1600295456582407E-2</v>
      </c>
      <c r="CY61" s="4"/>
      <c r="CZ61" s="157">
        <f t="shared" si="66"/>
        <v>3.0325345412490208E-3</v>
      </c>
      <c r="DA61" s="157">
        <f t="shared" si="67"/>
        <v>3.6689542478847391E-3</v>
      </c>
      <c r="DB61" s="157">
        <f t="shared" si="68"/>
        <v>5.4092127545090436E-4</v>
      </c>
      <c r="DC61" s="157">
        <f t="shared" si="69"/>
        <v>7.4715127901114041E-4</v>
      </c>
      <c r="DD61" s="157">
        <f t="shared" si="70"/>
        <v>7.070930592218143E-4</v>
      </c>
      <c r="DE61" s="157">
        <f t="shared" si="71"/>
        <v>9.7448885331491214E-4</v>
      </c>
      <c r="DF61" s="157">
        <f t="shared" si="72"/>
        <v>1.4561610731613946E-3</v>
      </c>
      <c r="DG61" s="157">
        <f t="shared" si="73"/>
        <v>1.479665554583121E-3</v>
      </c>
      <c r="DH61" s="157">
        <f t="shared" si="74"/>
        <v>3.2835913341490642E-4</v>
      </c>
      <c r="DI61" s="157">
        <f t="shared" si="75"/>
        <v>4.6764856097556573E-4</v>
      </c>
    </row>
    <row r="62" spans="1:113" x14ac:dyDescent="0.25">
      <c r="A62">
        <f t="shared" si="6"/>
        <v>57</v>
      </c>
      <c r="B62" s="11" t="s">
        <v>161</v>
      </c>
      <c r="C62" s="158">
        <v>1.1186763553965349</v>
      </c>
      <c r="D62" s="17">
        <v>1.6430934008571978</v>
      </c>
      <c r="E62" s="155"/>
      <c r="F62" s="162">
        <v>0.42592077277107415</v>
      </c>
      <c r="G62" s="17">
        <v>0.56620315602525095</v>
      </c>
      <c r="H62" s="4"/>
      <c r="I62" s="155">
        <v>5.4358261467260763E-2</v>
      </c>
      <c r="J62" s="17">
        <v>8.5421508761478387E-2</v>
      </c>
      <c r="K62" s="155">
        <v>2.6253679399284687E-2</v>
      </c>
      <c r="L62" s="17">
        <v>3.6319636712177625E-2</v>
      </c>
      <c r="M62" s="155">
        <v>1.9256445999606565E-2</v>
      </c>
      <c r="N62" s="17">
        <v>3.2307867240561276E-2</v>
      </c>
      <c r="O62" s="169">
        <v>1.4055224126384772E-3</v>
      </c>
      <c r="P62" s="17">
        <v>2.5527614300866683E-3</v>
      </c>
      <c r="Q62" s="155">
        <v>7.4426136557310266E-3</v>
      </c>
      <c r="R62" s="17">
        <v>1.4241243378652825E-2</v>
      </c>
      <c r="S62" s="3"/>
      <c r="T62" s="104">
        <f t="shared" si="0"/>
        <v>1.0898470373878146</v>
      </c>
      <c r="U62" s="105">
        <f t="shared" si="0"/>
        <v>1.4488019171711508</v>
      </c>
      <c r="V62" s="166"/>
      <c r="W62" s="3">
        <v>0.39080784565138305</v>
      </c>
      <c r="X62" s="172">
        <f>+'I-O'!BO59/'I-O'!BO$75</f>
        <v>8.9233840656301484E-3</v>
      </c>
      <c r="Y62" s="172">
        <f>+'I-O'!BP59/'I-O'!BP$75</f>
        <v>0</v>
      </c>
      <c r="Z62" s="172">
        <f>+'I-O'!BT59/'I-O'!BT$75</f>
        <v>2.2661358160286832E-2</v>
      </c>
      <c r="AA62" s="172">
        <f>+'I-O'!BU59/'I-O'!BU$75</f>
        <v>2.4006679690459696E-4</v>
      </c>
      <c r="AB62" s="172">
        <f>+'I-O'!BW59/'I-O'!BW$75</f>
        <v>1.0623594884258737E-3</v>
      </c>
      <c r="AC62" s="134"/>
      <c r="AD62" s="157">
        <f t="shared" si="7"/>
        <v>5.8627920569015592E-2</v>
      </c>
      <c r="AE62" s="157">
        <f t="shared" si="8"/>
        <v>8.2573553357833562E-2</v>
      </c>
      <c r="AF62" s="155"/>
      <c r="AG62" s="157">
        <f t="shared" si="9"/>
        <v>1.9448152019823615E-2</v>
      </c>
      <c r="AH62" s="157">
        <f t="shared" si="10"/>
        <v>2.5853646397287974E-2</v>
      </c>
      <c r="AI62" s="4"/>
      <c r="AJ62" s="157">
        <f t="shared" si="10"/>
        <v>3.2132848274501603E-3</v>
      </c>
      <c r="AK62" s="157">
        <f t="shared" si="27"/>
        <v>4.6316771535084766E-3</v>
      </c>
      <c r="AL62" s="157">
        <f t="shared" si="28"/>
        <v>1.2535799771200859E-3</v>
      </c>
      <c r="AM62" s="157">
        <f t="shared" si="29"/>
        <v>1.7132059934154154E-3</v>
      </c>
      <c r="AN62" s="157">
        <f t="shared" si="30"/>
        <v>1.2946038586789533E-3</v>
      </c>
      <c r="AO62" s="157">
        <f t="shared" si="31"/>
        <v>1.8905504304261589E-3</v>
      </c>
      <c r="AP62" s="157">
        <f t="shared" si="32"/>
        <v>1.0897671873011857E-4</v>
      </c>
      <c r="AQ62" s="157">
        <f t="shared" si="33"/>
        <v>1.6136129408023347E-4</v>
      </c>
      <c r="AR62" s="157">
        <f t="shared" si="34"/>
        <v>5.5612427292100293E-4</v>
      </c>
      <c r="AS62" s="157">
        <f t="shared" si="35"/>
        <v>8.6655943558666855E-4</v>
      </c>
      <c r="AT62" s="134"/>
      <c r="AU62" s="157">
        <f t="shared" si="11"/>
        <v>0.14866891798210802</v>
      </c>
      <c r="AV62" s="157">
        <f t="shared" si="12"/>
        <v>0.20939035040814349</v>
      </c>
      <c r="AW62" s="155"/>
      <c r="AX62" s="157">
        <f t="shared" si="13"/>
        <v>4.9316702510966669E-2</v>
      </c>
      <c r="AY62" s="157">
        <f t="shared" si="14"/>
        <v>6.5559781047533169E-2</v>
      </c>
      <c r="AZ62" s="4"/>
      <c r="BA62" s="157">
        <f t="shared" si="36"/>
        <v>8.1482606551426806E-3</v>
      </c>
      <c r="BB62" s="157">
        <f t="shared" si="37"/>
        <v>1.1745025649408209E-2</v>
      </c>
      <c r="BC62" s="157">
        <f t="shared" si="38"/>
        <v>3.1788331735745231E-3</v>
      </c>
      <c r="BD62" s="157">
        <f t="shared" si="39"/>
        <v>4.3443546837330536E-3</v>
      </c>
      <c r="BE62" s="157">
        <f t="shared" si="40"/>
        <v>3.2828616982704209E-3</v>
      </c>
      <c r="BF62" s="157">
        <f t="shared" si="41"/>
        <v>4.7940654240192669E-3</v>
      </c>
      <c r="BG62" s="157">
        <f t="shared" si="42"/>
        <v>2.76343603893903E-4</v>
      </c>
      <c r="BH62" s="157">
        <f t="shared" si="43"/>
        <v>4.0918062183121785E-4</v>
      </c>
      <c r="BI62" s="157">
        <f t="shared" si="44"/>
        <v>1.4102221794038343E-3</v>
      </c>
      <c r="BJ62" s="157">
        <f t="shared" si="45"/>
        <v>2.1974249198246708E-3</v>
      </c>
      <c r="BL62" s="157">
        <f t="shared" si="15"/>
        <v>0</v>
      </c>
      <c r="BM62" s="157">
        <f t="shared" si="16"/>
        <v>0</v>
      </c>
      <c r="BN62" s="155"/>
      <c r="BO62" s="157">
        <f t="shared" si="17"/>
        <v>0</v>
      </c>
      <c r="BP62" s="157">
        <f t="shared" si="18"/>
        <v>0</v>
      </c>
      <c r="BQ62" s="4"/>
      <c r="BR62" s="157">
        <f t="shared" si="46"/>
        <v>0</v>
      </c>
      <c r="BS62" s="157">
        <f t="shared" si="47"/>
        <v>0</v>
      </c>
      <c r="BT62" s="157">
        <f t="shared" si="48"/>
        <v>0</v>
      </c>
      <c r="BU62" s="157">
        <f t="shared" si="49"/>
        <v>0</v>
      </c>
      <c r="BV62" s="157">
        <f t="shared" si="50"/>
        <v>0</v>
      </c>
      <c r="BW62" s="157">
        <f t="shared" si="51"/>
        <v>0</v>
      </c>
      <c r="BX62" s="157">
        <f t="shared" si="52"/>
        <v>0</v>
      </c>
      <c r="BY62" s="157">
        <f t="shared" si="53"/>
        <v>0</v>
      </c>
      <c r="BZ62" s="157">
        <f t="shared" si="54"/>
        <v>0</v>
      </c>
      <c r="CA62" s="157">
        <f t="shared" si="55"/>
        <v>0</v>
      </c>
      <c r="CC62" s="157">
        <f t="shared" si="19"/>
        <v>1.1142822549993114E-4</v>
      </c>
      <c r="CD62" s="157">
        <f t="shared" si="20"/>
        <v>1.5693929504212955E-4</v>
      </c>
      <c r="CE62" s="155"/>
      <c r="CF62" s="157">
        <f t="shared" si="21"/>
        <v>3.6963157618234353E-5</v>
      </c>
      <c r="CG62" s="157">
        <f t="shared" si="22"/>
        <v>4.9137440195601637E-5</v>
      </c>
      <c r="CH62" s="4"/>
      <c r="CI62" s="157">
        <f t="shared" si="56"/>
        <v>6.1071691247710871E-6</v>
      </c>
      <c r="CJ62" s="157">
        <f t="shared" si="57"/>
        <v>8.8029655716081527E-6</v>
      </c>
      <c r="CK62" s="157">
        <f t="shared" si="58"/>
        <v>2.3825540973826976E-6</v>
      </c>
      <c r="CL62" s="157">
        <f t="shared" si="59"/>
        <v>3.2561193013387442E-6</v>
      </c>
      <c r="CM62" s="157">
        <f t="shared" si="60"/>
        <v>2.4605240864400924E-6</v>
      </c>
      <c r="CN62" s="157">
        <f t="shared" si="61"/>
        <v>3.593180137312434E-6</v>
      </c>
      <c r="CO62" s="157">
        <f t="shared" si="62"/>
        <v>2.071211509984843E-7</v>
      </c>
      <c r="CP62" s="157">
        <f t="shared" si="63"/>
        <v>3.0668327461089182E-7</v>
      </c>
      <c r="CQ62" s="157">
        <f t="shared" si="64"/>
        <v>1.0569697899498136E-6</v>
      </c>
      <c r="CR62" s="157">
        <f t="shared" si="65"/>
        <v>1.6469828583460819E-6</v>
      </c>
      <c r="CT62" s="157">
        <f t="shared" si="23"/>
        <v>0</v>
      </c>
      <c r="CU62" s="157">
        <f t="shared" si="24"/>
        <v>0</v>
      </c>
      <c r="CV62" s="155"/>
      <c r="CW62" s="157">
        <f t="shared" si="25"/>
        <v>0</v>
      </c>
      <c r="CX62" s="157">
        <f t="shared" si="26"/>
        <v>0</v>
      </c>
      <c r="CY62" s="4"/>
      <c r="CZ62" s="157">
        <f t="shared" si="66"/>
        <v>0</v>
      </c>
      <c r="DA62" s="157">
        <f t="shared" si="67"/>
        <v>0</v>
      </c>
      <c r="DB62" s="157">
        <f t="shared" si="68"/>
        <v>0</v>
      </c>
      <c r="DC62" s="157">
        <f t="shared" si="69"/>
        <v>0</v>
      </c>
      <c r="DD62" s="157">
        <f t="shared" si="70"/>
        <v>0</v>
      </c>
      <c r="DE62" s="157">
        <f t="shared" si="71"/>
        <v>0</v>
      </c>
      <c r="DF62" s="157">
        <f t="shared" si="72"/>
        <v>0</v>
      </c>
      <c r="DG62" s="157">
        <f t="shared" si="73"/>
        <v>0</v>
      </c>
      <c r="DH62" s="157">
        <f t="shared" si="74"/>
        <v>0</v>
      </c>
      <c r="DI62" s="157">
        <f t="shared" si="75"/>
        <v>0</v>
      </c>
    </row>
    <row r="63" spans="1:113" x14ac:dyDescent="0.25">
      <c r="A63">
        <f t="shared" si="6"/>
        <v>58</v>
      </c>
      <c r="B63" s="11" t="s">
        <v>162</v>
      </c>
      <c r="C63" s="158">
        <v>1.3578700500287697</v>
      </c>
      <c r="D63" s="17">
        <v>2.1166240878376374</v>
      </c>
      <c r="E63" s="155"/>
      <c r="F63" s="162">
        <v>0.61624447359990919</v>
      </c>
      <c r="G63" s="17">
        <v>0.8192123703319043</v>
      </c>
      <c r="H63" s="4"/>
      <c r="I63" s="155">
        <v>8.6844964004170452E-2</v>
      </c>
      <c r="J63" s="17">
        <v>0.13178889654022871</v>
      </c>
      <c r="K63" s="155">
        <v>3.9168647418625177E-2</v>
      </c>
      <c r="L63" s="17">
        <v>5.3732601473284382E-2</v>
      </c>
      <c r="M63" s="155">
        <v>3.2081801528030723E-2</v>
      </c>
      <c r="N63" s="17">
        <v>5.0965281101086744E-2</v>
      </c>
      <c r="O63" s="169">
        <v>2.9726831800024538E-3</v>
      </c>
      <c r="P63" s="17">
        <v>4.6325686554183915E-3</v>
      </c>
      <c r="Q63" s="155">
        <v>1.2621831877512094E-2</v>
      </c>
      <c r="R63" s="17">
        <v>2.2458445310439199E-2</v>
      </c>
      <c r="S63" s="3"/>
      <c r="T63" s="104">
        <f t="shared" si="0"/>
        <v>1.2150445564795145</v>
      </c>
      <c r="U63" s="105">
        <f t="shared" si="0"/>
        <v>1.6152348196451349</v>
      </c>
      <c r="V63" s="166"/>
      <c r="W63" s="3">
        <v>0.50717849836340467</v>
      </c>
      <c r="X63" s="172">
        <f>+'I-O'!BO60/'I-O'!BO$75</f>
        <v>1.1550114100940362E-2</v>
      </c>
      <c r="Y63" s="172">
        <f>+'I-O'!BP60/'I-O'!BP$75</f>
        <v>6.797363025803093E-3</v>
      </c>
      <c r="Z63" s="172">
        <f>+'I-O'!BT60/'I-O'!BT$75</f>
        <v>0</v>
      </c>
      <c r="AA63" s="172">
        <f>+'I-O'!BU60/'I-O'!BU$75</f>
        <v>1.0561956082144724E-5</v>
      </c>
      <c r="AB63" s="172">
        <f>+'I-O'!BW60/'I-O'!BW$75</f>
        <v>4.7478893796535401E-4</v>
      </c>
      <c r="AC63" s="134"/>
      <c r="AD63" s="157">
        <f t="shared" si="7"/>
        <v>9.9823787643426483E-3</v>
      </c>
      <c r="AE63" s="157">
        <f t="shared" si="8"/>
        <v>1.4661953471551168E-2</v>
      </c>
      <c r="AF63" s="155"/>
      <c r="AG63" s="157">
        <f t="shared" si="9"/>
        <v>3.8006546369662823E-3</v>
      </c>
      <c r="AH63" s="157">
        <f t="shared" si="10"/>
        <v>5.052448220385225E-3</v>
      </c>
      <c r="AI63" s="4"/>
      <c r="AJ63" s="157">
        <f t="shared" si="10"/>
        <v>4.85059644212312E-4</v>
      </c>
      <c r="AK63" s="157">
        <f t="shared" si="27"/>
        <v>7.6224893014426238E-4</v>
      </c>
      <c r="AL63" s="157">
        <f t="shared" si="28"/>
        <v>2.3427166441573947E-4</v>
      </c>
      <c r="AM63" s="157">
        <f t="shared" si="29"/>
        <v>3.2409406750692158E-4</v>
      </c>
      <c r="AN63" s="157">
        <f t="shared" si="30"/>
        <v>1.7183266339355663E-4</v>
      </c>
      <c r="AO63" s="157">
        <f t="shared" si="31"/>
        <v>2.8829550772891874E-4</v>
      </c>
      <c r="AP63" s="157">
        <f t="shared" si="32"/>
        <v>1.2542016300824229E-5</v>
      </c>
      <c r="AQ63" s="157">
        <f t="shared" si="33"/>
        <v>2.2779270668590605E-5</v>
      </c>
      <c r="AR63" s="157">
        <f t="shared" si="34"/>
        <v>6.6413300102191594E-5</v>
      </c>
      <c r="AS63" s="157">
        <f t="shared" si="35"/>
        <v>1.2708008423983148E-4</v>
      </c>
      <c r="AT63" s="134"/>
      <c r="AU63" s="157">
        <f t="shared" si="11"/>
        <v>0</v>
      </c>
      <c r="AV63" s="157">
        <f t="shared" si="12"/>
        <v>0</v>
      </c>
      <c r="AW63" s="155"/>
      <c r="AX63" s="157">
        <f t="shared" si="13"/>
        <v>0</v>
      </c>
      <c r="AY63" s="157">
        <f t="shared" si="14"/>
        <v>0</v>
      </c>
      <c r="AZ63" s="4"/>
      <c r="BA63" s="157">
        <f t="shared" si="36"/>
        <v>0</v>
      </c>
      <c r="BB63" s="157">
        <f t="shared" si="37"/>
        <v>0</v>
      </c>
      <c r="BC63" s="157">
        <f t="shared" si="38"/>
        <v>0</v>
      </c>
      <c r="BD63" s="157">
        <f t="shared" si="39"/>
        <v>0</v>
      </c>
      <c r="BE63" s="157">
        <f t="shared" si="40"/>
        <v>0</v>
      </c>
      <c r="BF63" s="157">
        <f t="shared" si="41"/>
        <v>0</v>
      </c>
      <c r="BG63" s="157">
        <f t="shared" si="42"/>
        <v>0</v>
      </c>
      <c r="BH63" s="157">
        <f t="shared" si="43"/>
        <v>0</v>
      </c>
      <c r="BI63" s="157">
        <f t="shared" si="44"/>
        <v>0</v>
      </c>
      <c r="BJ63" s="157">
        <f t="shared" si="45"/>
        <v>0</v>
      </c>
      <c r="BL63" s="157">
        <f t="shared" si="15"/>
        <v>2.5350725555085198E-2</v>
      </c>
      <c r="BM63" s="157">
        <f t="shared" si="16"/>
        <v>3.7234728047628701E-2</v>
      </c>
      <c r="BN63" s="155"/>
      <c r="BO63" s="157">
        <f t="shared" si="17"/>
        <v>9.6519431796714544E-3</v>
      </c>
      <c r="BP63" s="157">
        <f t="shared" si="18"/>
        <v>1.2830932510172978E-2</v>
      </c>
      <c r="BQ63" s="4"/>
      <c r="BR63" s="157">
        <f t="shared" si="46"/>
        <v>1.231832032080115E-3</v>
      </c>
      <c r="BS63" s="157">
        <f t="shared" si="47"/>
        <v>1.9357674046359414E-3</v>
      </c>
      <c r="BT63" s="157">
        <f t="shared" si="48"/>
        <v>5.9494403189253432E-4</v>
      </c>
      <c r="BU63" s="157">
        <f t="shared" si="49"/>
        <v>8.2305229578615957E-4</v>
      </c>
      <c r="BV63" s="157">
        <f t="shared" si="50"/>
        <v>4.3637721969130692E-4</v>
      </c>
      <c r="BW63" s="157">
        <f t="shared" si="51"/>
        <v>7.321401509333569E-4</v>
      </c>
      <c r="BX63" s="157">
        <f t="shared" si="52"/>
        <v>3.1851046795110989E-5</v>
      </c>
      <c r="BY63" s="157">
        <f t="shared" si="53"/>
        <v>5.784904106496E-5</v>
      </c>
      <c r="BZ63" s="157">
        <f t="shared" si="54"/>
        <v>1.686597337011625E-4</v>
      </c>
      <c r="CA63" s="157">
        <f t="shared" si="55"/>
        <v>3.2272591685146503E-4</v>
      </c>
      <c r="CC63" s="157">
        <f t="shared" si="19"/>
        <v>2.6855704941295468E-4</v>
      </c>
      <c r="CD63" s="157">
        <f t="shared" si="20"/>
        <v>3.9445216975886842E-4</v>
      </c>
      <c r="CE63" s="155"/>
      <c r="CF63" s="157">
        <f t="shared" si="21"/>
        <v>1.0224943565428245E-4</v>
      </c>
      <c r="CG63" s="157">
        <f t="shared" si="22"/>
        <v>1.3592657806425575E-4</v>
      </c>
      <c r="CH63" s="4"/>
      <c r="CI63" s="157">
        <f t="shared" si="56"/>
        <v>1.3049613715747869E-5</v>
      </c>
      <c r="CJ63" s="157">
        <f t="shared" si="57"/>
        <v>2.0506867995126082E-5</v>
      </c>
      <c r="CK63" s="157">
        <f t="shared" si="58"/>
        <v>6.3026367203464778E-6</v>
      </c>
      <c r="CL63" s="157">
        <f t="shared" si="59"/>
        <v>8.7191388502310894E-6</v>
      </c>
      <c r="CM63" s="157">
        <f t="shared" si="60"/>
        <v>4.6228333108918875E-6</v>
      </c>
      <c r="CN63" s="157">
        <f t="shared" si="61"/>
        <v>7.7560462032605049E-6</v>
      </c>
      <c r="CO63" s="157">
        <f t="shared" si="62"/>
        <v>3.3741926357974041E-7</v>
      </c>
      <c r="CP63" s="157">
        <f t="shared" si="63"/>
        <v>6.1283325978250463E-7</v>
      </c>
      <c r="CQ63" s="157">
        <f t="shared" si="64"/>
        <v>1.7867244209297604E-6</v>
      </c>
      <c r="CR63" s="157">
        <f t="shared" si="65"/>
        <v>3.4188496818519842E-6</v>
      </c>
      <c r="CT63" s="157">
        <f t="shared" si="23"/>
        <v>1.1884364406331835E-3</v>
      </c>
      <c r="CU63" s="157">
        <f t="shared" si="24"/>
        <v>1.7455558647705815E-3</v>
      </c>
      <c r="CV63" s="155"/>
      <c r="CW63" s="157">
        <f t="shared" si="25"/>
        <v>4.524809742710311E-4</v>
      </c>
      <c r="CX63" s="157">
        <f t="shared" si="26"/>
        <v>6.0151129518010073E-4</v>
      </c>
      <c r="CY63" s="4"/>
      <c r="CZ63" s="157">
        <f t="shared" si="66"/>
        <v>5.7748014844079027E-5</v>
      </c>
      <c r="DA63" s="157">
        <f t="shared" si="67"/>
        <v>9.0748350348410459E-5</v>
      </c>
      <c r="DB63" s="157">
        <f t="shared" si="68"/>
        <v>2.7890845415920977E-5</v>
      </c>
      <c r="DC63" s="157">
        <f t="shared" si="69"/>
        <v>3.8584510677362602E-5</v>
      </c>
      <c r="DD63" s="157">
        <f t="shared" si="70"/>
        <v>2.0457268121042493E-5</v>
      </c>
      <c r="DE63" s="157">
        <f t="shared" si="71"/>
        <v>3.4322569313813717E-5</v>
      </c>
      <c r="DF63" s="157">
        <f t="shared" si="72"/>
        <v>1.4931700712617123E-6</v>
      </c>
      <c r="DG63" s="157">
        <f t="shared" si="73"/>
        <v>2.7119503269401744E-6</v>
      </c>
      <c r="DH63" s="157">
        <f t="shared" si="74"/>
        <v>7.9067312358538354E-6</v>
      </c>
      <c r="DI63" s="157">
        <f t="shared" si="75"/>
        <v>1.5129320030293977E-5</v>
      </c>
    </row>
    <row r="64" spans="1:113" x14ac:dyDescent="0.25">
      <c r="A64">
        <f t="shared" si="6"/>
        <v>59</v>
      </c>
      <c r="B64" s="11" t="s">
        <v>22</v>
      </c>
      <c r="C64" s="158">
        <v>1.1720234177335063</v>
      </c>
      <c r="D64" s="17">
        <v>1.4246669034242552</v>
      </c>
      <c r="E64" s="155"/>
      <c r="F64" s="162">
        <v>0.2051918594035349</v>
      </c>
      <c r="G64" s="17">
        <v>0.27277438860070846</v>
      </c>
      <c r="H64" s="4"/>
      <c r="I64" s="155">
        <v>2.9664572720194904E-2</v>
      </c>
      <c r="J64" s="17">
        <v>4.4629622276108977E-2</v>
      </c>
      <c r="K64" s="155">
        <v>1.4150344305623421E-2</v>
      </c>
      <c r="L64" s="17">
        <v>1.899972623238674E-2</v>
      </c>
      <c r="M64" s="155">
        <v>4.2877759762747431E-3</v>
      </c>
      <c r="N64" s="17">
        <v>1.0575436882942229E-2</v>
      </c>
      <c r="O64" s="169">
        <v>7.4768593697207013E-4</v>
      </c>
      <c r="P64" s="17">
        <v>1.3003805276559693E-3</v>
      </c>
      <c r="Q64" s="155">
        <v>1.0478766501324671E-2</v>
      </c>
      <c r="R64" s="17">
        <v>1.3754078633124046E-2</v>
      </c>
      <c r="S64" s="3"/>
      <c r="T64" s="104">
        <f t="shared" si="0"/>
        <v>1.3511908754910031</v>
      </c>
      <c r="U64" s="105">
        <f t="shared" si="0"/>
        <v>1.7962226475080372</v>
      </c>
      <c r="V64" s="166"/>
      <c r="W64" s="3">
        <v>0.15186000965923571</v>
      </c>
      <c r="X64" s="172">
        <f>+'I-O'!BO61/'I-O'!BO$75</f>
        <v>5.9112796120162677E-3</v>
      </c>
      <c r="Y64" s="172">
        <f>+'I-O'!BP61/'I-O'!BP$75</f>
        <v>0</v>
      </c>
      <c r="Z64" s="172">
        <f>+'I-O'!BT61/'I-O'!BT$75</f>
        <v>0</v>
      </c>
      <c r="AA64" s="172">
        <f>+'I-O'!BU61/'I-O'!BU$75</f>
        <v>1.1216795268915393E-6</v>
      </c>
      <c r="AB64" s="172">
        <f>+'I-O'!BW61/'I-O'!BW$75</f>
        <v>1.4603380941129532E-4</v>
      </c>
      <c r="AC64" s="134"/>
      <c r="AD64" s="157">
        <f t="shared" si="7"/>
        <v>1.5683554012081886E-2</v>
      </c>
      <c r="AE64" s="157">
        <f t="shared" si="8"/>
        <v>2.4447249723323527E-2</v>
      </c>
      <c r="AF64" s="155"/>
      <c r="AG64" s="157">
        <f t="shared" si="9"/>
        <v>7.117693984152882E-3</v>
      </c>
      <c r="AH64" s="157">
        <f t="shared" si="10"/>
        <v>9.4619963502353063E-3</v>
      </c>
      <c r="AI64" s="4"/>
      <c r="AJ64" s="157">
        <f t="shared" si="10"/>
        <v>1.0030692433402274E-3</v>
      </c>
      <c r="AK64" s="157">
        <f t="shared" si="27"/>
        <v>1.5221767922766662E-3</v>
      </c>
      <c r="AL64" s="157">
        <f t="shared" si="28"/>
        <v>4.5240234686462396E-4</v>
      </c>
      <c r="AM64" s="157">
        <f t="shared" si="29"/>
        <v>6.2061767795679082E-4</v>
      </c>
      <c r="AN64" s="157">
        <f t="shared" si="30"/>
        <v>3.7054846821247769E-4</v>
      </c>
      <c r="AO64" s="157">
        <f t="shared" si="31"/>
        <v>5.8865481190405135E-4</v>
      </c>
      <c r="AP64" s="157">
        <f t="shared" si="32"/>
        <v>3.4334829914974579E-5</v>
      </c>
      <c r="AQ64" s="157">
        <f t="shared" si="33"/>
        <v>5.3506696550522298E-5</v>
      </c>
      <c r="AR64" s="157">
        <f t="shared" si="34"/>
        <v>1.45783598348151E-4</v>
      </c>
      <c r="AS64" s="157">
        <f t="shared" si="35"/>
        <v>2.5939760586530175E-4</v>
      </c>
      <c r="AT64" s="134"/>
      <c r="AU64" s="157">
        <f t="shared" si="11"/>
        <v>9.2299356719109556E-3</v>
      </c>
      <c r="AV64" s="157">
        <f t="shared" si="12"/>
        <v>1.4387462314191754E-2</v>
      </c>
      <c r="AW64" s="155"/>
      <c r="AX64" s="157">
        <f t="shared" si="13"/>
        <v>4.1888373997035133E-3</v>
      </c>
      <c r="AY64" s="157">
        <f t="shared" si="14"/>
        <v>5.568483876374597E-3</v>
      </c>
      <c r="AZ64" s="4"/>
      <c r="BA64" s="157">
        <f t="shared" si="36"/>
        <v>5.903167472991488E-4</v>
      </c>
      <c r="BB64" s="157">
        <f t="shared" si="37"/>
        <v>8.9581697255393985E-4</v>
      </c>
      <c r="BC64" s="157">
        <f t="shared" si="38"/>
        <v>2.6624351573408054E-4</v>
      </c>
      <c r="BD64" s="157">
        <f t="shared" si="39"/>
        <v>3.6523999853471607E-4</v>
      </c>
      <c r="BE64" s="157">
        <f t="shared" si="40"/>
        <v>2.180716515077892E-4</v>
      </c>
      <c r="BF64" s="157">
        <f t="shared" si="41"/>
        <v>3.464295173561882E-4</v>
      </c>
      <c r="BG64" s="157">
        <f t="shared" si="42"/>
        <v>2.020640673517544E-5</v>
      </c>
      <c r="BH64" s="157">
        <f t="shared" si="43"/>
        <v>3.1489250892835326E-5</v>
      </c>
      <c r="BI64" s="157">
        <f t="shared" si="44"/>
        <v>8.5795173322103537E-5</v>
      </c>
      <c r="BJ64" s="157">
        <f t="shared" si="45"/>
        <v>1.5265820577020029E-4</v>
      </c>
      <c r="BL64" s="157">
        <f t="shared" si="15"/>
        <v>0</v>
      </c>
      <c r="BM64" s="157">
        <f t="shared" si="16"/>
        <v>0</v>
      </c>
      <c r="BN64" s="155"/>
      <c r="BO64" s="157">
        <f t="shared" si="17"/>
        <v>0</v>
      </c>
      <c r="BP64" s="157">
        <f t="shared" si="18"/>
        <v>0</v>
      </c>
      <c r="BQ64" s="4"/>
      <c r="BR64" s="157">
        <f t="shared" si="46"/>
        <v>0</v>
      </c>
      <c r="BS64" s="157">
        <f t="shared" si="47"/>
        <v>0</v>
      </c>
      <c r="BT64" s="157">
        <f t="shared" si="48"/>
        <v>0</v>
      </c>
      <c r="BU64" s="157">
        <f t="shared" si="49"/>
        <v>0</v>
      </c>
      <c r="BV64" s="157">
        <f t="shared" si="50"/>
        <v>0</v>
      </c>
      <c r="BW64" s="157">
        <f t="shared" si="51"/>
        <v>0</v>
      </c>
      <c r="BX64" s="157">
        <f t="shared" si="52"/>
        <v>0</v>
      </c>
      <c r="BY64" s="157">
        <f t="shared" si="53"/>
        <v>0</v>
      </c>
      <c r="BZ64" s="157">
        <f t="shared" si="54"/>
        <v>0</v>
      </c>
      <c r="CA64" s="157">
        <f t="shared" si="55"/>
        <v>0</v>
      </c>
      <c r="CC64" s="157">
        <f t="shared" si="19"/>
        <v>1.4341763833663526E-5</v>
      </c>
      <c r="CD64" s="157">
        <f t="shared" si="20"/>
        <v>2.2355690658150766E-5</v>
      </c>
      <c r="CE64" s="155"/>
      <c r="CF64" s="157">
        <f t="shared" si="21"/>
        <v>6.5087470660266353E-6</v>
      </c>
      <c r="CG64" s="157">
        <f t="shared" si="22"/>
        <v>8.6524850773952532E-6</v>
      </c>
      <c r="CH64" s="4"/>
      <c r="CI64" s="157">
        <f t="shared" si="56"/>
        <v>9.1725269576748779E-7</v>
      </c>
      <c r="CJ64" s="157">
        <f t="shared" si="57"/>
        <v>1.3919485373722104E-6</v>
      </c>
      <c r="CK64" s="157">
        <f t="shared" si="58"/>
        <v>4.1369753383253048E-7</v>
      </c>
      <c r="CL64" s="157">
        <f t="shared" si="59"/>
        <v>5.6752137694021452E-7</v>
      </c>
      <c r="CM64" s="157">
        <f t="shared" si="60"/>
        <v>3.3884657877514401E-7</v>
      </c>
      <c r="CN64" s="157">
        <f t="shared" si="61"/>
        <v>5.3829306070383877E-7</v>
      </c>
      <c r="CO64" s="157">
        <f t="shared" si="62"/>
        <v>3.139734919331624E-8</v>
      </c>
      <c r="CP64" s="157">
        <f t="shared" si="63"/>
        <v>4.892898668604929E-8</v>
      </c>
      <c r="CQ64" s="157">
        <f t="shared" si="64"/>
        <v>1.3331123396649704E-7</v>
      </c>
      <c r="CR64" s="157">
        <f t="shared" si="65"/>
        <v>2.3720511304210797E-7</v>
      </c>
      <c r="CT64" s="157">
        <f t="shared" si="23"/>
        <v>6.447016789481217E-4</v>
      </c>
      <c r="CU64" s="157">
        <f t="shared" si="24"/>
        <v>1.0049497027363181E-3</v>
      </c>
      <c r="CV64" s="155"/>
      <c r="CW64" s="157">
        <f t="shared" si="25"/>
        <v>2.9258605914751952E-4</v>
      </c>
      <c r="CX64" s="157">
        <f t="shared" si="26"/>
        <v>3.8895297127796515E-4</v>
      </c>
      <c r="CY64" s="4"/>
      <c r="CZ64" s="157">
        <f t="shared" si="66"/>
        <v>4.1233028227179488E-5</v>
      </c>
      <c r="DA64" s="157">
        <f t="shared" si="67"/>
        <v>6.2571910223961112E-5</v>
      </c>
      <c r="DB64" s="157">
        <f t="shared" si="68"/>
        <v>1.8596840509428451E-5</v>
      </c>
      <c r="DC64" s="157">
        <f t="shared" si="69"/>
        <v>2.5511644787616309E-5</v>
      </c>
      <c r="DD64" s="157">
        <f t="shared" si="70"/>
        <v>1.5232084475508978E-5</v>
      </c>
      <c r="DE64" s="157">
        <f t="shared" si="71"/>
        <v>2.4197751687090704E-5</v>
      </c>
      <c r="DF64" s="157">
        <f t="shared" si="72"/>
        <v>1.4113970899408362E-6</v>
      </c>
      <c r="DG64" s="157">
        <f t="shared" si="73"/>
        <v>2.1994923519576861E-6</v>
      </c>
      <c r="DH64" s="157">
        <f t="shared" si="74"/>
        <v>5.9927061523012173E-6</v>
      </c>
      <c r="DI64" s="157">
        <f t="shared" si="75"/>
        <v>1.0663021397296413E-5</v>
      </c>
    </row>
    <row r="65" spans="1:113" x14ac:dyDescent="0.25">
      <c r="A65">
        <f t="shared" si="6"/>
        <v>60</v>
      </c>
      <c r="B65" s="11" t="s">
        <v>163</v>
      </c>
      <c r="C65" s="158">
        <v>1</v>
      </c>
      <c r="D65" s="17">
        <v>1.7457076236262252</v>
      </c>
      <c r="E65" s="155"/>
      <c r="F65" s="162">
        <v>0.60564844347720115</v>
      </c>
      <c r="G65" s="17">
        <v>0.80512640392603341</v>
      </c>
      <c r="H65" s="4"/>
      <c r="I65" s="155">
        <v>6.626925566040795E-2</v>
      </c>
      <c r="J65" s="17">
        <v>0.11044039868940082</v>
      </c>
      <c r="K65" s="155">
        <v>5.6402769281852651E-2</v>
      </c>
      <c r="L65" s="17">
        <v>7.0716303085329044E-2</v>
      </c>
      <c r="M65" s="155">
        <v>0</v>
      </c>
      <c r="N65" s="17">
        <v>1.8558787138560368E-2</v>
      </c>
      <c r="O65" s="169">
        <v>0</v>
      </c>
      <c r="P65" s="17">
        <v>1.6313445354947914E-3</v>
      </c>
      <c r="Q65" s="155">
        <v>9.8664863785552955E-3</v>
      </c>
      <c r="R65" s="17">
        <v>1.9533963930016631E-2</v>
      </c>
      <c r="S65" s="3"/>
      <c r="T65" s="104">
        <f t="shared" si="0"/>
        <v>1</v>
      </c>
      <c r="U65" s="105">
        <f t="shared" si="0"/>
        <v>1.3293626238079177</v>
      </c>
      <c r="V65" s="166"/>
      <c r="W65" s="3">
        <v>0.60564844347720115</v>
      </c>
      <c r="X65" s="172">
        <f>+'I-O'!BO62/'I-O'!BO$75</f>
        <v>0</v>
      </c>
      <c r="Y65" s="172">
        <f>+'I-O'!BP62/'I-O'!BP$75</f>
        <v>0</v>
      </c>
      <c r="Z65" s="172">
        <f>+'I-O'!BT62/'I-O'!BT$75</f>
        <v>0</v>
      </c>
      <c r="AA65" s="172">
        <f>+'I-O'!BU62/'I-O'!BU$75</f>
        <v>0.90912572981460094</v>
      </c>
      <c r="AB65" s="172">
        <f>+'I-O'!BW62/'I-O'!BW$75</f>
        <v>0</v>
      </c>
      <c r="AC65" s="134"/>
      <c r="AD65" s="157">
        <f t="shared" si="7"/>
        <v>6.9281581340537007E-3</v>
      </c>
      <c r="AE65" s="157">
        <f t="shared" si="8"/>
        <v>8.4216044201261483E-3</v>
      </c>
      <c r="AF65" s="155"/>
      <c r="AG65" s="157">
        <f t="shared" si="9"/>
        <v>1.2129464550438244E-3</v>
      </c>
      <c r="AH65" s="157">
        <f t="shared" si="10"/>
        <v>1.6124456820155706E-3</v>
      </c>
      <c r="AI65" s="4"/>
      <c r="AJ65" s="157">
        <f t="shared" si="10"/>
        <v>1.753555839200621E-4</v>
      </c>
      <c r="AK65" s="157">
        <f t="shared" si="27"/>
        <v>2.6381817625275005E-4</v>
      </c>
      <c r="AL65" s="157">
        <f t="shared" si="28"/>
        <v>8.3646641796842225E-5</v>
      </c>
      <c r="AM65" s="157">
        <f t="shared" si="29"/>
        <v>1.1231269431139839E-4</v>
      </c>
      <c r="AN65" s="157">
        <f t="shared" si="30"/>
        <v>2.5346242709446038E-5</v>
      </c>
      <c r="AO65" s="157">
        <f t="shared" si="31"/>
        <v>6.2514364434301264E-5</v>
      </c>
      <c r="AP65" s="157">
        <f t="shared" si="32"/>
        <v>4.4197806354142785E-6</v>
      </c>
      <c r="AQ65" s="157">
        <f t="shared" si="33"/>
        <v>7.6869129009956871E-6</v>
      </c>
      <c r="AR65" s="157">
        <f t="shared" si="34"/>
        <v>6.194291877835957E-5</v>
      </c>
      <c r="AS65" s="157">
        <f t="shared" si="35"/>
        <v>8.1304204606054748E-5</v>
      </c>
      <c r="AT65" s="134"/>
      <c r="AU65" s="157">
        <f t="shared" si="11"/>
        <v>0</v>
      </c>
      <c r="AV65" s="157">
        <f t="shared" si="12"/>
        <v>0</v>
      </c>
      <c r="AW65" s="155"/>
      <c r="AX65" s="157">
        <f t="shared" si="13"/>
        <v>0</v>
      </c>
      <c r="AY65" s="157">
        <f t="shared" si="14"/>
        <v>0</v>
      </c>
      <c r="AZ65" s="4"/>
      <c r="BA65" s="157">
        <f t="shared" si="36"/>
        <v>0</v>
      </c>
      <c r="BB65" s="157">
        <f t="shared" si="37"/>
        <v>0</v>
      </c>
      <c r="BC65" s="157">
        <f t="shared" si="38"/>
        <v>0</v>
      </c>
      <c r="BD65" s="157">
        <f t="shared" si="39"/>
        <v>0</v>
      </c>
      <c r="BE65" s="157">
        <f t="shared" si="40"/>
        <v>0</v>
      </c>
      <c r="BF65" s="157">
        <f t="shared" si="41"/>
        <v>0</v>
      </c>
      <c r="BG65" s="157">
        <f t="shared" si="42"/>
        <v>0</v>
      </c>
      <c r="BH65" s="157">
        <f t="shared" si="43"/>
        <v>0</v>
      </c>
      <c r="BI65" s="157">
        <f t="shared" si="44"/>
        <v>0</v>
      </c>
      <c r="BJ65" s="157">
        <f t="shared" si="45"/>
        <v>0</v>
      </c>
      <c r="BL65" s="157">
        <f t="shared" si="15"/>
        <v>0</v>
      </c>
      <c r="BM65" s="157">
        <f t="shared" si="16"/>
        <v>0</v>
      </c>
      <c r="BN65" s="155"/>
      <c r="BO65" s="157">
        <f t="shared" si="17"/>
        <v>0</v>
      </c>
      <c r="BP65" s="157">
        <f t="shared" si="18"/>
        <v>0</v>
      </c>
      <c r="BQ65" s="4"/>
      <c r="BR65" s="157">
        <f t="shared" si="46"/>
        <v>0</v>
      </c>
      <c r="BS65" s="157">
        <f t="shared" si="47"/>
        <v>0</v>
      </c>
      <c r="BT65" s="157">
        <f t="shared" si="48"/>
        <v>0</v>
      </c>
      <c r="BU65" s="157">
        <f t="shared" si="49"/>
        <v>0</v>
      </c>
      <c r="BV65" s="157">
        <f t="shared" si="50"/>
        <v>0</v>
      </c>
      <c r="BW65" s="157">
        <f t="shared" si="51"/>
        <v>0</v>
      </c>
      <c r="BX65" s="157">
        <f t="shared" si="52"/>
        <v>0</v>
      </c>
      <c r="BY65" s="157">
        <f t="shared" si="53"/>
        <v>0</v>
      </c>
      <c r="BZ65" s="157">
        <f t="shared" si="54"/>
        <v>0</v>
      </c>
      <c r="CA65" s="157">
        <f t="shared" si="55"/>
        <v>0</v>
      </c>
      <c r="CC65" s="157">
        <f t="shared" si="19"/>
        <v>1.3146346727091242E-6</v>
      </c>
      <c r="CD65" s="157">
        <f t="shared" si="20"/>
        <v>1.5980196982109528E-6</v>
      </c>
      <c r="CE65" s="155"/>
      <c r="CF65" s="157">
        <f t="shared" si="21"/>
        <v>2.3015950777775227E-7</v>
      </c>
      <c r="CG65" s="157">
        <f t="shared" si="22"/>
        <v>3.0596544715377156E-7</v>
      </c>
      <c r="CH65" s="4"/>
      <c r="CI65" s="157">
        <f t="shared" si="56"/>
        <v>3.3274143894227883E-8</v>
      </c>
      <c r="CJ65" s="157">
        <f t="shared" si="57"/>
        <v>5.0060133600014018E-8</v>
      </c>
      <c r="CK65" s="157">
        <f t="shared" si="58"/>
        <v>1.5872151506084067E-8</v>
      </c>
      <c r="CL65" s="157">
        <f t="shared" si="59"/>
        <v>2.1311603931412326E-8</v>
      </c>
      <c r="CM65" s="157">
        <f t="shared" si="60"/>
        <v>4.8095105284847618E-9</v>
      </c>
      <c r="CN65" s="157">
        <f t="shared" si="61"/>
        <v>1.1862251039529973E-8</v>
      </c>
      <c r="CO65" s="157">
        <f t="shared" si="62"/>
        <v>8.3866400804628889E-10</v>
      </c>
      <c r="CP65" s="157">
        <f t="shared" si="63"/>
        <v>1.4586102150401179E-9</v>
      </c>
      <c r="CQ65" s="157">
        <f t="shared" si="64"/>
        <v>1.1753817851612769E-8</v>
      </c>
      <c r="CR65" s="157">
        <f t="shared" si="65"/>
        <v>1.5427668414031608E-8</v>
      </c>
      <c r="CT65" s="157">
        <f t="shared" si="23"/>
        <v>1.7115504441086979E-4</v>
      </c>
      <c r="CU65" s="157">
        <f t="shared" si="24"/>
        <v>2.0804953504923796E-4</v>
      </c>
      <c r="CV65" s="155"/>
      <c r="CW65" s="157">
        <f t="shared" si="25"/>
        <v>2.9964948888885119E-5</v>
      </c>
      <c r="CX65" s="157">
        <f t="shared" si="26"/>
        <v>3.9834283077198467E-5</v>
      </c>
      <c r="CY65" s="4"/>
      <c r="CZ65" s="157">
        <f t="shared" si="66"/>
        <v>4.3320305588884532E-6</v>
      </c>
      <c r="DA65" s="157">
        <f t="shared" si="67"/>
        <v>6.5174337535673981E-6</v>
      </c>
      <c r="DB65" s="157">
        <f t="shared" si="68"/>
        <v>2.0664286834316186E-6</v>
      </c>
      <c r="DC65" s="157">
        <f t="shared" si="69"/>
        <v>2.7746023994871532E-6</v>
      </c>
      <c r="DD65" s="157">
        <f t="shared" si="70"/>
        <v>6.2616025971763657E-7</v>
      </c>
      <c r="DE65" s="157">
        <f t="shared" si="71"/>
        <v>1.5443713342047685E-6</v>
      </c>
      <c r="DF65" s="157">
        <f t="shared" si="72"/>
        <v>1.0918742561928505E-7</v>
      </c>
      <c r="DG65" s="157">
        <f t="shared" si="73"/>
        <v>1.8989952213787146E-7</v>
      </c>
      <c r="DH65" s="157">
        <f t="shared" si="74"/>
        <v>1.5302541901199128E-6</v>
      </c>
      <c r="DI65" s="157">
        <f t="shared" si="75"/>
        <v>2.0085604977376059E-6</v>
      </c>
    </row>
    <row r="66" spans="1:113" x14ac:dyDescent="0.25">
      <c r="A66">
        <f t="shared" si="6"/>
        <v>61</v>
      </c>
      <c r="B66" s="11" t="s">
        <v>164</v>
      </c>
      <c r="C66" s="158">
        <v>1.1026320358958774</v>
      </c>
      <c r="D66" s="17">
        <v>1.8112969346818804</v>
      </c>
      <c r="E66" s="155"/>
      <c r="F66" s="162">
        <v>0.57556310180865444</v>
      </c>
      <c r="G66" s="17">
        <v>0.76513207518737647</v>
      </c>
      <c r="H66" s="4"/>
      <c r="I66" s="155">
        <v>6.6276045962540595E-2</v>
      </c>
      <c r="J66" s="17">
        <v>0.10825300531248712</v>
      </c>
      <c r="K66" s="155">
        <v>5.2975267299861073E-2</v>
      </c>
      <c r="L66" s="17">
        <v>6.6577782096189475E-2</v>
      </c>
      <c r="M66" s="155">
        <v>1.8632680330647783E-3</v>
      </c>
      <c r="N66" s="17">
        <v>1.9500154920694446E-2</v>
      </c>
      <c r="O66" s="169">
        <v>3.2392454730020858E-4</v>
      </c>
      <c r="P66" s="17">
        <v>1.8742327022708506E-3</v>
      </c>
      <c r="Q66" s="155">
        <v>1.1113586082314532E-2</v>
      </c>
      <c r="R66" s="17">
        <v>2.0300835593332348E-2</v>
      </c>
      <c r="S66" s="3"/>
      <c r="T66" s="104">
        <f t="shared" si="0"/>
        <v>1.0559171157008769</v>
      </c>
      <c r="U66" s="105">
        <f t="shared" si="0"/>
        <v>1.4036967474518061</v>
      </c>
      <c r="V66" s="166"/>
      <c r="W66" s="3">
        <v>0.5450835991294809</v>
      </c>
      <c r="X66" s="172">
        <f>+'I-O'!BO63/'I-O'!BO$75</f>
        <v>7.5568482704927746E-3</v>
      </c>
      <c r="Y66" s="172">
        <f>+'I-O'!BP63/'I-O'!BP$75</f>
        <v>3.4562392324393493E-3</v>
      </c>
      <c r="Z66" s="172">
        <f>+'I-O'!BT63/'I-O'!BT$75</f>
        <v>0</v>
      </c>
      <c r="AA66" s="172">
        <f>+'I-O'!BU63/'I-O'!BU$75</f>
        <v>0</v>
      </c>
      <c r="AB66" s="172">
        <f>+'I-O'!BW63/'I-O'!BW$75</f>
        <v>0.73798696428776256</v>
      </c>
      <c r="AC66" s="134"/>
      <c r="AD66" s="157">
        <f t="shared" si="7"/>
        <v>0</v>
      </c>
      <c r="AE66" s="157">
        <f t="shared" si="8"/>
        <v>0</v>
      </c>
      <c r="AF66" s="155"/>
      <c r="AG66" s="157">
        <f t="shared" si="9"/>
        <v>0</v>
      </c>
      <c r="AH66" s="157">
        <f t="shared" si="10"/>
        <v>0</v>
      </c>
      <c r="AI66" s="4"/>
      <c r="AJ66" s="157">
        <f t="shared" si="10"/>
        <v>0</v>
      </c>
      <c r="AK66" s="157">
        <f t="shared" si="27"/>
        <v>0</v>
      </c>
      <c r="AL66" s="157">
        <f t="shared" si="28"/>
        <v>0</v>
      </c>
      <c r="AM66" s="157">
        <f t="shared" si="29"/>
        <v>0</v>
      </c>
      <c r="AN66" s="157">
        <f t="shared" si="30"/>
        <v>0</v>
      </c>
      <c r="AO66" s="157">
        <f t="shared" si="31"/>
        <v>0</v>
      </c>
      <c r="AP66" s="157">
        <f t="shared" si="32"/>
        <v>0</v>
      </c>
      <c r="AQ66" s="157">
        <f t="shared" si="33"/>
        <v>0</v>
      </c>
      <c r="AR66" s="157">
        <f t="shared" si="34"/>
        <v>0</v>
      </c>
      <c r="AS66" s="157">
        <f t="shared" si="35"/>
        <v>0</v>
      </c>
      <c r="AT66" s="134"/>
      <c r="AU66" s="157">
        <f t="shared" si="11"/>
        <v>0</v>
      </c>
      <c r="AV66" s="157">
        <f t="shared" si="12"/>
        <v>0</v>
      </c>
      <c r="AW66" s="155"/>
      <c r="AX66" s="157">
        <f t="shared" si="13"/>
        <v>0</v>
      </c>
      <c r="AY66" s="157">
        <f t="shared" si="14"/>
        <v>0</v>
      </c>
      <c r="AZ66" s="4"/>
      <c r="BA66" s="157">
        <f t="shared" si="36"/>
        <v>0</v>
      </c>
      <c r="BB66" s="157">
        <f t="shared" si="37"/>
        <v>0</v>
      </c>
      <c r="BC66" s="157">
        <f t="shared" si="38"/>
        <v>0</v>
      </c>
      <c r="BD66" s="157">
        <f t="shared" si="39"/>
        <v>0</v>
      </c>
      <c r="BE66" s="157">
        <f t="shared" si="40"/>
        <v>0</v>
      </c>
      <c r="BF66" s="157">
        <f t="shared" si="41"/>
        <v>0</v>
      </c>
      <c r="BG66" s="157">
        <f t="shared" si="42"/>
        <v>0</v>
      </c>
      <c r="BH66" s="157">
        <f t="shared" si="43"/>
        <v>0</v>
      </c>
      <c r="BI66" s="157">
        <f t="shared" si="44"/>
        <v>0</v>
      </c>
      <c r="BJ66" s="157">
        <f t="shared" si="45"/>
        <v>0</v>
      </c>
      <c r="BL66" s="157">
        <f t="shared" si="15"/>
        <v>0</v>
      </c>
      <c r="BM66" s="157">
        <f t="shared" si="16"/>
        <v>0</v>
      </c>
      <c r="BN66" s="155"/>
      <c r="BO66" s="157">
        <f t="shared" si="17"/>
        <v>0</v>
      </c>
      <c r="BP66" s="157">
        <f t="shared" si="18"/>
        <v>0</v>
      </c>
      <c r="BQ66" s="4"/>
      <c r="BR66" s="157">
        <f t="shared" si="46"/>
        <v>0</v>
      </c>
      <c r="BS66" s="157">
        <f t="shared" si="47"/>
        <v>0</v>
      </c>
      <c r="BT66" s="157">
        <f t="shared" si="48"/>
        <v>0</v>
      </c>
      <c r="BU66" s="157">
        <f t="shared" si="49"/>
        <v>0</v>
      </c>
      <c r="BV66" s="157">
        <f t="shared" si="50"/>
        <v>0</v>
      </c>
      <c r="BW66" s="157">
        <f t="shared" si="51"/>
        <v>0</v>
      </c>
      <c r="BX66" s="157">
        <f t="shared" si="52"/>
        <v>0</v>
      </c>
      <c r="BY66" s="157">
        <f t="shared" si="53"/>
        <v>0</v>
      </c>
      <c r="BZ66" s="157">
        <f t="shared" si="54"/>
        <v>0</v>
      </c>
      <c r="CA66" s="157">
        <f t="shared" si="55"/>
        <v>0</v>
      </c>
      <c r="CC66" s="157">
        <f t="shared" si="19"/>
        <v>0.90912572981460094</v>
      </c>
      <c r="CD66" s="157">
        <f t="shared" si="20"/>
        <v>1.5870677173721046</v>
      </c>
      <c r="CE66" s="155"/>
      <c r="CF66" s="157">
        <f t="shared" si="21"/>
        <v>0.55061058318728762</v>
      </c>
      <c r="CG66" s="157">
        <f t="shared" si="22"/>
        <v>0.73196112956226034</v>
      </c>
      <c r="CH66" s="4"/>
      <c r="CI66" s="157">
        <f t="shared" si="56"/>
        <v>6.0247085416538754E-2</v>
      </c>
      <c r="CJ66" s="157">
        <f t="shared" si="57"/>
        <v>0.10040420805951702</v>
      </c>
      <c r="CK66" s="157">
        <f t="shared" si="58"/>
        <v>5.1277208786928846E-2</v>
      </c>
      <c r="CL66" s="157">
        <f t="shared" si="59"/>
        <v>6.4290010652240284E-2</v>
      </c>
      <c r="CM66" s="157">
        <f t="shared" si="60"/>
        <v>0</v>
      </c>
      <c r="CN66" s="157">
        <f t="shared" si="61"/>
        <v>1.6872270901817525E-2</v>
      </c>
      <c r="CO66" s="157">
        <f t="shared" si="62"/>
        <v>0</v>
      </c>
      <c r="CP66" s="157">
        <f t="shared" si="63"/>
        <v>1.4830972914107634E-3</v>
      </c>
      <c r="CQ66" s="157">
        <f t="shared" si="64"/>
        <v>8.9698766296099023E-3</v>
      </c>
      <c r="CR66" s="157">
        <f t="shared" si="65"/>
        <v>1.775882921404846E-2</v>
      </c>
      <c r="CT66" s="157">
        <f t="shared" si="23"/>
        <v>0</v>
      </c>
      <c r="CU66" s="157">
        <f t="shared" si="24"/>
        <v>0</v>
      </c>
      <c r="CV66" s="155"/>
      <c r="CW66" s="157">
        <f t="shared" si="25"/>
        <v>0</v>
      </c>
      <c r="CX66" s="157">
        <f t="shared" si="26"/>
        <v>0</v>
      </c>
      <c r="CY66" s="4"/>
      <c r="CZ66" s="157">
        <f t="shared" si="66"/>
        <v>0</v>
      </c>
      <c r="DA66" s="157">
        <f t="shared" si="67"/>
        <v>0</v>
      </c>
      <c r="DB66" s="157">
        <f t="shared" si="68"/>
        <v>0</v>
      </c>
      <c r="DC66" s="157">
        <f t="shared" si="69"/>
        <v>0</v>
      </c>
      <c r="DD66" s="157">
        <f t="shared" si="70"/>
        <v>0</v>
      </c>
      <c r="DE66" s="157">
        <f t="shared" si="71"/>
        <v>0</v>
      </c>
      <c r="DF66" s="157">
        <f t="shared" si="72"/>
        <v>0</v>
      </c>
      <c r="DG66" s="157">
        <f t="shared" si="73"/>
        <v>0</v>
      </c>
      <c r="DH66" s="157">
        <f t="shared" si="74"/>
        <v>0</v>
      </c>
      <c r="DI66" s="157">
        <f t="shared" si="75"/>
        <v>0</v>
      </c>
    </row>
    <row r="67" spans="1:113" x14ac:dyDescent="0.25">
      <c r="A67">
        <f t="shared" si="6"/>
        <v>62</v>
      </c>
      <c r="B67" s="11" t="s">
        <v>13</v>
      </c>
      <c r="C67" s="159">
        <v>1.0213749172038837</v>
      </c>
      <c r="D67" s="17">
        <v>1.7694974455747663</v>
      </c>
      <c r="E67" s="155"/>
      <c r="F67" s="164">
        <v>0.60760977960064744</v>
      </c>
      <c r="G67" s="17">
        <v>0.80773373086126721</v>
      </c>
      <c r="H67" s="4"/>
      <c r="I67" s="155">
        <v>5.9138510091361354E-2</v>
      </c>
      <c r="J67" s="17">
        <v>0.10345269725655196</v>
      </c>
      <c r="K67" s="155">
        <v>4.9019590811903449E-2</v>
      </c>
      <c r="L67" s="17">
        <v>6.337947766260596E-2</v>
      </c>
      <c r="M67" s="155">
        <v>4.5820863200139359E-4</v>
      </c>
      <c r="N67" s="17">
        <v>1.9077096675656515E-2</v>
      </c>
      <c r="O67" s="169">
        <v>1.697766354077078E-4</v>
      </c>
      <c r="P67" s="17">
        <v>1.8064041283701727E-3</v>
      </c>
      <c r="Q67" s="155">
        <v>9.4909340120487937E-3</v>
      </c>
      <c r="R67" s="17">
        <v>1.918971878991927E-2</v>
      </c>
      <c r="S67" s="3"/>
      <c r="T67" s="171">
        <f t="shared" si="0"/>
        <v>1.0109058668616315</v>
      </c>
      <c r="U67" s="116">
        <f t="shared" si="0"/>
        <v>1.343860475593996</v>
      </c>
      <c r="V67" s="166"/>
      <c r="W67" s="3">
        <v>0.60105475645025064</v>
      </c>
      <c r="X67" s="172">
        <f>+'I-O'!BO64/'I-O'!BO$75</f>
        <v>7.0708724142500776E-2</v>
      </c>
      <c r="Y67" s="172">
        <f>+'I-O'!BP64/'I-O'!BP$75</f>
        <v>4.418129920042117E-3</v>
      </c>
      <c r="Z67" s="172">
        <f>+'I-O'!BT64/'I-O'!BT$75</f>
        <v>0.21514284000708542</v>
      </c>
      <c r="AA67" s="172">
        <f>+'I-O'!BU64/'I-O'!BU$75</f>
        <v>1.2549281943511807E-5</v>
      </c>
      <c r="AB67" s="172">
        <f>+'I-O'!BW64/'I-O'!BW$75</f>
        <v>1.026710871555947E-2</v>
      </c>
      <c r="AC67" s="134"/>
      <c r="AD67" s="157">
        <f t="shared" si="7"/>
        <v>8.3324229934496879E-3</v>
      </c>
      <c r="AE67" s="157">
        <f t="shared" si="8"/>
        <v>1.3687696108199632E-2</v>
      </c>
      <c r="AF67" s="155"/>
      <c r="AG67" s="157">
        <f t="shared" si="9"/>
        <v>4.3494430304621872E-3</v>
      </c>
      <c r="AH67" s="157">
        <f t="shared" si="10"/>
        <v>5.7819869990782735E-3</v>
      </c>
      <c r="AI67" s="4"/>
      <c r="AJ67" s="157">
        <f t="shared" si="10"/>
        <v>5.0083802330712455E-4</v>
      </c>
      <c r="AK67" s="157">
        <f t="shared" si="27"/>
        <v>8.1805153597131342E-4</v>
      </c>
      <c r="AL67" s="157">
        <f t="shared" si="28"/>
        <v>4.003260570738476E-4</v>
      </c>
      <c r="AM67" s="157">
        <f t="shared" si="29"/>
        <v>5.0311819748683428E-4</v>
      </c>
      <c r="AN67" s="157">
        <f t="shared" si="30"/>
        <v>1.4080433813130044E-5</v>
      </c>
      <c r="AO67" s="157">
        <f t="shared" si="31"/>
        <v>1.4735971198679099E-4</v>
      </c>
      <c r="AP67" s="157">
        <f t="shared" si="32"/>
        <v>2.447848655035736E-6</v>
      </c>
      <c r="AQ67" s="157">
        <f t="shared" si="33"/>
        <v>1.4163292154656476E-5</v>
      </c>
      <c r="AR67" s="157">
        <f t="shared" si="34"/>
        <v>8.398368376511114E-5</v>
      </c>
      <c r="AS67" s="157">
        <f t="shared" si="35"/>
        <v>1.534103343430317E-4</v>
      </c>
      <c r="AT67" s="134"/>
      <c r="AU67" s="157">
        <f t="shared" si="11"/>
        <v>3.8109601014078044E-3</v>
      </c>
      <c r="AV67" s="157">
        <f t="shared" si="12"/>
        <v>6.2602755272446482E-3</v>
      </c>
      <c r="AW67" s="155"/>
      <c r="AX67" s="157">
        <f t="shared" si="13"/>
        <v>1.9892837732155551E-3</v>
      </c>
      <c r="AY67" s="157">
        <f t="shared" si="14"/>
        <v>2.6444794962603444E-3</v>
      </c>
      <c r="AZ67" s="4"/>
      <c r="BA67" s="157">
        <f t="shared" si="36"/>
        <v>2.2906587022668634E-4</v>
      </c>
      <c r="BB67" s="157">
        <f t="shared" si="37"/>
        <v>3.7414828399048329E-4</v>
      </c>
      <c r="BC67" s="157">
        <f t="shared" si="38"/>
        <v>1.830951971907412E-4</v>
      </c>
      <c r="BD67" s="157">
        <f t="shared" si="39"/>
        <v>2.3010874248964816E-4</v>
      </c>
      <c r="BE67" s="157">
        <f t="shared" si="40"/>
        <v>6.4399000764285858E-6</v>
      </c>
      <c r="BF67" s="157">
        <f t="shared" si="41"/>
        <v>6.7397200475549375E-5</v>
      </c>
      <c r="BG67" s="157">
        <f t="shared" si="42"/>
        <v>1.1195607287291366E-6</v>
      </c>
      <c r="BH67" s="157">
        <f t="shared" si="43"/>
        <v>6.4777965963093322E-6</v>
      </c>
      <c r="BI67" s="157">
        <f t="shared" si="44"/>
        <v>3.841121223078741E-5</v>
      </c>
      <c r="BJ67" s="157">
        <f t="shared" si="45"/>
        <v>7.0164544428976417E-5</v>
      </c>
      <c r="BL67" s="157">
        <f t="shared" si="15"/>
        <v>0</v>
      </c>
      <c r="BM67" s="157">
        <f t="shared" si="16"/>
        <v>0</v>
      </c>
      <c r="BN67" s="155"/>
      <c r="BO67" s="157">
        <f t="shared" si="17"/>
        <v>0</v>
      </c>
      <c r="BP67" s="157">
        <f t="shared" si="18"/>
        <v>0</v>
      </c>
      <c r="BQ67" s="4"/>
      <c r="BR67" s="157">
        <f t="shared" si="46"/>
        <v>0</v>
      </c>
      <c r="BS67" s="157">
        <f t="shared" si="47"/>
        <v>0</v>
      </c>
      <c r="BT67" s="157">
        <f t="shared" si="48"/>
        <v>0</v>
      </c>
      <c r="BU67" s="157">
        <f t="shared" si="49"/>
        <v>0</v>
      </c>
      <c r="BV67" s="157">
        <f t="shared" si="50"/>
        <v>0</v>
      </c>
      <c r="BW67" s="157">
        <f t="shared" si="51"/>
        <v>0</v>
      </c>
      <c r="BX67" s="157">
        <f t="shared" si="52"/>
        <v>0</v>
      </c>
      <c r="BY67" s="157">
        <f t="shared" si="53"/>
        <v>0</v>
      </c>
      <c r="BZ67" s="157">
        <f t="shared" si="54"/>
        <v>0</v>
      </c>
      <c r="CA67" s="157">
        <f t="shared" si="55"/>
        <v>0</v>
      </c>
      <c r="CC67" s="157">
        <f t="shared" si="19"/>
        <v>0</v>
      </c>
      <c r="CD67" s="157">
        <f t="shared" si="20"/>
        <v>0</v>
      </c>
      <c r="CE67" s="155"/>
      <c r="CF67" s="157">
        <f t="shared" si="21"/>
        <v>0</v>
      </c>
      <c r="CG67" s="157">
        <f t="shared" si="22"/>
        <v>0</v>
      </c>
      <c r="CH67" s="4"/>
      <c r="CI67" s="157">
        <f t="shared" si="56"/>
        <v>0</v>
      </c>
      <c r="CJ67" s="157">
        <f t="shared" si="57"/>
        <v>0</v>
      </c>
      <c r="CK67" s="157">
        <f t="shared" si="58"/>
        <v>0</v>
      </c>
      <c r="CL67" s="157">
        <f t="shared" si="59"/>
        <v>0</v>
      </c>
      <c r="CM67" s="157">
        <f t="shared" si="60"/>
        <v>0</v>
      </c>
      <c r="CN67" s="157">
        <f t="shared" si="61"/>
        <v>0</v>
      </c>
      <c r="CO67" s="157">
        <f t="shared" si="62"/>
        <v>0</v>
      </c>
      <c r="CP67" s="157">
        <f t="shared" si="63"/>
        <v>0</v>
      </c>
      <c r="CQ67" s="157">
        <f t="shared" si="64"/>
        <v>0</v>
      </c>
      <c r="CR67" s="157">
        <f t="shared" si="65"/>
        <v>0</v>
      </c>
      <c r="CT67" s="157">
        <f t="shared" si="23"/>
        <v>0.81372806889723381</v>
      </c>
      <c r="CU67" s="157">
        <f t="shared" si="24"/>
        <v>1.3367135262496106</v>
      </c>
      <c r="CV67" s="155"/>
      <c r="CW67" s="157">
        <f t="shared" si="25"/>
        <v>0.42475806625981732</v>
      </c>
      <c r="CX67" s="157">
        <f t="shared" si="26"/>
        <v>0.56465749744672811</v>
      </c>
      <c r="CY67" s="4"/>
      <c r="CZ67" s="157">
        <f t="shared" si="66"/>
        <v>4.8910857964891558E-2</v>
      </c>
      <c r="DA67" s="157">
        <f t="shared" si="67"/>
        <v>7.9889306765589405E-2</v>
      </c>
      <c r="DB67" s="157">
        <f t="shared" si="68"/>
        <v>3.9095056696957252E-2</v>
      </c>
      <c r="DC67" s="157">
        <f t="shared" si="69"/>
        <v>4.9133535298179022E-2</v>
      </c>
      <c r="DD67" s="157">
        <f t="shared" si="70"/>
        <v>1.3750675193759062E-3</v>
      </c>
      <c r="DE67" s="157">
        <f t="shared" si="71"/>
        <v>1.439086013306437E-2</v>
      </c>
      <c r="DF67" s="157">
        <f t="shared" si="72"/>
        <v>2.3905209332036867E-4</v>
      </c>
      <c r="DG67" s="157">
        <f t="shared" si="73"/>
        <v>1.383159302317715E-3</v>
      </c>
      <c r="DH67" s="157">
        <f t="shared" si="74"/>
        <v>8.2016816552380294E-3</v>
      </c>
      <c r="DI67" s="157">
        <f t="shared" si="75"/>
        <v>1.4981752032028299E-2</v>
      </c>
    </row>
    <row r="68" spans="1:113" x14ac:dyDescent="0.25">
      <c r="B68" s="115"/>
      <c r="C68" s="153"/>
      <c r="D68" s="154"/>
      <c r="E68" s="154"/>
      <c r="F68" s="154"/>
      <c r="G68" s="154"/>
      <c r="H68" s="80"/>
      <c r="I68" s="115"/>
      <c r="J68" s="81"/>
      <c r="K68" s="78"/>
      <c r="L68" s="143"/>
      <c r="M68" s="78"/>
      <c r="N68" s="79"/>
      <c r="O68" s="143"/>
      <c r="P68" s="143"/>
      <c r="Q68" s="78"/>
      <c r="R68" s="79"/>
      <c r="S68" s="79"/>
      <c r="T68" s="104"/>
      <c r="U68" s="105"/>
      <c r="V68" s="134"/>
      <c r="W68" s="134"/>
      <c r="X68" s="134"/>
      <c r="Y68" s="134"/>
      <c r="Z68" s="134"/>
      <c r="AA68" s="134"/>
      <c r="AB68" s="134"/>
      <c r="AC68" s="134"/>
      <c r="AD68" s="157">
        <f t="shared" si="7"/>
        <v>7.2220117266638989E-2</v>
      </c>
      <c r="AE68" s="157">
        <f t="shared" si="8"/>
        <v>0.12511890675000592</v>
      </c>
      <c r="AF68" s="155"/>
      <c r="AG68" s="157">
        <f t="shared" si="9"/>
        <v>4.2963312292067873E-2</v>
      </c>
      <c r="AH68" s="157">
        <f t="shared" si="10"/>
        <v>5.7113821556062309E-2</v>
      </c>
      <c r="AI68" s="4"/>
      <c r="AJ68" s="157">
        <f t="shared" si="10"/>
        <v>4.1816085962485686E-3</v>
      </c>
      <c r="AK68" s="157">
        <f t="shared" si="27"/>
        <v>7.3150082321111788E-3</v>
      </c>
      <c r="AL68" s="157">
        <f t="shared" si="28"/>
        <v>3.4661127242971465E-3</v>
      </c>
      <c r="AM68" s="157">
        <f t="shared" si="29"/>
        <v>4.4814820023409948E-3</v>
      </c>
      <c r="AN68" s="157">
        <f t="shared" si="30"/>
        <v>3.2399347759899192E-5</v>
      </c>
      <c r="AO68" s="157">
        <f t="shared" si="31"/>
        <v>1.3489171662788152E-3</v>
      </c>
      <c r="AP68" s="157">
        <f t="shared" si="32"/>
        <v>1.2004689278885541E-5</v>
      </c>
      <c r="AQ68" s="157">
        <f t="shared" si="33"/>
        <v>1.2772853120280111E-4</v>
      </c>
      <c r="AR68" s="157">
        <f t="shared" si="34"/>
        <v>6.7109183491263628E-4</v>
      </c>
      <c r="AS68" s="157">
        <f t="shared" si="35"/>
        <v>1.3568805322885654E-3</v>
      </c>
      <c r="AU68" s="157">
        <f t="shared" si="11"/>
        <v>4.5125670812790186E-3</v>
      </c>
      <c r="AV68" s="157">
        <f t="shared" si="12"/>
        <v>7.8178696077319722E-3</v>
      </c>
      <c r="AW68" s="155"/>
      <c r="AX68" s="157">
        <f t="shared" si="13"/>
        <v>2.6844989469638168E-3</v>
      </c>
      <c r="AY68" s="157">
        <f t="shared" si="14"/>
        <v>3.5686725637454112E-3</v>
      </c>
      <c r="AZ68" s="4"/>
      <c r="BA68" s="157">
        <f t="shared" si="36"/>
        <v>2.6128162086135628E-4</v>
      </c>
      <c r="BB68" s="157">
        <f t="shared" si="37"/>
        <v>4.5706745705823123E-4</v>
      </c>
      <c r="BC68" s="157">
        <f t="shared" si="38"/>
        <v>2.1657492083429228E-4</v>
      </c>
      <c r="BD68" s="157">
        <f t="shared" si="39"/>
        <v>2.8001876657780041E-4</v>
      </c>
      <c r="BE68" s="157">
        <f t="shared" si="40"/>
        <v>2.024425266666925E-6</v>
      </c>
      <c r="BF68" s="157">
        <f t="shared" si="41"/>
        <v>8.4285091610254048E-5</v>
      </c>
      <c r="BG68" s="157">
        <f t="shared" si="42"/>
        <v>7.5009523261887572E-7</v>
      </c>
      <c r="BH68" s="157">
        <f t="shared" si="43"/>
        <v>7.9809281272398613E-6</v>
      </c>
      <c r="BI68" s="157">
        <f t="shared" si="44"/>
        <v>4.1932179527778146E-5</v>
      </c>
      <c r="BJ68" s="157">
        <f t="shared" si="45"/>
        <v>8.478267074293674E-5</v>
      </c>
      <c r="BL68" s="157">
        <f t="shared" si="15"/>
        <v>0.21974150039924528</v>
      </c>
      <c r="BM68" s="157">
        <f t="shared" si="16"/>
        <v>0.38069470582623827</v>
      </c>
      <c r="BN68" s="155"/>
      <c r="BO68" s="157">
        <f t="shared" si="17"/>
        <v>0.13072289359936251</v>
      </c>
      <c r="BP68" s="157">
        <f t="shared" si="18"/>
        <v>0.1737781288270118</v>
      </c>
      <c r="BQ68" s="4"/>
      <c r="BR68" s="157">
        <f t="shared" si="46"/>
        <v>1.2723227014843162E-2</v>
      </c>
      <c r="BS68" s="157">
        <f t="shared" si="47"/>
        <v>2.2257107094167804E-2</v>
      </c>
      <c r="BT68" s="157">
        <f t="shared" si="48"/>
        <v>1.0546213983258139E-2</v>
      </c>
      <c r="BU68" s="157">
        <f t="shared" si="49"/>
        <v>1.3635640822498678E-2</v>
      </c>
      <c r="BV68" s="157">
        <f t="shared" si="50"/>
        <v>9.8580306404541301E-5</v>
      </c>
      <c r="BW68" s="157">
        <f t="shared" si="51"/>
        <v>4.1043007578904708E-3</v>
      </c>
      <c r="BX68" s="157">
        <f t="shared" si="52"/>
        <v>3.6526227508461752E-5</v>
      </c>
      <c r="BY68" s="157">
        <f t="shared" si="53"/>
        <v>3.8863491437808264E-4</v>
      </c>
      <c r="BZ68" s="157">
        <f t="shared" si="54"/>
        <v>2.0419064976720191E-3</v>
      </c>
      <c r="CA68" s="157">
        <f t="shared" si="55"/>
        <v>4.1285305994005622E-3</v>
      </c>
      <c r="CC68" s="157">
        <f t="shared" si="19"/>
        <v>1.2817521806022566E-5</v>
      </c>
      <c r="CD68" s="157">
        <f t="shared" si="20"/>
        <v>2.2205922342841682E-5</v>
      </c>
      <c r="CE68" s="155"/>
      <c r="CF68" s="157">
        <f t="shared" si="21"/>
        <v>7.6250664358435935E-6</v>
      </c>
      <c r="CG68" s="157">
        <f t="shared" si="22"/>
        <v>1.0136478323862727E-5</v>
      </c>
      <c r="CH68" s="4"/>
      <c r="CI68" s="157">
        <f t="shared" si="56"/>
        <v>7.4214583685571185E-7</v>
      </c>
      <c r="CJ68" s="157">
        <f t="shared" si="57"/>
        <v>1.298257065689241E-6</v>
      </c>
      <c r="CK68" s="157">
        <f t="shared" si="58"/>
        <v>6.1516066585415722E-7</v>
      </c>
      <c r="CL68" s="157">
        <f t="shared" si="59"/>
        <v>7.953669346205509E-7</v>
      </c>
      <c r="CM68" s="157">
        <f t="shared" si="60"/>
        <v>5.7501893119363355E-9</v>
      </c>
      <c r="CN68" s="157">
        <f t="shared" si="61"/>
        <v>2.3940386484644545E-7</v>
      </c>
      <c r="CO68" s="157">
        <f t="shared" si="62"/>
        <v>2.1305748651521347E-9</v>
      </c>
      <c r="CP68" s="157">
        <f t="shared" si="63"/>
        <v>2.2669074710840994E-8</v>
      </c>
      <c r="CQ68" s="157">
        <f t="shared" si="64"/>
        <v>1.19104406824466E-7</v>
      </c>
      <c r="CR68" s="157">
        <f t="shared" si="65"/>
        <v>2.4081719151140317E-7</v>
      </c>
      <c r="CT68" s="157">
        <f t="shared" si="23"/>
        <v>1.0486567314277826E-2</v>
      </c>
      <c r="CU68" s="157">
        <f t="shared" si="24"/>
        <v>1.8167622645620902E-2</v>
      </c>
      <c r="CV68" s="155"/>
      <c r="CW68" s="157">
        <f t="shared" si="25"/>
        <v>6.2383956637969756E-3</v>
      </c>
      <c r="CX68" s="157">
        <f t="shared" si="26"/>
        <v>8.2930900279770837E-3</v>
      </c>
      <c r="CY68" s="4"/>
      <c r="CZ68" s="157">
        <f t="shared" si="66"/>
        <v>6.0718151238421778E-4</v>
      </c>
      <c r="DA68" s="157">
        <f t="shared" si="67"/>
        <v>1.0621600896508797E-3</v>
      </c>
      <c r="DB68" s="157">
        <f t="shared" si="68"/>
        <v>5.0328946805805279E-4</v>
      </c>
      <c r="DC68" s="157">
        <f t="shared" si="69"/>
        <v>6.507239874973484E-4</v>
      </c>
      <c r="DD68" s="157">
        <f t="shared" si="70"/>
        <v>4.7044778391660898E-6</v>
      </c>
      <c r="DE68" s="157">
        <f t="shared" si="71"/>
        <v>1.9586662554620359E-4</v>
      </c>
      <c r="DF68" s="157">
        <f t="shared" si="72"/>
        <v>1.7431151730928392E-6</v>
      </c>
      <c r="DG68" s="157">
        <f t="shared" si="73"/>
        <v>1.8546547570212007E-5</v>
      </c>
      <c r="DH68" s="157">
        <f t="shared" si="74"/>
        <v>9.7444451313905976E-5</v>
      </c>
      <c r="DI68" s="157">
        <f t="shared" si="75"/>
        <v>1.9702292903711545E-4</v>
      </c>
    </row>
    <row r="69" spans="1:113" x14ac:dyDescent="0.25">
      <c r="B69" s="11" t="s">
        <v>14</v>
      </c>
      <c r="C69" s="119">
        <f>AD70</f>
        <v>1.1577492987280247</v>
      </c>
      <c r="D69" s="119">
        <f>AE70</f>
        <v>1.5390686454688627</v>
      </c>
      <c r="E69" s="94"/>
      <c r="F69" s="94">
        <f>AG70</f>
        <v>0.30969975564724772</v>
      </c>
      <c r="G69" s="94">
        <f>AH70</f>
        <v>0.41170327975989618</v>
      </c>
      <c r="H69" s="95"/>
      <c r="I69" s="94">
        <f>AJ70</f>
        <v>6.8577963058970279E-2</v>
      </c>
      <c r="J69" s="94">
        <f t="shared" ref="J69:R69" si="76">AK70</f>
        <v>9.1164980907475088E-2</v>
      </c>
      <c r="K69" s="94">
        <f t="shared" si="76"/>
        <v>2.2222494712754708E-2</v>
      </c>
      <c r="L69" s="94">
        <f t="shared" si="76"/>
        <v>2.9541753878905157E-2</v>
      </c>
      <c r="M69" s="94">
        <f t="shared" si="76"/>
        <v>2.8813468059273446E-2</v>
      </c>
      <c r="N69" s="94">
        <f t="shared" si="76"/>
        <v>3.8303547500281351E-2</v>
      </c>
      <c r="O69" s="94">
        <f t="shared" si="76"/>
        <v>2.5327459879900148E-3</v>
      </c>
      <c r="P69" s="94">
        <f t="shared" si="76"/>
        <v>3.3669378520333804E-3</v>
      </c>
      <c r="Q69" s="94">
        <f t="shared" si="76"/>
        <v>1.5009254298952101E-2</v>
      </c>
      <c r="R69" s="94">
        <f t="shared" si="76"/>
        <v>1.9952741676255221E-2</v>
      </c>
      <c r="S69" s="105"/>
      <c r="T69" s="11"/>
      <c r="U69" s="1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</row>
    <row r="70" spans="1:113" x14ac:dyDescent="0.25">
      <c r="B70" s="11" t="s">
        <v>34</v>
      </c>
      <c r="C70" s="119">
        <f>AU70</f>
        <v>1.3425405247380089</v>
      </c>
      <c r="D70" s="119">
        <f>AV70</f>
        <v>1.8182147165948994</v>
      </c>
      <c r="E70" s="94"/>
      <c r="F70" s="94">
        <f>AX70</f>
        <v>0.38633282639578143</v>
      </c>
      <c r="G70" s="94">
        <f>AY70</f>
        <v>0.51357641976062474</v>
      </c>
      <c r="H70" s="95"/>
      <c r="I70" s="149">
        <f>BA70</f>
        <v>0.11168014842122738</v>
      </c>
      <c r="J70" s="149">
        <f t="shared" ref="J70:R70" si="77">BB70</f>
        <v>0.13985616821506927</v>
      </c>
      <c r="K70" s="149">
        <f t="shared" si="77"/>
        <v>2.5520079679762789E-2</v>
      </c>
      <c r="L70" s="149">
        <f>BD70</f>
        <v>3.4650439097943568E-2</v>
      </c>
      <c r="M70" s="149">
        <f t="shared" si="77"/>
        <v>4.8237767434189255E-2</v>
      </c>
      <c r="N70" s="149">
        <f t="shared" si="77"/>
        <v>6.0076101647604296E-2</v>
      </c>
      <c r="O70" s="149">
        <f t="shared" si="77"/>
        <v>2.4805432977913523E-2</v>
      </c>
      <c r="P70" s="149">
        <f t="shared" si="77"/>
        <v>2.5846039871253529E-2</v>
      </c>
      <c r="Q70" s="149">
        <f t="shared" si="77"/>
        <v>1.31168683293618E-2</v>
      </c>
      <c r="R70" s="149">
        <f t="shared" si="77"/>
        <v>1.9283587598267871E-2</v>
      </c>
      <c r="S70" s="105"/>
      <c r="T70" s="11"/>
      <c r="U70" s="1"/>
      <c r="V70" s="134"/>
      <c r="W70" s="134"/>
      <c r="X70" s="134"/>
      <c r="Y70" s="134"/>
      <c r="Z70" s="134"/>
      <c r="AA70" s="134"/>
      <c r="AB70" s="134"/>
      <c r="AC70" s="134"/>
      <c r="AD70" s="156">
        <f>+SUM(AD6:AD68)</f>
        <v>1.1577492987280247</v>
      </c>
      <c r="AE70" s="156">
        <f t="shared" ref="AE70:AS70" si="78">+SUM(AE6:AE68)</f>
        <v>1.5390686454688627</v>
      </c>
      <c r="AF70" s="156">
        <f t="shared" si="78"/>
        <v>0</v>
      </c>
      <c r="AG70" s="156">
        <f t="shared" si="78"/>
        <v>0.30969975564724772</v>
      </c>
      <c r="AH70" s="156">
        <f t="shared" si="78"/>
        <v>0.41170327975989618</v>
      </c>
      <c r="AI70" s="156">
        <f t="shared" si="78"/>
        <v>0</v>
      </c>
      <c r="AJ70" s="156">
        <f t="shared" si="78"/>
        <v>6.8577963058970279E-2</v>
      </c>
      <c r="AK70" s="156">
        <f t="shared" si="78"/>
        <v>9.1164980907475088E-2</v>
      </c>
      <c r="AL70" s="156">
        <f t="shared" si="78"/>
        <v>2.2222494712754708E-2</v>
      </c>
      <c r="AM70" s="156">
        <f t="shared" si="78"/>
        <v>2.9541753878905157E-2</v>
      </c>
      <c r="AN70" s="156">
        <f t="shared" si="78"/>
        <v>2.8813468059273446E-2</v>
      </c>
      <c r="AO70" s="156">
        <f t="shared" si="78"/>
        <v>3.8303547500281351E-2</v>
      </c>
      <c r="AP70" s="156">
        <f t="shared" si="78"/>
        <v>2.5327459879900148E-3</v>
      </c>
      <c r="AQ70" s="156">
        <f t="shared" si="78"/>
        <v>3.3669378520333804E-3</v>
      </c>
      <c r="AR70" s="156">
        <f t="shared" si="78"/>
        <v>1.5009254298952101E-2</v>
      </c>
      <c r="AS70" s="156">
        <f t="shared" si="78"/>
        <v>1.9952741676255221E-2</v>
      </c>
      <c r="AU70" s="156">
        <f>+SUM(AU6:AU68)</f>
        <v>1.3425405247380089</v>
      </c>
      <c r="AV70" s="156">
        <f t="shared" ref="AV70:BJ70" si="79">+SUM(AV6:AV68)</f>
        <v>1.8182147165948994</v>
      </c>
      <c r="AW70" s="156">
        <f t="shared" si="79"/>
        <v>0</v>
      </c>
      <c r="AX70" s="156">
        <f t="shared" si="79"/>
        <v>0.38633282639578143</v>
      </c>
      <c r="AY70" s="156">
        <f t="shared" si="79"/>
        <v>0.51357641976062474</v>
      </c>
      <c r="AZ70" s="156">
        <f t="shared" si="79"/>
        <v>0</v>
      </c>
      <c r="BA70" s="156">
        <f t="shared" si="79"/>
        <v>0.11168014842122738</v>
      </c>
      <c r="BB70" s="156">
        <f t="shared" si="79"/>
        <v>0.13985616821506927</v>
      </c>
      <c r="BC70" s="156">
        <f t="shared" si="79"/>
        <v>2.5520079679762789E-2</v>
      </c>
      <c r="BD70" s="156">
        <f t="shared" si="79"/>
        <v>3.4650439097943568E-2</v>
      </c>
      <c r="BE70" s="156">
        <f t="shared" si="79"/>
        <v>4.8237767434189255E-2</v>
      </c>
      <c r="BF70" s="156">
        <f t="shared" si="79"/>
        <v>6.0076101647604296E-2</v>
      </c>
      <c r="BG70" s="156">
        <f t="shared" si="79"/>
        <v>2.4805432977913523E-2</v>
      </c>
      <c r="BH70" s="156">
        <f t="shared" si="79"/>
        <v>2.5846039871253529E-2</v>
      </c>
      <c r="BI70" s="156">
        <f t="shared" si="79"/>
        <v>1.31168683293618E-2</v>
      </c>
      <c r="BJ70" s="156">
        <f t="shared" si="79"/>
        <v>1.9283587598267871E-2</v>
      </c>
      <c r="BL70" s="156">
        <f>+SUM(BL6:BL68)</f>
        <v>0.46964812812398449</v>
      </c>
      <c r="BM70" s="156">
        <f t="shared" ref="BM70:CA70" si="80">+SUM(BM6:BM68)</f>
        <v>0.69995672655369723</v>
      </c>
      <c r="BN70" s="156">
        <f t="shared" si="80"/>
        <v>0</v>
      </c>
      <c r="BO70" s="156">
        <f t="shared" si="80"/>
        <v>0.18705192187801287</v>
      </c>
      <c r="BP70" s="156">
        <f t="shared" si="80"/>
        <v>0.24865983365606881</v>
      </c>
      <c r="BQ70" s="156">
        <f t="shared" si="80"/>
        <v>0</v>
      </c>
      <c r="BR70" s="156">
        <f t="shared" si="80"/>
        <v>2.708207427369036E-2</v>
      </c>
      <c r="BS70" s="156">
        <f t="shared" si="80"/>
        <v>4.0724142183062834E-2</v>
      </c>
      <c r="BT70" s="156">
        <f t="shared" si="80"/>
        <v>1.4485110866946753E-2</v>
      </c>
      <c r="BU70" s="156">
        <f t="shared" si="80"/>
        <v>1.8905784337903915E-2</v>
      </c>
      <c r="BV70" s="156">
        <f t="shared" si="80"/>
        <v>4.9179724961084812E-3</v>
      </c>
      <c r="BW70" s="156">
        <f t="shared" si="80"/>
        <v>1.0649774235847191E-2</v>
      </c>
      <c r="BX70" s="156">
        <f t="shared" si="80"/>
        <v>6.3321688634023399E-4</v>
      </c>
      <c r="BY70" s="156">
        <f t="shared" si="80"/>
        <v>1.1370506431935723E-3</v>
      </c>
      <c r="BZ70" s="156">
        <f t="shared" si="80"/>
        <v>7.0457740242948902E-3</v>
      </c>
      <c r="CA70" s="156">
        <f t="shared" si="80"/>
        <v>1.0031532966118141E-2</v>
      </c>
      <c r="CC70" s="156">
        <f>+SUM(CC6:CC68)</f>
        <v>0.99553514273892019</v>
      </c>
      <c r="CD70" s="156">
        <f t="shared" ref="CD70:CR70" si="81">+SUM(CD6:CD68)</f>
        <v>1.7104683957433342</v>
      </c>
      <c r="CE70" s="156">
        <f t="shared" si="81"/>
        <v>0</v>
      </c>
      <c r="CF70" s="156">
        <f t="shared" si="81"/>
        <v>0.58065413059160209</v>
      </c>
      <c r="CG70" s="156">
        <f t="shared" si="81"/>
        <v>0.77189989856815744</v>
      </c>
      <c r="CH70" s="156">
        <f t="shared" si="81"/>
        <v>0</v>
      </c>
      <c r="CI70" s="156">
        <f t="shared" si="81"/>
        <v>6.5295283066249404E-2</v>
      </c>
      <c r="CJ70" s="156">
        <f t="shared" si="81"/>
        <v>0.10764354124963341</v>
      </c>
      <c r="CK70" s="156">
        <f t="shared" si="81"/>
        <v>5.3282943656580414E-2</v>
      </c>
      <c r="CL70" s="156">
        <f t="shared" si="81"/>
        <v>6.7005776788345836E-2</v>
      </c>
      <c r="CM70" s="156">
        <f t="shared" si="81"/>
        <v>1.806470448083125E-3</v>
      </c>
      <c r="CN70" s="156">
        <f t="shared" si="81"/>
        <v>1.9599360905963144E-2</v>
      </c>
      <c r="CO70" s="156">
        <f t="shared" si="81"/>
        <v>1.826015974673073E-4</v>
      </c>
      <c r="CP70" s="156">
        <f t="shared" si="81"/>
        <v>1.7466226944500274E-3</v>
      </c>
      <c r="CQ70" s="156">
        <f t="shared" si="81"/>
        <v>1.0023267364118552E-2</v>
      </c>
      <c r="CR70" s="156">
        <f t="shared" si="81"/>
        <v>1.9291780860874401E-2</v>
      </c>
      <c r="CT70" s="156">
        <f>+SUM(CT6:CT68)</f>
        <v>1.0839563491889688</v>
      </c>
      <c r="CU70" s="156">
        <f t="shared" ref="CU70:DI70" si="82">+SUM(CU6:CU68)</f>
        <v>1.7172083920025865</v>
      </c>
      <c r="CV70" s="156">
        <f t="shared" si="82"/>
        <v>0</v>
      </c>
      <c r="CW70" s="156">
        <f t="shared" si="82"/>
        <v>0.51431432629561424</v>
      </c>
      <c r="CX70" s="156">
        <f t="shared" si="82"/>
        <v>0.68371024226633925</v>
      </c>
      <c r="CY70" s="156">
        <f t="shared" si="82"/>
        <v>0</v>
      </c>
      <c r="CZ70" s="156">
        <f t="shared" si="82"/>
        <v>6.5366557423442412E-2</v>
      </c>
      <c r="DA70" s="156">
        <f t="shared" si="82"/>
        <v>0.10287652201318689</v>
      </c>
      <c r="DB70" s="156">
        <f t="shared" si="82"/>
        <v>4.516653606924606E-2</v>
      </c>
      <c r="DC70" s="156">
        <f t="shared" si="82"/>
        <v>5.7321533864302027E-2</v>
      </c>
      <c r="DD70" s="156">
        <f t="shared" si="82"/>
        <v>6.0728277339117771E-3</v>
      </c>
      <c r="DE70" s="156">
        <f t="shared" si="82"/>
        <v>2.1832878315783198E-2</v>
      </c>
      <c r="DF70" s="156">
        <f t="shared" si="82"/>
        <v>2.1490157938185909E-3</v>
      </c>
      <c r="DG70" s="156">
        <f t="shared" si="82"/>
        <v>3.5343472922567932E-3</v>
      </c>
      <c r="DH70" s="156">
        <f t="shared" si="82"/>
        <v>1.197817782646598E-2</v>
      </c>
      <c r="DI70" s="156">
        <f t="shared" si="82"/>
        <v>2.0187762540844888E-2</v>
      </c>
    </row>
    <row r="71" spans="1:113" x14ac:dyDescent="0.25">
      <c r="B71" s="11" t="s">
        <v>42</v>
      </c>
      <c r="C71" s="119">
        <f>BL70</f>
        <v>0.46964812812398449</v>
      </c>
      <c r="D71" s="119">
        <f>BM70</f>
        <v>0.69995672655369723</v>
      </c>
      <c r="E71" s="94"/>
      <c r="F71" s="94">
        <f>BO70</f>
        <v>0.18705192187801287</v>
      </c>
      <c r="G71" s="94">
        <f>BP70</f>
        <v>0.24865983365606881</v>
      </c>
      <c r="H71" s="95"/>
      <c r="I71" s="149">
        <f>BR70</f>
        <v>2.708207427369036E-2</v>
      </c>
      <c r="J71" s="149">
        <f t="shared" ref="J71:R71" si="83">BS70</f>
        <v>4.0724142183062834E-2</v>
      </c>
      <c r="K71" s="149">
        <f t="shared" si="83"/>
        <v>1.4485110866946753E-2</v>
      </c>
      <c r="L71" s="149">
        <f t="shared" si="83"/>
        <v>1.8905784337903915E-2</v>
      </c>
      <c r="M71" s="149">
        <f t="shared" si="83"/>
        <v>4.9179724961084812E-3</v>
      </c>
      <c r="N71" s="149">
        <f t="shared" si="83"/>
        <v>1.0649774235847191E-2</v>
      </c>
      <c r="O71" s="149">
        <f t="shared" si="83"/>
        <v>6.3321688634023399E-4</v>
      </c>
      <c r="P71" s="149">
        <f t="shared" si="83"/>
        <v>1.1370506431935723E-3</v>
      </c>
      <c r="Q71" s="149">
        <f t="shared" si="83"/>
        <v>7.0457740242948902E-3</v>
      </c>
      <c r="R71" s="149">
        <f t="shared" si="83"/>
        <v>1.0031532966118141E-2</v>
      </c>
      <c r="S71" s="105"/>
      <c r="T71" s="11"/>
      <c r="U71" s="1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</row>
    <row r="72" spans="1:113" x14ac:dyDescent="0.25">
      <c r="B72" s="11" t="s">
        <v>38</v>
      </c>
      <c r="C72" s="119">
        <f>CC70</f>
        <v>0.99553514273892019</v>
      </c>
      <c r="D72" s="119">
        <f>CD70</f>
        <v>1.7104683957433342</v>
      </c>
      <c r="E72" s="94"/>
      <c r="F72" s="94">
        <f>CF70</f>
        <v>0.58065413059160209</v>
      </c>
      <c r="G72" s="94">
        <f>CG70</f>
        <v>0.77189989856815744</v>
      </c>
      <c r="H72" s="95"/>
      <c r="I72" s="149">
        <f>CI70</f>
        <v>6.5295283066249404E-2</v>
      </c>
      <c r="J72" s="149">
        <f t="shared" ref="J72:R72" si="84">CJ70</f>
        <v>0.10764354124963341</v>
      </c>
      <c r="K72" s="149">
        <f t="shared" si="84"/>
        <v>5.3282943656580414E-2</v>
      </c>
      <c r="L72" s="149">
        <f t="shared" si="84"/>
        <v>6.7005776788345836E-2</v>
      </c>
      <c r="M72" s="149">
        <f t="shared" si="84"/>
        <v>1.806470448083125E-3</v>
      </c>
      <c r="N72" s="149">
        <f t="shared" si="84"/>
        <v>1.9599360905963144E-2</v>
      </c>
      <c r="O72" s="149">
        <f t="shared" si="84"/>
        <v>1.826015974673073E-4</v>
      </c>
      <c r="P72" s="149">
        <f t="shared" si="84"/>
        <v>1.7466226944500274E-3</v>
      </c>
      <c r="Q72" s="149">
        <f t="shared" si="84"/>
        <v>1.0023267364118552E-2</v>
      </c>
      <c r="R72" s="149">
        <f t="shared" si="84"/>
        <v>1.9291780860874401E-2</v>
      </c>
      <c r="S72" s="105"/>
      <c r="T72" s="11"/>
      <c r="U72" s="1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</row>
    <row r="73" spans="1:113" x14ac:dyDescent="0.25">
      <c r="B73" s="9" t="s">
        <v>39</v>
      </c>
      <c r="C73" s="121">
        <f>CT70</f>
        <v>1.0839563491889688</v>
      </c>
      <c r="D73" s="121">
        <f>CU70</f>
        <v>1.7172083920025865</v>
      </c>
      <c r="E73" s="97"/>
      <c r="F73" s="97">
        <f>CW70</f>
        <v>0.51431432629561424</v>
      </c>
      <c r="G73" s="97">
        <f>CX70</f>
        <v>0.68371024226633925</v>
      </c>
      <c r="H73" s="98"/>
      <c r="I73" s="150">
        <f>CZ70</f>
        <v>6.5366557423442412E-2</v>
      </c>
      <c r="J73" s="150">
        <f t="shared" ref="J73:R73" si="85">DA70</f>
        <v>0.10287652201318689</v>
      </c>
      <c r="K73" s="150">
        <f t="shared" si="85"/>
        <v>4.516653606924606E-2</v>
      </c>
      <c r="L73" s="150">
        <f t="shared" si="85"/>
        <v>5.7321533864302027E-2</v>
      </c>
      <c r="M73" s="150">
        <f t="shared" si="85"/>
        <v>6.0728277339117771E-3</v>
      </c>
      <c r="N73" s="150">
        <f t="shared" si="85"/>
        <v>2.1832878315783198E-2</v>
      </c>
      <c r="O73" s="150">
        <f t="shared" si="85"/>
        <v>2.1490157938185909E-3</v>
      </c>
      <c r="P73" s="150">
        <f t="shared" si="85"/>
        <v>3.5343472922567932E-3</v>
      </c>
      <c r="Q73" s="150">
        <f t="shared" si="85"/>
        <v>1.197817782646598E-2</v>
      </c>
      <c r="R73" s="150">
        <f t="shared" si="85"/>
        <v>2.0187762540844888E-2</v>
      </c>
      <c r="S73" s="116"/>
      <c r="T73" s="9"/>
      <c r="U73" s="10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</row>
  </sheetData>
  <mergeCells count="50">
    <mergeCell ref="CT4:DI4"/>
    <mergeCell ref="CT5:CU5"/>
    <mergeCell ref="CW5:CX5"/>
    <mergeCell ref="CZ5:DA5"/>
    <mergeCell ref="DB5:DC5"/>
    <mergeCell ref="DD5:DE5"/>
    <mergeCell ref="DF5:DG5"/>
    <mergeCell ref="DH5:DI5"/>
    <mergeCell ref="CC4:CR4"/>
    <mergeCell ref="CC5:CD5"/>
    <mergeCell ref="CF5:CG5"/>
    <mergeCell ref="CI5:CJ5"/>
    <mergeCell ref="CK5:CL5"/>
    <mergeCell ref="CM5:CN5"/>
    <mergeCell ref="CO5:CP5"/>
    <mergeCell ref="CQ5:CR5"/>
    <mergeCell ref="BL4:CA4"/>
    <mergeCell ref="BL5:BM5"/>
    <mergeCell ref="BO5:BP5"/>
    <mergeCell ref="BR5:BS5"/>
    <mergeCell ref="BT5:BU5"/>
    <mergeCell ref="BV5:BW5"/>
    <mergeCell ref="BX5:BY5"/>
    <mergeCell ref="BZ5:CA5"/>
    <mergeCell ref="AU4:BJ4"/>
    <mergeCell ref="AU5:AV5"/>
    <mergeCell ref="AX5:AY5"/>
    <mergeCell ref="BA5:BB5"/>
    <mergeCell ref="BC5:BD5"/>
    <mergeCell ref="BE5:BF5"/>
    <mergeCell ref="BG5:BH5"/>
    <mergeCell ref="BI5:BJ5"/>
    <mergeCell ref="AD4:AS4"/>
    <mergeCell ref="AD5:AE5"/>
    <mergeCell ref="AG5:AH5"/>
    <mergeCell ref="AJ5:AK5"/>
    <mergeCell ref="AL5:AM5"/>
    <mergeCell ref="AN5:AO5"/>
    <mergeCell ref="AP5:AQ5"/>
    <mergeCell ref="AR5:AS5"/>
    <mergeCell ref="C3:R3"/>
    <mergeCell ref="T3:U3"/>
    <mergeCell ref="C4:D4"/>
    <mergeCell ref="F4:G4"/>
    <mergeCell ref="I4:J4"/>
    <mergeCell ref="K4:L4"/>
    <mergeCell ref="M4:N4"/>
    <mergeCell ref="O4:P4"/>
    <mergeCell ref="Q4:R4"/>
    <mergeCell ref="T4:U4"/>
  </mergeCells>
  <pageMargins left="0.91" right="0.5" top="0.94" bottom="1.07" header="0.68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68"/>
  <sheetViews>
    <sheetView zoomScale="75" workbookViewId="0">
      <pane xSplit="2" ySplit="2" topLeftCell="C30" activePane="bottomRight" state="frozen"/>
      <selection pane="topRight" activeCell="B1" sqref="B1"/>
      <selection pane="bottomLeft" activeCell="A2" sqref="A2"/>
      <selection pane="bottomRight" activeCell="I69" sqref="I69"/>
    </sheetView>
  </sheetViews>
  <sheetFormatPr defaultRowHeight="12.5" x14ac:dyDescent="0.25"/>
  <cols>
    <col min="2" max="2" width="56.81640625" customWidth="1"/>
    <col min="3" max="65" width="15.54296875" customWidth="1"/>
  </cols>
  <sheetData>
    <row r="1" spans="1:65" x14ac:dyDescent="0.25">
      <c r="A1" s="48"/>
      <c r="B1" s="48" t="s">
        <v>187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</row>
    <row r="2" spans="1:65" s="13" customFormat="1" x14ac:dyDescent="0.25">
      <c r="A2" s="49"/>
      <c r="B2" s="50" t="s">
        <v>16</v>
      </c>
      <c r="C2" s="51" t="s">
        <v>62</v>
      </c>
      <c r="D2" s="51" t="s">
        <v>63</v>
      </c>
      <c r="E2" s="51" t="s">
        <v>64</v>
      </c>
      <c r="F2" s="51" t="s">
        <v>65</v>
      </c>
      <c r="G2" s="51" t="s">
        <v>66</v>
      </c>
      <c r="H2" s="51" t="s">
        <v>67</v>
      </c>
      <c r="I2" s="51" t="s">
        <v>68</v>
      </c>
      <c r="J2" s="51" t="s">
        <v>69</v>
      </c>
      <c r="K2" s="51" t="s">
        <v>70</v>
      </c>
      <c r="L2" s="51" t="s">
        <v>71</v>
      </c>
      <c r="M2" s="51" t="s">
        <v>72</v>
      </c>
      <c r="N2" s="51" t="s">
        <v>73</v>
      </c>
      <c r="O2" s="51" t="s">
        <v>74</v>
      </c>
      <c r="P2" s="51" t="s">
        <v>75</v>
      </c>
      <c r="Q2" s="51" t="s">
        <v>76</v>
      </c>
      <c r="R2" s="51" t="s">
        <v>77</v>
      </c>
      <c r="S2" s="51" t="s">
        <v>78</v>
      </c>
      <c r="T2" s="51" t="s">
        <v>79</v>
      </c>
      <c r="U2" s="51" t="s">
        <v>80</v>
      </c>
      <c r="V2" s="51" t="s">
        <v>81</v>
      </c>
      <c r="W2" s="51" t="s">
        <v>82</v>
      </c>
      <c r="X2" s="51" t="s">
        <v>83</v>
      </c>
      <c r="Y2" s="51" t="s">
        <v>84</v>
      </c>
      <c r="Z2" s="51" t="s">
        <v>85</v>
      </c>
      <c r="AA2" s="51" t="s">
        <v>86</v>
      </c>
      <c r="AB2" s="51" t="s">
        <v>87</v>
      </c>
      <c r="AC2" s="51" t="s">
        <v>88</v>
      </c>
      <c r="AD2" s="51" t="s">
        <v>89</v>
      </c>
      <c r="AE2" s="51" t="s">
        <v>90</v>
      </c>
      <c r="AF2" s="51" t="s">
        <v>91</v>
      </c>
      <c r="AG2" s="51" t="s">
        <v>92</v>
      </c>
      <c r="AH2" s="51" t="s">
        <v>93</v>
      </c>
      <c r="AI2" s="51" t="s">
        <v>94</v>
      </c>
      <c r="AJ2" s="51" t="s">
        <v>95</v>
      </c>
      <c r="AK2" s="51" t="s">
        <v>96</v>
      </c>
      <c r="AL2" s="51" t="s">
        <v>97</v>
      </c>
      <c r="AM2" s="51" t="s">
        <v>98</v>
      </c>
      <c r="AN2" s="51" t="s">
        <v>99</v>
      </c>
      <c r="AO2" s="51" t="s">
        <v>100</v>
      </c>
      <c r="AP2" s="51" t="s">
        <v>101</v>
      </c>
      <c r="AQ2" s="51" t="s">
        <v>102</v>
      </c>
      <c r="AR2" s="51" t="s">
        <v>103</v>
      </c>
      <c r="AS2" s="51" t="s">
        <v>104</v>
      </c>
      <c r="AT2" s="51" t="s">
        <v>105</v>
      </c>
      <c r="AU2" s="51" t="s">
        <v>106</v>
      </c>
      <c r="AV2" s="51" t="s">
        <v>107</v>
      </c>
      <c r="AW2" s="51" t="s">
        <v>108</v>
      </c>
      <c r="AX2" s="51" t="s">
        <v>109</v>
      </c>
      <c r="AY2" s="51" t="s">
        <v>110</v>
      </c>
      <c r="AZ2" s="51" t="s">
        <v>111</v>
      </c>
      <c r="BA2" s="51" t="s">
        <v>112</v>
      </c>
      <c r="BB2" s="51" t="s">
        <v>113</v>
      </c>
      <c r="BC2" s="51" t="s">
        <v>114</v>
      </c>
      <c r="BD2" s="51" t="s">
        <v>115</v>
      </c>
      <c r="BE2" s="51" t="s">
        <v>116</v>
      </c>
      <c r="BF2" s="51" t="s">
        <v>117</v>
      </c>
      <c r="BG2" s="51" t="s">
        <v>118</v>
      </c>
      <c r="BH2" s="51" t="s">
        <v>119</v>
      </c>
      <c r="BI2" s="51" t="s">
        <v>120</v>
      </c>
      <c r="BJ2" s="51" t="s">
        <v>121</v>
      </c>
      <c r="BK2" s="51" t="s">
        <v>122</v>
      </c>
      <c r="BL2" s="51" t="s">
        <v>123</v>
      </c>
      <c r="BM2" s="57" t="s">
        <v>14</v>
      </c>
    </row>
    <row r="3" spans="1:65" x14ac:dyDescent="0.25">
      <c r="A3" s="53" t="s">
        <v>62</v>
      </c>
      <c r="B3" s="54" t="s">
        <v>124</v>
      </c>
      <c r="C3" s="55">
        <v>1.0194397909118122</v>
      </c>
      <c r="D3" s="55">
        <v>5.7839251038527557E-2</v>
      </c>
      <c r="E3" s="55">
        <v>1.3681000683635478E-3</v>
      </c>
      <c r="F3" s="55">
        <v>1.474358670348193E-3</v>
      </c>
      <c r="G3" s="55">
        <v>1.2880467359698746E-2</v>
      </c>
      <c r="H3" s="55">
        <v>8.326246344613756E-4</v>
      </c>
      <c r="I3" s="55">
        <v>2.3645418791570115E-3</v>
      </c>
      <c r="J3" s="55">
        <v>1.7055456799126055E-3</v>
      </c>
      <c r="K3" s="55">
        <v>1.5916886883150503E-3</v>
      </c>
      <c r="L3" s="55">
        <v>2.2521438601077032E-3</v>
      </c>
      <c r="M3" s="55">
        <v>5.9325757106003824E-2</v>
      </c>
      <c r="N3" s="55">
        <v>3.9667949735235969E-3</v>
      </c>
      <c r="O3" s="55">
        <v>6.3291327564582549E-3</v>
      </c>
      <c r="P3" s="55">
        <v>1.2601380082951003E-4</v>
      </c>
      <c r="Q3" s="55">
        <v>2.4628963095129283E-3</v>
      </c>
      <c r="R3" s="55">
        <v>8.4512160253107365E-4</v>
      </c>
      <c r="S3" s="55">
        <v>7.8767726662759996E-4</v>
      </c>
      <c r="T3" s="55">
        <v>1.1130372196668866E-3</v>
      </c>
      <c r="U3" s="55">
        <v>1.4510406243116087E-3</v>
      </c>
      <c r="V3" s="55">
        <v>1.2889112438978527E-3</v>
      </c>
      <c r="W3" s="55">
        <v>1.4576060381165038E-3</v>
      </c>
      <c r="X3" s="55">
        <v>1.393759655030003E-3</v>
      </c>
      <c r="Y3" s="55">
        <v>1.0083047156541978E-3</v>
      </c>
      <c r="Z3" s="55">
        <v>8.8687670972492844E-4</v>
      </c>
      <c r="AA3" s="55">
        <v>5.5672094207413823E-4</v>
      </c>
      <c r="AB3" s="55">
        <v>6.5134350518247439E-4</v>
      </c>
      <c r="AC3" s="55">
        <v>5.7321931940049675E-4</v>
      </c>
      <c r="AD3" s="55">
        <v>6.1063512786751583E-4</v>
      </c>
      <c r="AE3" s="55">
        <v>6.4796811650335575E-4</v>
      </c>
      <c r="AF3" s="55">
        <v>5.2492977783067849E-4</v>
      </c>
      <c r="AG3" s="55">
        <v>9.2163491710805124E-4</v>
      </c>
      <c r="AH3" s="55">
        <v>8.1824534389245086E-4</v>
      </c>
      <c r="AI3" s="55">
        <v>1.0123717332249987E-3</v>
      </c>
      <c r="AJ3" s="55">
        <v>7.854923784784021E-4</v>
      </c>
      <c r="AK3" s="55">
        <v>1.141332994478282E-3</v>
      </c>
      <c r="AL3" s="55">
        <v>5.4179566385371232E-4</v>
      </c>
      <c r="AM3" s="55">
        <v>8.6348055740056984E-4</v>
      </c>
      <c r="AN3" s="55">
        <v>8.0337738677523367E-4</v>
      </c>
      <c r="AO3" s="55">
        <v>1.4080924289480187E-3</v>
      </c>
      <c r="AP3" s="55">
        <v>1.3531230311316647E-3</v>
      </c>
      <c r="AQ3" s="55">
        <v>9.2234619568717349E-4</v>
      </c>
      <c r="AR3" s="55">
        <v>1.3193722507985016E-3</v>
      </c>
      <c r="AS3" s="55">
        <v>1.4959927977178807E-3</v>
      </c>
      <c r="AT3" s="55">
        <v>1.4461457186693354E-3</v>
      </c>
      <c r="AU3" s="55">
        <v>1.4600902621654717E-3</v>
      </c>
      <c r="AV3" s="55">
        <v>1.6045015804538574E-3</v>
      </c>
      <c r="AW3" s="55">
        <v>1.0486100790644407E-3</v>
      </c>
      <c r="AX3" s="55">
        <v>7.3240898527186999E-4</v>
      </c>
      <c r="AY3" s="55">
        <v>1.2665304060341213E-3</v>
      </c>
      <c r="AZ3" s="55">
        <v>1.0233539529109861E-3</v>
      </c>
      <c r="BA3" s="55">
        <v>1.4541181105985532E-3</v>
      </c>
      <c r="BB3" s="55">
        <v>2.2419543766106298E-3</v>
      </c>
      <c r="BC3" s="55">
        <v>1.1593710045119277E-3</v>
      </c>
      <c r="BD3" s="55">
        <v>1.3301822160356616E-3</v>
      </c>
      <c r="BE3" s="55">
        <v>1.1011804100831829E-3</v>
      </c>
      <c r="BF3" s="55">
        <v>4.5380842392526129E-3</v>
      </c>
      <c r="BG3" s="55">
        <v>9.228792303147828E-4</v>
      </c>
      <c r="BH3" s="55">
        <v>1.4697561480613538E-3</v>
      </c>
      <c r="BI3" s="55">
        <v>4.9458449335785376E-4</v>
      </c>
      <c r="BJ3" s="55">
        <v>1.2763314429594301E-3</v>
      </c>
      <c r="BK3" s="55">
        <v>1.2734654480309649E-3</v>
      </c>
      <c r="BL3" s="55">
        <v>1.2885647845026595E-3</v>
      </c>
      <c r="BM3" s="67">
        <v>2.1073800431676919E-3</v>
      </c>
    </row>
    <row r="4" spans="1:65" x14ac:dyDescent="0.25">
      <c r="A4" s="53" t="s">
        <v>63</v>
      </c>
      <c r="B4" s="54" t="s">
        <v>125</v>
      </c>
      <c r="C4" s="55">
        <v>2.7081541083685558E-3</v>
      </c>
      <c r="D4" s="55">
        <v>1.0329729747145395</v>
      </c>
      <c r="E4" s="55">
        <v>5.2604197841529202E-4</v>
      </c>
      <c r="F4" s="55">
        <v>2.4448620515917486E-3</v>
      </c>
      <c r="G4" s="55">
        <v>3.8491166503074957E-2</v>
      </c>
      <c r="H4" s="55">
        <v>4.0418844701516191E-4</v>
      </c>
      <c r="I4" s="55">
        <v>4.8507147348967597E-4</v>
      </c>
      <c r="J4" s="55">
        <v>5.0691824730754789E-4</v>
      </c>
      <c r="K4" s="55">
        <v>5.2261301617976901E-4</v>
      </c>
      <c r="L4" s="55">
        <v>4.8122948585300324E-4</v>
      </c>
      <c r="M4" s="55">
        <v>2.1653519560726451E-2</v>
      </c>
      <c r="N4" s="55">
        <v>1.5221795275750475E-3</v>
      </c>
      <c r="O4" s="55">
        <v>5.5892856349469805E-4</v>
      </c>
      <c r="P4" s="55">
        <v>5.8351200354347321E-5</v>
      </c>
      <c r="Q4" s="55">
        <v>4.7178606613841151E-4</v>
      </c>
      <c r="R4" s="55">
        <v>3.734714317754207E-4</v>
      </c>
      <c r="S4" s="55">
        <v>3.3347507311902262E-4</v>
      </c>
      <c r="T4" s="55">
        <v>4.6985330491987288E-4</v>
      </c>
      <c r="U4" s="55">
        <v>6.3702110565929749E-4</v>
      </c>
      <c r="V4" s="55">
        <v>5.7145860686023595E-4</v>
      </c>
      <c r="W4" s="55">
        <v>6.5648052396831316E-4</v>
      </c>
      <c r="X4" s="55">
        <v>6.3003637796555962E-4</v>
      </c>
      <c r="Y4" s="55">
        <v>4.7815660149026952E-4</v>
      </c>
      <c r="Z4" s="55">
        <v>3.8221692213578624E-4</v>
      </c>
      <c r="AA4" s="55">
        <v>2.5140357045802802E-4</v>
      </c>
      <c r="AB4" s="55">
        <v>3.1763816809660442E-4</v>
      </c>
      <c r="AC4" s="55">
        <v>2.6573160491717289E-4</v>
      </c>
      <c r="AD4" s="55">
        <v>2.8000847683297658E-4</v>
      </c>
      <c r="AE4" s="55">
        <v>2.9174673933128246E-4</v>
      </c>
      <c r="AF4" s="55">
        <v>2.2731052952851803E-4</v>
      </c>
      <c r="AG4" s="55">
        <v>4.0080528091306983E-4</v>
      </c>
      <c r="AH4" s="55">
        <v>3.5070470393028919E-4</v>
      </c>
      <c r="AI4" s="55">
        <v>4.9956595852573068E-4</v>
      </c>
      <c r="AJ4" s="55">
        <v>3.4764885179676701E-4</v>
      </c>
      <c r="AK4" s="55">
        <v>5.3412643261149112E-4</v>
      </c>
      <c r="AL4" s="55">
        <v>1.8149091417964252E-4</v>
      </c>
      <c r="AM4" s="55">
        <v>3.5077684281450039E-4</v>
      </c>
      <c r="AN4" s="55">
        <v>3.5789106566861892E-4</v>
      </c>
      <c r="AO4" s="55">
        <v>6.4230402357577068E-4</v>
      </c>
      <c r="AP4" s="55">
        <v>6.2616146913918049E-4</v>
      </c>
      <c r="AQ4" s="55">
        <v>3.9275252777196492E-4</v>
      </c>
      <c r="AR4" s="55">
        <v>1.9858302573236577E-3</v>
      </c>
      <c r="AS4" s="55">
        <v>6.7759523156768237E-4</v>
      </c>
      <c r="AT4" s="55">
        <v>6.8709351487167768E-4</v>
      </c>
      <c r="AU4" s="55">
        <v>6.2176491780899397E-4</v>
      </c>
      <c r="AV4" s="55">
        <v>6.3073391181712123E-4</v>
      </c>
      <c r="AW4" s="55">
        <v>4.8956850252361182E-4</v>
      </c>
      <c r="AX4" s="55">
        <v>3.1867759571222555E-4</v>
      </c>
      <c r="AY4" s="55">
        <v>5.4297141388436195E-4</v>
      </c>
      <c r="AZ4" s="55">
        <v>4.3098799623330389E-4</v>
      </c>
      <c r="BA4" s="55">
        <v>1.2493074825009397E-3</v>
      </c>
      <c r="BB4" s="55">
        <v>9.5860790331378813E-4</v>
      </c>
      <c r="BC4" s="55">
        <v>4.7063489179295241E-4</v>
      </c>
      <c r="BD4" s="55">
        <v>6.6925178666785233E-4</v>
      </c>
      <c r="BE4" s="55">
        <v>4.9562776808318788E-4</v>
      </c>
      <c r="BF4" s="55">
        <v>2.8040682199820723E-3</v>
      </c>
      <c r="BG4" s="55">
        <v>3.8991597615002204E-4</v>
      </c>
      <c r="BH4" s="55">
        <v>1.8243531724624685E-3</v>
      </c>
      <c r="BI4" s="55">
        <v>2.1567352499231513E-4</v>
      </c>
      <c r="BJ4" s="55">
        <v>5.3149275821120178E-4</v>
      </c>
      <c r="BK4" s="55">
        <v>5.326139441417802E-4</v>
      </c>
      <c r="BL4" s="55">
        <v>5.3824736124582497E-4</v>
      </c>
      <c r="BM4" s="67">
        <v>8.7755985165213931E-4</v>
      </c>
    </row>
    <row r="5" spans="1:65" x14ac:dyDescent="0.25">
      <c r="A5" s="53" t="s">
        <v>64</v>
      </c>
      <c r="B5" s="54" t="s">
        <v>2</v>
      </c>
      <c r="C5" s="55">
        <v>3.6376871217515879E-4</v>
      </c>
      <c r="D5" s="55">
        <v>3.6496965029811959E-4</v>
      </c>
      <c r="E5" s="55">
        <v>1.0066969933580179</v>
      </c>
      <c r="F5" s="55">
        <v>4.5280620086432137E-4</v>
      </c>
      <c r="G5" s="55">
        <v>3.9065208121650733E-4</v>
      </c>
      <c r="H5" s="55">
        <v>4.1628131436055685E-4</v>
      </c>
      <c r="I5" s="55">
        <v>5.6983523488025032E-4</v>
      </c>
      <c r="J5" s="55">
        <v>5.7756846591793974E-4</v>
      </c>
      <c r="K5" s="55">
        <v>6.1761497555364053E-4</v>
      </c>
      <c r="L5" s="55">
        <v>5.4504850525554098E-4</v>
      </c>
      <c r="M5" s="55">
        <v>1.0969008944791759E-3</v>
      </c>
      <c r="N5" s="55">
        <v>5.1102225966005732E-4</v>
      </c>
      <c r="O5" s="55">
        <v>5.6180480255869165E-4</v>
      </c>
      <c r="P5" s="55">
        <v>7.3583575186706563E-5</v>
      </c>
      <c r="Q5" s="55">
        <v>4.7091869055476384E-4</v>
      </c>
      <c r="R5" s="55">
        <v>4.9880435670067707E-4</v>
      </c>
      <c r="S5" s="55">
        <v>3.1729659879298672E-4</v>
      </c>
      <c r="T5" s="55">
        <v>4.4411765323235856E-4</v>
      </c>
      <c r="U5" s="55">
        <v>6.8215141814813611E-4</v>
      </c>
      <c r="V5" s="55">
        <v>6.4232030902000158E-4</v>
      </c>
      <c r="W5" s="55">
        <v>8.5220432476785699E-4</v>
      </c>
      <c r="X5" s="55">
        <v>7.8562455969641786E-4</v>
      </c>
      <c r="Y5" s="55">
        <v>6.7921347858723236E-4</v>
      </c>
      <c r="Z5" s="55">
        <v>3.9179823373364741E-4</v>
      </c>
      <c r="AA5" s="55">
        <v>3.048291601829394E-4</v>
      </c>
      <c r="AB5" s="55">
        <v>4.6459780126274915E-4</v>
      </c>
      <c r="AC5" s="55">
        <v>2.9935494417377106E-4</v>
      </c>
      <c r="AD5" s="55">
        <v>3.092830237908123E-4</v>
      </c>
      <c r="AE5" s="55">
        <v>3.6762286348181926E-4</v>
      </c>
      <c r="AF5" s="55">
        <v>2.8295245947173615E-4</v>
      </c>
      <c r="AG5" s="55">
        <v>4.5553374358017279E-4</v>
      </c>
      <c r="AH5" s="55">
        <v>3.794864096792094E-4</v>
      </c>
      <c r="AI5" s="55">
        <v>7.1998532114344661E-4</v>
      </c>
      <c r="AJ5" s="55">
        <v>3.5051119898734024E-4</v>
      </c>
      <c r="AK5" s="55">
        <v>5.7910675020778209E-4</v>
      </c>
      <c r="AL5" s="55">
        <v>1.0257975427998681E-4</v>
      </c>
      <c r="AM5" s="55">
        <v>3.518494684395918E-4</v>
      </c>
      <c r="AN5" s="55">
        <v>4.2208289480961231E-4</v>
      </c>
      <c r="AO5" s="55">
        <v>6.6983065569280957E-4</v>
      </c>
      <c r="AP5" s="55">
        <v>5.8032292892431527E-4</v>
      </c>
      <c r="AQ5" s="55">
        <v>3.695873692653602E-4</v>
      </c>
      <c r="AR5" s="55">
        <v>5.4047492152704065E-4</v>
      </c>
      <c r="AS5" s="55">
        <v>8.3501990670443343E-4</v>
      </c>
      <c r="AT5" s="55">
        <v>6.2249301955362164E-4</v>
      </c>
      <c r="AU5" s="55">
        <v>6.2060655369960797E-4</v>
      </c>
      <c r="AV5" s="55">
        <v>6.3305685223697143E-4</v>
      </c>
      <c r="AW5" s="55">
        <v>4.9428404839270228E-4</v>
      </c>
      <c r="AX5" s="55">
        <v>3.1093904619248022E-4</v>
      </c>
      <c r="AY5" s="55">
        <v>6.4534607286265545E-4</v>
      </c>
      <c r="AZ5" s="55">
        <v>4.0073645763452116E-4</v>
      </c>
      <c r="BA5" s="55">
        <v>1.0767260630675298E-3</v>
      </c>
      <c r="BB5" s="55">
        <v>1.0626434113922721E-3</v>
      </c>
      <c r="BC5" s="55">
        <v>4.3143320902682748E-4</v>
      </c>
      <c r="BD5" s="55">
        <v>5.2445384932186276E-4</v>
      </c>
      <c r="BE5" s="55">
        <v>5.842882906493482E-4</v>
      </c>
      <c r="BF5" s="55">
        <v>7.4488313087249861E-3</v>
      </c>
      <c r="BG5" s="55">
        <v>3.7354103925322363E-4</v>
      </c>
      <c r="BH5" s="55">
        <v>5.8987198376955936E-4</v>
      </c>
      <c r="BI5" s="55">
        <v>2.1156211827044291E-4</v>
      </c>
      <c r="BJ5" s="55">
        <v>4.7818093640414507E-4</v>
      </c>
      <c r="BK5" s="55">
        <v>4.8887484724108212E-4</v>
      </c>
      <c r="BL5" s="55">
        <v>4.8968066088213595E-4</v>
      </c>
      <c r="BM5" s="67">
        <v>7.895354830911005E-4</v>
      </c>
    </row>
    <row r="6" spans="1:65" x14ac:dyDescent="0.25">
      <c r="A6" s="53" t="s">
        <v>65</v>
      </c>
      <c r="B6" s="54" t="s">
        <v>126</v>
      </c>
      <c r="C6" s="55">
        <v>4.5096783501880058E-3</v>
      </c>
      <c r="D6" s="55">
        <v>3.8250092866376993E-4</v>
      </c>
      <c r="E6" s="55">
        <v>1.0855199383396112E-4</v>
      </c>
      <c r="F6" s="55">
        <v>1.4667063117882513</v>
      </c>
      <c r="G6" s="55">
        <v>2.2418556234767666E-2</v>
      </c>
      <c r="H6" s="55">
        <v>2.8711137018154368E-2</v>
      </c>
      <c r="I6" s="55">
        <v>5.863019633773461E-5</v>
      </c>
      <c r="J6" s="55">
        <v>6.0735213570048325E-5</v>
      </c>
      <c r="K6" s="55">
        <v>6.54142927468247E-5</v>
      </c>
      <c r="L6" s="55">
        <v>5.7139808946494863E-5</v>
      </c>
      <c r="M6" s="55">
        <v>5.7375716323897056E-4</v>
      </c>
      <c r="N6" s="55">
        <v>2.2349513427920627E-3</v>
      </c>
      <c r="O6" s="55">
        <v>7.8838451460975928E-3</v>
      </c>
      <c r="P6" s="55">
        <v>1.0576463564654325E-4</v>
      </c>
      <c r="Q6" s="55">
        <v>5.6038173855425344E-4</v>
      </c>
      <c r="R6" s="55">
        <v>3.8413702237743385E-5</v>
      </c>
      <c r="S6" s="55">
        <v>1.1065949247685204E-4</v>
      </c>
      <c r="T6" s="55">
        <v>4.8474268289411307E-5</v>
      </c>
      <c r="U6" s="55">
        <v>6.7915218479928488E-5</v>
      </c>
      <c r="V6" s="55">
        <v>6.4446815541886897E-5</v>
      </c>
      <c r="W6" s="55">
        <v>5.9530640017236875E-5</v>
      </c>
      <c r="X6" s="55">
        <v>7.9545527298920834E-5</v>
      </c>
      <c r="Y6" s="55">
        <v>5.7332239275573387E-5</v>
      </c>
      <c r="Z6" s="55">
        <v>4.1353298215055205E-5</v>
      </c>
      <c r="AA6" s="55">
        <v>2.5364693902863388E-5</v>
      </c>
      <c r="AB6" s="55">
        <v>3.503552085730794E-5</v>
      </c>
      <c r="AC6" s="55">
        <v>3.7097337929809401E-5</v>
      </c>
      <c r="AD6" s="55">
        <v>3.7768798734725843E-5</v>
      </c>
      <c r="AE6" s="55">
        <v>8.1115502192771145E-5</v>
      </c>
      <c r="AF6" s="55">
        <v>2.0090076340291118E-4</v>
      </c>
      <c r="AG6" s="55">
        <v>4.6588457961217683E-5</v>
      </c>
      <c r="AH6" s="55">
        <v>3.9956488212139852E-5</v>
      </c>
      <c r="AI6" s="55">
        <v>6.8389172283109923E-5</v>
      </c>
      <c r="AJ6" s="55">
        <v>4.2033288311094293E-5</v>
      </c>
      <c r="AK6" s="55">
        <v>8.1964479091127505E-5</v>
      </c>
      <c r="AL6" s="55">
        <v>6.7277518414093934E-5</v>
      </c>
      <c r="AM6" s="55">
        <v>4.9777291866969193E-5</v>
      </c>
      <c r="AN6" s="55">
        <v>3.9178610721090931E-5</v>
      </c>
      <c r="AO6" s="55">
        <v>9.1808117779310704E-5</v>
      </c>
      <c r="AP6" s="55">
        <v>1.0772925864738638E-4</v>
      </c>
      <c r="AQ6" s="55">
        <v>4.3274512786797202E-5</v>
      </c>
      <c r="AR6" s="55">
        <v>1.0983916805667835E-3</v>
      </c>
      <c r="AS6" s="55">
        <v>7.4251938674669153E-5</v>
      </c>
      <c r="AT6" s="55">
        <v>1.1573108312944934E-4</v>
      </c>
      <c r="AU6" s="55">
        <v>6.7187982640366583E-5</v>
      </c>
      <c r="AV6" s="55">
        <v>3.184909273711831E-4</v>
      </c>
      <c r="AW6" s="55">
        <v>6.1912200410021504E-5</v>
      </c>
      <c r="AX6" s="55">
        <v>7.2544473867309082E-5</v>
      </c>
      <c r="AY6" s="55">
        <v>5.7623224818012927E-5</v>
      </c>
      <c r="AZ6" s="55">
        <v>4.6006590727482324E-5</v>
      </c>
      <c r="BA6" s="55">
        <v>9.0130860879226906E-5</v>
      </c>
      <c r="BB6" s="55">
        <v>8.066837067463192E-5</v>
      </c>
      <c r="BC6" s="55">
        <v>5.0463721250985952E-5</v>
      </c>
      <c r="BD6" s="55">
        <v>7.2070955005859569E-5</v>
      </c>
      <c r="BE6" s="55">
        <v>7.6700289494725793E-5</v>
      </c>
      <c r="BF6" s="55">
        <v>1.2300932454203909E-4</v>
      </c>
      <c r="BG6" s="55">
        <v>4.5945965221510122E-5</v>
      </c>
      <c r="BH6" s="55">
        <v>7.0139517371350691E-5</v>
      </c>
      <c r="BI6" s="55">
        <v>3.5875942422036004E-5</v>
      </c>
      <c r="BJ6" s="55">
        <v>5.4147154962287809E-5</v>
      </c>
      <c r="BK6" s="55">
        <v>5.7155772919325233E-5</v>
      </c>
      <c r="BL6" s="55">
        <v>5.5520002266082894E-5</v>
      </c>
      <c r="BM6" s="67">
        <v>8.9403606242944339E-5</v>
      </c>
    </row>
    <row r="7" spans="1:65" x14ac:dyDescent="0.25">
      <c r="A7" s="53" t="s">
        <v>66</v>
      </c>
      <c r="B7" s="54" t="s">
        <v>19</v>
      </c>
      <c r="C7" s="55">
        <v>6.2619705606686227E-2</v>
      </c>
      <c r="D7" s="55">
        <v>8.1727663307333814E-3</v>
      </c>
      <c r="E7" s="55">
        <v>1.1413377562630406E-3</v>
      </c>
      <c r="F7" s="55">
        <v>1.296175886782536E-2</v>
      </c>
      <c r="G7" s="55">
        <v>1.0152827095768213</v>
      </c>
      <c r="H7" s="55">
        <v>1.0206627252749136E-3</v>
      </c>
      <c r="I7" s="55">
        <v>1.124140291135363E-3</v>
      </c>
      <c r="J7" s="55">
        <v>1.1380130341030583E-3</v>
      </c>
      <c r="K7" s="55">
        <v>1.1358887130237737E-3</v>
      </c>
      <c r="L7" s="55">
        <v>1.1250182732623702E-3</v>
      </c>
      <c r="M7" s="55">
        <v>4.5578396413881051E-3</v>
      </c>
      <c r="N7" s="55">
        <v>9.7384350003252359E-4</v>
      </c>
      <c r="O7" s="55">
        <v>1.4631911366612216E-3</v>
      </c>
      <c r="P7" s="55">
        <v>1.0973090503469853E-4</v>
      </c>
      <c r="Q7" s="55">
        <v>1.7133452938097456E-3</v>
      </c>
      <c r="R7" s="55">
        <v>7.4461822097146254E-4</v>
      </c>
      <c r="S7" s="55">
        <v>8.0532151318138336E-4</v>
      </c>
      <c r="T7" s="55">
        <v>1.1449321226878453E-3</v>
      </c>
      <c r="U7" s="55">
        <v>1.4296721265148421E-3</v>
      </c>
      <c r="V7" s="55">
        <v>1.1727530543665749E-3</v>
      </c>
      <c r="W7" s="55">
        <v>1.2433375661714821E-3</v>
      </c>
      <c r="X7" s="55">
        <v>1.3010436719116901E-3</v>
      </c>
      <c r="Y7" s="55">
        <v>8.5712234004322587E-4</v>
      </c>
      <c r="Z7" s="55">
        <v>7.7265938044635679E-4</v>
      </c>
      <c r="AA7" s="55">
        <v>5.1995608211206749E-4</v>
      </c>
      <c r="AB7" s="55">
        <v>5.4143914587255503E-4</v>
      </c>
      <c r="AC7" s="55">
        <v>5.420247440050313E-4</v>
      </c>
      <c r="AD7" s="55">
        <v>5.8409871682464209E-4</v>
      </c>
      <c r="AE7" s="55">
        <v>5.3859205415977287E-4</v>
      </c>
      <c r="AF7" s="55">
        <v>4.5115622185165817E-4</v>
      </c>
      <c r="AG7" s="55">
        <v>8.3956162153145744E-4</v>
      </c>
      <c r="AH7" s="55">
        <v>7.9982923538813645E-4</v>
      </c>
      <c r="AI7" s="55">
        <v>8.3774165786482655E-4</v>
      </c>
      <c r="AJ7" s="55">
        <v>7.9244496829096033E-4</v>
      </c>
      <c r="AK7" s="55">
        <v>1.1068200146880794E-3</v>
      </c>
      <c r="AL7" s="55">
        <v>2.5764081477594419E-3</v>
      </c>
      <c r="AM7" s="55">
        <v>1.2241788405772352E-3</v>
      </c>
      <c r="AN7" s="55">
        <v>7.6264276245974726E-4</v>
      </c>
      <c r="AO7" s="55">
        <v>1.3855311730223813E-3</v>
      </c>
      <c r="AP7" s="55">
        <v>1.348533849179387E-3</v>
      </c>
      <c r="AQ7" s="55">
        <v>9.4919169040728131E-4</v>
      </c>
      <c r="AR7" s="55">
        <v>1.2341722550441988E-3</v>
      </c>
      <c r="AS7" s="55">
        <v>1.3474188142633256E-3</v>
      </c>
      <c r="AT7" s="55">
        <v>1.4493339382845483E-3</v>
      </c>
      <c r="AU7" s="55">
        <v>1.4789642561734249E-3</v>
      </c>
      <c r="AV7" s="55">
        <v>1.4936884341218888E-3</v>
      </c>
      <c r="AW7" s="55">
        <v>1.0245789250259397E-3</v>
      </c>
      <c r="AX7" s="55">
        <v>7.4524459821876104E-4</v>
      </c>
      <c r="AY7" s="55">
        <v>1.1824500058341392E-3</v>
      </c>
      <c r="AZ7" s="55">
        <v>1.0589147661897037E-3</v>
      </c>
      <c r="BA7" s="55">
        <v>1.1304168858406699E-3</v>
      </c>
      <c r="BB7" s="55">
        <v>1.5304414959478726E-3</v>
      </c>
      <c r="BC7" s="55">
        <v>9.2241811359111052E-4</v>
      </c>
      <c r="BD7" s="55">
        <v>1.3369532421478923E-3</v>
      </c>
      <c r="BE7" s="55">
        <v>9.6776783350408446E-4</v>
      </c>
      <c r="BF7" s="55">
        <v>1.3530541195213095E-3</v>
      </c>
      <c r="BG7" s="55">
        <v>9.473465850818461E-4</v>
      </c>
      <c r="BH7" s="55">
        <v>1.3958719146624509E-3</v>
      </c>
      <c r="BI7" s="55">
        <v>4.6693329891161014E-4</v>
      </c>
      <c r="BJ7" s="55">
        <v>1.3342021930814508E-3</v>
      </c>
      <c r="BK7" s="55">
        <v>1.2976363437065778E-3</v>
      </c>
      <c r="BL7" s="55">
        <v>1.3603462646829898E-3</v>
      </c>
      <c r="BM7" s="67">
        <v>2.2029317625608244E-3</v>
      </c>
    </row>
    <row r="8" spans="1:65" x14ac:dyDescent="0.25">
      <c r="A8" s="53" t="s">
        <v>67</v>
      </c>
      <c r="B8" s="54" t="s">
        <v>3</v>
      </c>
      <c r="C8" s="55">
        <v>3.432006464924209E-4</v>
      </c>
      <c r="D8" s="55">
        <v>6.3388658896548701E-5</v>
      </c>
      <c r="E8" s="55">
        <v>3.8157283082150759E-5</v>
      </c>
      <c r="F8" s="55">
        <v>4.2797378787618476E-5</v>
      </c>
      <c r="G8" s="55">
        <v>4.3070451662857979E-5</v>
      </c>
      <c r="H8" s="55">
        <v>1.0060743477247509</v>
      </c>
      <c r="I8" s="55">
        <v>9.0066660984887377E-5</v>
      </c>
      <c r="J8" s="55">
        <v>5.050517268618636E-5</v>
      </c>
      <c r="K8" s="55">
        <v>5.1230046929997509E-5</v>
      </c>
      <c r="L8" s="55">
        <v>4.6729045444044462E-5</v>
      </c>
      <c r="M8" s="55">
        <v>8.1332485565821085E-5</v>
      </c>
      <c r="N8" s="55">
        <v>4.5512078059358199E-5</v>
      </c>
      <c r="O8" s="55">
        <v>6.6342076589995315E-5</v>
      </c>
      <c r="P8" s="55">
        <v>1.8937271839065254E-5</v>
      </c>
      <c r="Q8" s="55">
        <v>4.270663905829962E-5</v>
      </c>
      <c r="R8" s="55">
        <v>2.790969395444557E-5</v>
      </c>
      <c r="S8" s="55">
        <v>3.1345829887986794E-5</v>
      </c>
      <c r="T8" s="55">
        <v>3.5373814573386528E-5</v>
      </c>
      <c r="U8" s="55">
        <v>5.2922384731372275E-5</v>
      </c>
      <c r="V8" s="55">
        <v>4.7355133847642662E-5</v>
      </c>
      <c r="W8" s="55">
        <v>4.2817101245995115E-5</v>
      </c>
      <c r="X8" s="55">
        <v>9.3299532871484692E-5</v>
      </c>
      <c r="Y8" s="55">
        <v>4.4212992115270379E-5</v>
      </c>
      <c r="Z8" s="55">
        <v>3.7925551454180314E-5</v>
      </c>
      <c r="AA8" s="55">
        <v>1.9944661214384207E-5</v>
      </c>
      <c r="AB8" s="55">
        <v>3.2062206206314013E-5</v>
      </c>
      <c r="AC8" s="55">
        <v>2.1996987543214149E-5</v>
      </c>
      <c r="AD8" s="55">
        <v>2.2906465845572685E-5</v>
      </c>
      <c r="AE8" s="55">
        <v>8.9384925714851987E-4</v>
      </c>
      <c r="AF8" s="55">
        <v>5.841502698228712E-3</v>
      </c>
      <c r="AG8" s="55">
        <v>3.8114655357944983E-5</v>
      </c>
      <c r="AH8" s="55">
        <v>4.4222161573979075E-5</v>
      </c>
      <c r="AI8" s="55">
        <v>4.6242334507492576E-5</v>
      </c>
      <c r="AJ8" s="55">
        <v>2.5940226731292438E-5</v>
      </c>
      <c r="AK8" s="55">
        <v>5.2327171686789902E-5</v>
      </c>
      <c r="AL8" s="55">
        <v>9.6654985582079738E-6</v>
      </c>
      <c r="AM8" s="55">
        <v>4.4593579854798778E-5</v>
      </c>
      <c r="AN8" s="55">
        <v>3.0475925304405009E-5</v>
      </c>
      <c r="AO8" s="55">
        <v>6.0661950992598391E-5</v>
      </c>
      <c r="AP8" s="55">
        <v>6.3022019087609891E-5</v>
      </c>
      <c r="AQ8" s="55">
        <v>3.0074345367718352E-5</v>
      </c>
      <c r="AR8" s="55">
        <v>7.2477411954331017E-5</v>
      </c>
      <c r="AS8" s="55">
        <v>5.6472111731520619E-5</v>
      </c>
      <c r="AT8" s="55">
        <v>6.4301741704742268E-5</v>
      </c>
      <c r="AU8" s="55">
        <v>6.2948169329878957E-5</v>
      </c>
      <c r="AV8" s="55">
        <v>4.8796258749773654E-5</v>
      </c>
      <c r="AW8" s="55">
        <v>6.5927017986949814E-5</v>
      </c>
      <c r="AX8" s="55">
        <v>2.2975980835218041E-5</v>
      </c>
      <c r="AY8" s="55">
        <v>4.8476976048144714E-5</v>
      </c>
      <c r="AZ8" s="55">
        <v>3.2463692910107307E-5</v>
      </c>
      <c r="BA8" s="55">
        <v>7.4457268364338166E-5</v>
      </c>
      <c r="BB8" s="55">
        <v>9.1017104126328653E-5</v>
      </c>
      <c r="BC8" s="55">
        <v>3.4957576003257506E-5</v>
      </c>
      <c r="BD8" s="55">
        <v>4.533020068456482E-5</v>
      </c>
      <c r="BE8" s="55">
        <v>1.0077232106600469E-4</v>
      </c>
      <c r="BF8" s="55">
        <v>8.0227230995666852E-5</v>
      </c>
      <c r="BG8" s="55">
        <v>3.4208636894526622E-5</v>
      </c>
      <c r="BH8" s="55">
        <v>6.9258289570818407E-5</v>
      </c>
      <c r="BI8" s="55">
        <v>3.8733768413032453E-5</v>
      </c>
      <c r="BJ8" s="55">
        <v>3.8787330064492854E-5</v>
      </c>
      <c r="BK8" s="55">
        <v>4.2786470406021075E-5</v>
      </c>
      <c r="BL8" s="55">
        <v>4.1303766793866434E-5</v>
      </c>
      <c r="BM8" s="67">
        <v>6.4042647978757586E-5</v>
      </c>
    </row>
    <row r="9" spans="1:65" x14ac:dyDescent="0.25">
      <c r="A9" s="53" t="s">
        <v>68</v>
      </c>
      <c r="B9" s="54" t="s">
        <v>127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1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0</v>
      </c>
      <c r="AJ9" s="55">
        <v>0</v>
      </c>
      <c r="AK9" s="55">
        <v>0</v>
      </c>
      <c r="AL9" s="55">
        <v>0</v>
      </c>
      <c r="AM9" s="55">
        <v>0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  <c r="AS9" s="55">
        <v>0</v>
      </c>
      <c r="AT9" s="55">
        <v>0</v>
      </c>
      <c r="AU9" s="55">
        <v>0</v>
      </c>
      <c r="AV9" s="55">
        <v>0</v>
      </c>
      <c r="AW9" s="55">
        <v>0</v>
      </c>
      <c r="AX9" s="55">
        <v>0</v>
      </c>
      <c r="AY9" s="55">
        <v>0</v>
      </c>
      <c r="AZ9" s="55">
        <v>0</v>
      </c>
      <c r="BA9" s="55">
        <v>0</v>
      </c>
      <c r="BB9" s="55">
        <v>0</v>
      </c>
      <c r="BC9" s="55">
        <v>0</v>
      </c>
      <c r="BD9" s="55">
        <v>0</v>
      </c>
      <c r="BE9" s="55">
        <v>0</v>
      </c>
      <c r="BF9" s="55">
        <v>0</v>
      </c>
      <c r="BG9" s="55">
        <v>0</v>
      </c>
      <c r="BH9" s="55">
        <v>0</v>
      </c>
      <c r="BI9" s="55">
        <v>0</v>
      </c>
      <c r="BJ9" s="55">
        <v>0</v>
      </c>
      <c r="BK9" s="55">
        <v>0</v>
      </c>
      <c r="BL9" s="55">
        <v>0</v>
      </c>
      <c r="BM9" s="67">
        <v>0</v>
      </c>
    </row>
    <row r="10" spans="1:65" x14ac:dyDescent="0.25">
      <c r="A10" s="53" t="s">
        <v>69</v>
      </c>
      <c r="B10" s="54" t="s">
        <v>128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1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0</v>
      </c>
      <c r="AF10" s="55">
        <v>0</v>
      </c>
      <c r="AG10" s="55">
        <v>0</v>
      </c>
      <c r="AH10" s="55">
        <v>0</v>
      </c>
      <c r="AI10" s="55">
        <v>0</v>
      </c>
      <c r="AJ10" s="55">
        <v>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0</v>
      </c>
      <c r="AQ10" s="55">
        <v>0</v>
      </c>
      <c r="AR10" s="55">
        <v>0</v>
      </c>
      <c r="AS10" s="55">
        <v>0</v>
      </c>
      <c r="AT10" s="55">
        <v>0</v>
      </c>
      <c r="AU10" s="55">
        <v>0</v>
      </c>
      <c r="AV10" s="55">
        <v>0</v>
      </c>
      <c r="AW10" s="55">
        <v>0</v>
      </c>
      <c r="AX10" s="55">
        <v>0</v>
      </c>
      <c r="AY10" s="55">
        <v>0</v>
      </c>
      <c r="AZ10" s="55">
        <v>0</v>
      </c>
      <c r="BA10" s="55">
        <v>0</v>
      </c>
      <c r="BB10" s="55">
        <v>0</v>
      </c>
      <c r="BC10" s="55">
        <v>0</v>
      </c>
      <c r="BD10" s="55">
        <v>0</v>
      </c>
      <c r="BE10" s="55">
        <v>0</v>
      </c>
      <c r="BF10" s="55">
        <v>0</v>
      </c>
      <c r="BG10" s="55">
        <v>0</v>
      </c>
      <c r="BH10" s="55">
        <v>0</v>
      </c>
      <c r="BI10" s="55">
        <v>0</v>
      </c>
      <c r="BJ10" s="55">
        <v>0</v>
      </c>
      <c r="BK10" s="55">
        <v>0</v>
      </c>
      <c r="BL10" s="55">
        <v>0</v>
      </c>
      <c r="BM10" s="67">
        <v>0</v>
      </c>
    </row>
    <row r="11" spans="1:65" x14ac:dyDescent="0.25">
      <c r="A11" s="53" t="s">
        <v>70</v>
      </c>
      <c r="B11" s="54" t="s">
        <v>129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1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5">
        <v>0</v>
      </c>
      <c r="AF11" s="55">
        <v>0</v>
      </c>
      <c r="AG11" s="55">
        <v>0</v>
      </c>
      <c r="AH11" s="55">
        <v>0</v>
      </c>
      <c r="AI11" s="55">
        <v>0</v>
      </c>
      <c r="AJ11" s="55">
        <v>0</v>
      </c>
      <c r="AK11" s="55">
        <v>0</v>
      </c>
      <c r="AL11" s="55">
        <v>0</v>
      </c>
      <c r="AM11" s="55">
        <v>0</v>
      </c>
      <c r="AN11" s="55">
        <v>0</v>
      </c>
      <c r="AO11" s="55">
        <v>0</v>
      </c>
      <c r="AP11" s="55">
        <v>0</v>
      </c>
      <c r="AQ11" s="55">
        <v>0</v>
      </c>
      <c r="AR11" s="55">
        <v>0</v>
      </c>
      <c r="AS11" s="55">
        <v>0</v>
      </c>
      <c r="AT11" s="55">
        <v>0</v>
      </c>
      <c r="AU11" s="55">
        <v>0</v>
      </c>
      <c r="AV11" s="55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5">
        <v>0</v>
      </c>
      <c r="BC11" s="55">
        <v>0</v>
      </c>
      <c r="BD11" s="55">
        <v>0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67">
        <v>0</v>
      </c>
    </row>
    <row r="12" spans="1:65" x14ac:dyDescent="0.25">
      <c r="A12" s="53" t="s">
        <v>71</v>
      </c>
      <c r="B12" s="54" t="s">
        <v>130</v>
      </c>
      <c r="C12" s="55">
        <v>1.9647853865043106E-2</v>
      </c>
      <c r="D12" s="55">
        <v>1.7236160561525545E-2</v>
      </c>
      <c r="E12" s="55">
        <v>0.13976827936502711</v>
      </c>
      <c r="F12" s="55">
        <v>1.761209415506344E-2</v>
      </c>
      <c r="G12" s="55">
        <v>2.0088798055596564E-2</v>
      </c>
      <c r="H12" s="55">
        <v>1.5878261511483378E-2</v>
      </c>
      <c r="I12" s="55">
        <v>2.1361320630756062E-2</v>
      </c>
      <c r="J12" s="55">
        <v>2.210958306793977E-2</v>
      </c>
      <c r="K12" s="55">
        <v>2.3144791729524564E-2</v>
      </c>
      <c r="L12" s="55">
        <v>1.0203204201656806</v>
      </c>
      <c r="M12" s="55">
        <v>2.7903853727890733E-2</v>
      </c>
      <c r="N12" s="55">
        <v>1.84360916259746E-2</v>
      </c>
      <c r="O12" s="55">
        <v>2.2378805830101323E-2</v>
      </c>
      <c r="P12" s="55">
        <v>3.5876427923455202E-3</v>
      </c>
      <c r="Q12" s="55">
        <v>1.7462747320324983E-2</v>
      </c>
      <c r="R12" s="55">
        <v>3.929831837498491E-2</v>
      </c>
      <c r="S12" s="55">
        <v>1.1927824149543968E-2</v>
      </c>
      <c r="T12" s="55">
        <v>1.6861597481463056E-2</v>
      </c>
      <c r="U12" s="55">
        <v>2.2320286249207923E-2</v>
      </c>
      <c r="V12" s="55">
        <v>2.3163469312864254E-2</v>
      </c>
      <c r="W12" s="55">
        <v>2.8893528296292544E-2</v>
      </c>
      <c r="X12" s="55">
        <v>3.8354295247956617E-2</v>
      </c>
      <c r="Y12" s="55">
        <v>2.3037842820635299E-2</v>
      </c>
      <c r="Z12" s="55">
        <v>1.8726511940288744E-2</v>
      </c>
      <c r="AA12" s="55">
        <v>1.0095349302343909E-2</v>
      </c>
      <c r="AB12" s="55">
        <v>1.7483912666180042E-2</v>
      </c>
      <c r="AC12" s="55">
        <v>1.2185247420454464E-2</v>
      </c>
      <c r="AD12" s="55">
        <v>1.2511911625621014E-2</v>
      </c>
      <c r="AE12" s="55">
        <v>5.9667423535797105E-2</v>
      </c>
      <c r="AF12" s="55">
        <v>4.4707796916822459E-2</v>
      </c>
      <c r="AG12" s="55">
        <v>1.8240427973483488E-2</v>
      </c>
      <c r="AH12" s="55">
        <v>1.8610724570768976E-2</v>
      </c>
      <c r="AI12" s="55">
        <v>3.0047345235837304E-2</v>
      </c>
      <c r="AJ12" s="55">
        <v>1.3165170661903595E-2</v>
      </c>
      <c r="AK12" s="55">
        <v>2.8460405065353411E-2</v>
      </c>
      <c r="AL12" s="55">
        <v>8.4940742279719553E-2</v>
      </c>
      <c r="AM12" s="55">
        <v>3.0592413160643366E-2</v>
      </c>
      <c r="AN12" s="55">
        <v>1.5610174732824635E-2</v>
      </c>
      <c r="AO12" s="55">
        <v>3.4036016140319383E-2</v>
      </c>
      <c r="AP12" s="55">
        <v>3.0286633920079607E-2</v>
      </c>
      <c r="AQ12" s="55">
        <v>1.4733345230047054E-2</v>
      </c>
      <c r="AR12" s="55">
        <v>3.6204813203827069E-2</v>
      </c>
      <c r="AS12" s="55">
        <v>3.0559750196832425E-2</v>
      </c>
      <c r="AT12" s="55">
        <v>3.2814962241376942E-2</v>
      </c>
      <c r="AU12" s="55">
        <v>2.4988166215013617E-2</v>
      </c>
      <c r="AV12" s="55">
        <v>2.3827028850067624E-2</v>
      </c>
      <c r="AW12" s="55">
        <v>2.1214943211442905E-2</v>
      </c>
      <c r="AX12" s="55">
        <v>1.1374928282517861E-2</v>
      </c>
      <c r="AY12" s="55">
        <v>5.3878341853441439E-2</v>
      </c>
      <c r="AZ12" s="55">
        <v>1.5452616359429539E-2</v>
      </c>
      <c r="BA12" s="55">
        <v>2.9302996688751796E-2</v>
      </c>
      <c r="BB12" s="55">
        <v>3.1680956686666352E-2</v>
      </c>
      <c r="BC12" s="55">
        <v>1.8419560477920417E-2</v>
      </c>
      <c r="BD12" s="55">
        <v>2.0404890763950228E-2</v>
      </c>
      <c r="BE12" s="55">
        <v>6.088107666450733E-2</v>
      </c>
      <c r="BF12" s="55">
        <v>4.687496044688045E-2</v>
      </c>
      <c r="BG12" s="55">
        <v>1.5815076599761804E-2</v>
      </c>
      <c r="BH12" s="55">
        <v>3.5596625379291806E-2</v>
      </c>
      <c r="BI12" s="55">
        <v>1.1419691408497346E-2</v>
      </c>
      <c r="BJ12" s="55">
        <v>1.8173173299357481E-2</v>
      </c>
      <c r="BK12" s="55">
        <v>2.955541011464859E-2</v>
      </c>
      <c r="BL12" s="55">
        <v>2.0014904189621329E-2</v>
      </c>
      <c r="BM12" s="67">
        <v>3.0006142168912529E-2</v>
      </c>
    </row>
    <row r="13" spans="1:65" x14ac:dyDescent="0.25">
      <c r="A13" s="53" t="s">
        <v>72</v>
      </c>
      <c r="B13" s="54" t="s">
        <v>131</v>
      </c>
      <c r="C13" s="55">
        <v>3.6411452524560584E-3</v>
      </c>
      <c r="D13" s="55">
        <v>2.976686178558012E-2</v>
      </c>
      <c r="E13" s="55">
        <v>5.0457488021039129E-3</v>
      </c>
      <c r="F13" s="55">
        <v>5.0520963506841716E-3</v>
      </c>
      <c r="G13" s="55">
        <v>5.1150122673754815E-3</v>
      </c>
      <c r="H13" s="55">
        <v>3.2622987252262444E-3</v>
      </c>
      <c r="I13" s="55">
        <v>4.3636690318441182E-3</v>
      </c>
      <c r="J13" s="55">
        <v>4.4789081773490159E-3</v>
      </c>
      <c r="K13" s="55">
        <v>4.7038229385702951E-3</v>
      </c>
      <c r="L13" s="55">
        <v>4.2466640988079642E-3</v>
      </c>
      <c r="M13" s="55">
        <v>1.0330929682209442</v>
      </c>
      <c r="N13" s="55">
        <v>5.8719062318389054E-2</v>
      </c>
      <c r="O13" s="55">
        <v>6.4443553837478379E-3</v>
      </c>
      <c r="P13" s="55">
        <v>6.0000615561964102E-4</v>
      </c>
      <c r="Q13" s="55">
        <v>3.9288443584043634E-3</v>
      </c>
      <c r="R13" s="55">
        <v>3.5870311412007495E-3</v>
      </c>
      <c r="S13" s="55">
        <v>2.8080892261974329E-3</v>
      </c>
      <c r="T13" s="55">
        <v>3.8264089764722055E-3</v>
      </c>
      <c r="U13" s="55">
        <v>5.4435421165134812E-3</v>
      </c>
      <c r="V13" s="55">
        <v>6.3660585121865371E-3</v>
      </c>
      <c r="W13" s="55">
        <v>7.4138602646920959E-3</v>
      </c>
      <c r="X13" s="55">
        <v>5.8289273016113238E-3</v>
      </c>
      <c r="Y13" s="55">
        <v>4.8231543206012162E-3</v>
      </c>
      <c r="Z13" s="55">
        <v>4.7121701154425938E-3</v>
      </c>
      <c r="AA13" s="55">
        <v>2.3303943174298957E-3</v>
      </c>
      <c r="AB13" s="55">
        <v>3.2054639095253881E-3</v>
      </c>
      <c r="AC13" s="55">
        <v>2.2978485239686201E-3</v>
      </c>
      <c r="AD13" s="55">
        <v>2.4018085599228603E-3</v>
      </c>
      <c r="AE13" s="55">
        <v>2.6581940818558069E-3</v>
      </c>
      <c r="AF13" s="55">
        <v>2.083991500019602E-3</v>
      </c>
      <c r="AG13" s="55">
        <v>3.6707207869937381E-3</v>
      </c>
      <c r="AH13" s="55">
        <v>3.0547603695644659E-3</v>
      </c>
      <c r="AI13" s="55">
        <v>4.9328290362663542E-3</v>
      </c>
      <c r="AJ13" s="55">
        <v>2.8626851030508368E-3</v>
      </c>
      <c r="AK13" s="55">
        <v>4.5126171666898043E-3</v>
      </c>
      <c r="AL13" s="55">
        <v>8.1538533562182283E-4</v>
      </c>
      <c r="AM13" s="55">
        <v>2.8511439809671777E-3</v>
      </c>
      <c r="AN13" s="55">
        <v>3.2375183045946004E-3</v>
      </c>
      <c r="AO13" s="55">
        <v>5.3841967737259435E-3</v>
      </c>
      <c r="AP13" s="55">
        <v>4.7755262282053916E-3</v>
      </c>
      <c r="AQ13" s="55">
        <v>3.1646921336690756E-3</v>
      </c>
      <c r="AR13" s="55">
        <v>4.7281488039744076E-3</v>
      </c>
      <c r="AS13" s="55">
        <v>6.7019959666199331E-3</v>
      </c>
      <c r="AT13" s="55">
        <v>5.1516192416625273E-3</v>
      </c>
      <c r="AU13" s="55">
        <v>5.1697503142876028E-3</v>
      </c>
      <c r="AV13" s="55">
        <v>5.2498442913524717E-3</v>
      </c>
      <c r="AW13" s="55">
        <v>3.9601942095825963E-3</v>
      </c>
      <c r="AX13" s="55">
        <v>2.5952888061118828E-3</v>
      </c>
      <c r="AY13" s="55">
        <v>4.9069476612249871E-3</v>
      </c>
      <c r="AZ13" s="55">
        <v>3.4605959989050155E-3</v>
      </c>
      <c r="BA13" s="55">
        <v>7.6021714108968396E-3</v>
      </c>
      <c r="BB13" s="55">
        <v>1.5343611725661987E-2</v>
      </c>
      <c r="BC13" s="55">
        <v>6.7122214158412885E-3</v>
      </c>
      <c r="BD13" s="55">
        <v>4.512675286143011E-3</v>
      </c>
      <c r="BE13" s="55">
        <v>4.7861013602989565E-3</v>
      </c>
      <c r="BF13" s="55">
        <v>4.1169169469958279E-2</v>
      </c>
      <c r="BG13" s="55">
        <v>3.1806120200559371E-3</v>
      </c>
      <c r="BH13" s="55">
        <v>5.2929325811007424E-3</v>
      </c>
      <c r="BI13" s="55">
        <v>1.9246729843583701E-3</v>
      </c>
      <c r="BJ13" s="55">
        <v>4.2140256624252775E-3</v>
      </c>
      <c r="BK13" s="55">
        <v>4.6837236498149604E-3</v>
      </c>
      <c r="BL13" s="55">
        <v>4.2929216247765498E-3</v>
      </c>
      <c r="BM13" s="67">
        <v>6.9578741724016478E-3</v>
      </c>
    </row>
    <row r="14" spans="1:65" x14ac:dyDescent="0.25">
      <c r="A14" s="53" t="s">
        <v>73</v>
      </c>
      <c r="B14" s="56" t="s">
        <v>132</v>
      </c>
      <c r="C14" s="55">
        <v>2.3080916589733307E-3</v>
      </c>
      <c r="D14" s="55">
        <v>2.4813174086003495E-3</v>
      </c>
      <c r="E14" s="55">
        <v>8.9744946479221703E-3</v>
      </c>
      <c r="F14" s="55">
        <v>3.0803401801605007E-3</v>
      </c>
      <c r="G14" s="55">
        <v>2.4189952097484137E-3</v>
      </c>
      <c r="H14" s="55">
        <v>2.1489336430502433E-3</v>
      </c>
      <c r="I14" s="55">
        <v>2.8656031606626299E-3</v>
      </c>
      <c r="J14" s="55">
        <v>2.9869988761266108E-3</v>
      </c>
      <c r="K14" s="55">
        <v>3.0734174785711998E-3</v>
      </c>
      <c r="L14" s="55">
        <v>2.8494018370122443E-3</v>
      </c>
      <c r="M14" s="55">
        <v>8.7480008323140481E-3</v>
      </c>
      <c r="N14" s="55">
        <v>1.0291403814750792</v>
      </c>
      <c r="O14" s="55">
        <v>3.2426654861135015E-3</v>
      </c>
      <c r="P14" s="55">
        <v>3.3058975162343716E-4</v>
      </c>
      <c r="Q14" s="55">
        <v>2.661254683921008E-3</v>
      </c>
      <c r="R14" s="55">
        <v>2.1918801311293251E-3</v>
      </c>
      <c r="S14" s="55">
        <v>2.0282716324117583E-3</v>
      </c>
      <c r="T14" s="55">
        <v>2.8683170569684356E-3</v>
      </c>
      <c r="U14" s="55">
        <v>3.7858313849040651E-3</v>
      </c>
      <c r="V14" s="55">
        <v>3.3417055144988462E-3</v>
      </c>
      <c r="W14" s="55">
        <v>3.8656136344807275E-3</v>
      </c>
      <c r="X14" s="55">
        <v>3.6306509430585544E-3</v>
      </c>
      <c r="Y14" s="55">
        <v>2.7074104521715905E-3</v>
      </c>
      <c r="Z14" s="55">
        <v>2.2512717704721063E-3</v>
      </c>
      <c r="AA14" s="55">
        <v>1.4709028912161795E-3</v>
      </c>
      <c r="AB14" s="55">
        <v>1.7569976631157897E-3</v>
      </c>
      <c r="AC14" s="55">
        <v>1.4987744022000641E-3</v>
      </c>
      <c r="AD14" s="55">
        <v>1.5940233311935448E-3</v>
      </c>
      <c r="AE14" s="55">
        <v>1.582361708875202E-3</v>
      </c>
      <c r="AF14" s="55">
        <v>1.2857015706852165E-3</v>
      </c>
      <c r="AG14" s="55">
        <v>2.3177202168553242E-3</v>
      </c>
      <c r="AH14" s="55">
        <v>2.0722042780013275E-3</v>
      </c>
      <c r="AI14" s="55">
        <v>2.7207318776809345E-3</v>
      </c>
      <c r="AJ14" s="55">
        <v>2.0327102555234198E-3</v>
      </c>
      <c r="AK14" s="55">
        <v>2.9491641642841533E-3</v>
      </c>
      <c r="AL14" s="55">
        <v>5.4788569720081609E-4</v>
      </c>
      <c r="AM14" s="55">
        <v>1.9966346479842706E-3</v>
      </c>
      <c r="AN14" s="55">
        <v>2.1106037391416363E-3</v>
      </c>
      <c r="AO14" s="55">
        <v>3.6258204774295092E-3</v>
      </c>
      <c r="AP14" s="55">
        <v>3.3768359852520595E-3</v>
      </c>
      <c r="AQ14" s="55">
        <v>2.3741985697874664E-3</v>
      </c>
      <c r="AR14" s="55">
        <v>3.1170083304315551E-3</v>
      </c>
      <c r="AS14" s="55">
        <v>3.8778529492340444E-3</v>
      </c>
      <c r="AT14" s="55">
        <v>3.7025957436509168E-3</v>
      </c>
      <c r="AU14" s="55">
        <v>3.7711832768634367E-3</v>
      </c>
      <c r="AV14" s="55">
        <v>3.8020794962350152E-3</v>
      </c>
      <c r="AW14" s="55">
        <v>2.7216203325239126E-3</v>
      </c>
      <c r="AX14" s="55">
        <v>1.8972097129315913E-3</v>
      </c>
      <c r="AY14" s="55">
        <v>3.2430763941711984E-3</v>
      </c>
      <c r="AZ14" s="55">
        <v>2.6331202086511533E-3</v>
      </c>
      <c r="BA14" s="55">
        <v>3.3185158932641148E-3</v>
      </c>
      <c r="BB14" s="55">
        <v>4.4865398891454659E-3</v>
      </c>
      <c r="BC14" s="55">
        <v>2.7813048319592398E-3</v>
      </c>
      <c r="BD14" s="55">
        <v>3.3549719531621221E-3</v>
      </c>
      <c r="BE14" s="55">
        <v>2.760821474798478E-3</v>
      </c>
      <c r="BF14" s="55">
        <v>1.4850233624549064E-2</v>
      </c>
      <c r="BG14" s="55">
        <v>2.3723601763711924E-3</v>
      </c>
      <c r="BH14" s="55">
        <v>3.5233792328866545E-3</v>
      </c>
      <c r="BI14" s="55">
        <v>1.4545279527778186E-3</v>
      </c>
      <c r="BJ14" s="55">
        <v>3.2784682473519107E-3</v>
      </c>
      <c r="BK14" s="55">
        <v>3.3878056617138034E-3</v>
      </c>
      <c r="BL14" s="55">
        <v>3.3309398787433665E-3</v>
      </c>
      <c r="BM14" s="67">
        <v>5.4131539223138845E-3</v>
      </c>
    </row>
    <row r="15" spans="1:65" x14ac:dyDescent="0.25">
      <c r="A15" s="53" t="s">
        <v>74</v>
      </c>
      <c r="B15" s="56" t="s">
        <v>133</v>
      </c>
      <c r="C15" s="55">
        <v>1.3210137670548532E-3</v>
      </c>
      <c r="D15" s="55">
        <v>5.0203413760566086E-4</v>
      </c>
      <c r="E15" s="55">
        <v>5.7167331348626149E-3</v>
      </c>
      <c r="F15" s="55">
        <v>2.2875289745910498E-4</v>
      </c>
      <c r="G15" s="55">
        <v>2.1628429635571185E-4</v>
      </c>
      <c r="H15" s="55">
        <v>6.318070101460322E-4</v>
      </c>
      <c r="I15" s="55">
        <v>2.2888640392762028E-4</v>
      </c>
      <c r="J15" s="55">
        <v>4.3741391884625244E-4</v>
      </c>
      <c r="K15" s="55">
        <v>7.0246328436238549E-4</v>
      </c>
      <c r="L15" s="55">
        <v>2.334875602103451E-4</v>
      </c>
      <c r="M15" s="55">
        <v>4.2811400167686991E-4</v>
      </c>
      <c r="N15" s="55">
        <v>6.5261428144540944E-4</v>
      </c>
      <c r="O15" s="55">
        <v>1.0161611017436314</v>
      </c>
      <c r="P15" s="55">
        <v>2.8044568400034191E-5</v>
      </c>
      <c r="Q15" s="55">
        <v>5.4171348556372007E-4</v>
      </c>
      <c r="R15" s="55">
        <v>1.5453709497514426E-4</v>
      </c>
      <c r="S15" s="55">
        <v>2.3169218901797348E-4</v>
      </c>
      <c r="T15" s="55">
        <v>2.2053298950253179E-4</v>
      </c>
      <c r="U15" s="55">
        <v>3.6409520454498142E-4</v>
      </c>
      <c r="V15" s="55">
        <v>3.3873048718801696E-4</v>
      </c>
      <c r="W15" s="55">
        <v>2.5545089802735739E-4</v>
      </c>
      <c r="X15" s="55">
        <v>5.5922555112866929E-4</v>
      </c>
      <c r="Y15" s="55">
        <v>2.2131991213391767E-4</v>
      </c>
      <c r="Z15" s="55">
        <v>4.5291229149361481E-4</v>
      </c>
      <c r="AA15" s="55">
        <v>1.2021452330337294E-4</v>
      </c>
      <c r="AB15" s="55">
        <v>1.6381721703585058E-4</v>
      </c>
      <c r="AC15" s="55">
        <v>1.1929086708293749E-4</v>
      </c>
      <c r="AD15" s="55">
        <v>1.2579323511899984E-4</v>
      </c>
      <c r="AE15" s="55">
        <v>1.2577436458032385E-4</v>
      </c>
      <c r="AF15" s="55">
        <v>1.0248139946590185E-4</v>
      </c>
      <c r="AG15" s="55">
        <v>4.3686658373361651E-4</v>
      </c>
      <c r="AH15" s="55">
        <v>2.4529203748711344E-4</v>
      </c>
      <c r="AI15" s="55">
        <v>2.8843374157248684E-4</v>
      </c>
      <c r="AJ15" s="55">
        <v>1.5672971983649514E-4</v>
      </c>
      <c r="AK15" s="55">
        <v>2.6456425953461348E-4</v>
      </c>
      <c r="AL15" s="55">
        <v>1.5857081200283205E-4</v>
      </c>
      <c r="AM15" s="55">
        <v>1.7774907016110311E-4</v>
      </c>
      <c r="AN15" s="55">
        <v>3.1731914227480304E-4</v>
      </c>
      <c r="AO15" s="55">
        <v>3.1321734853589775E-4</v>
      </c>
      <c r="AP15" s="55">
        <v>2.7079562788414349E-4</v>
      </c>
      <c r="AQ15" s="55">
        <v>1.7910445053983634E-4</v>
      </c>
      <c r="AR15" s="55">
        <v>3.1655332187813961E-4</v>
      </c>
      <c r="AS15" s="55">
        <v>4.0203480931530927E-4</v>
      </c>
      <c r="AT15" s="55">
        <v>2.8961412564084625E-4</v>
      </c>
      <c r="AU15" s="55">
        <v>2.8963701775911691E-4</v>
      </c>
      <c r="AV15" s="55">
        <v>3.6423848200934907E-4</v>
      </c>
      <c r="AW15" s="55">
        <v>2.237640962481038E-4</v>
      </c>
      <c r="AX15" s="55">
        <v>1.450910585662617E-4</v>
      </c>
      <c r="AY15" s="55">
        <v>2.3406639569126166E-4</v>
      </c>
      <c r="AZ15" s="55">
        <v>1.9713568561871244E-4</v>
      </c>
      <c r="BA15" s="55">
        <v>5.2270443356554125E-4</v>
      </c>
      <c r="BB15" s="55">
        <v>6.6498914874727323E-4</v>
      </c>
      <c r="BC15" s="55">
        <v>3.9514968750402514E-4</v>
      </c>
      <c r="BD15" s="55">
        <v>2.9637479018947821E-4</v>
      </c>
      <c r="BE15" s="55">
        <v>3.7717499910395173E-4</v>
      </c>
      <c r="BF15" s="55">
        <v>4.3529945678982693E-4</v>
      </c>
      <c r="BG15" s="55">
        <v>2.2423576253525863E-4</v>
      </c>
      <c r="BH15" s="55">
        <v>8.3701534283257806E-4</v>
      </c>
      <c r="BI15" s="55">
        <v>1.2195588045958922E-4</v>
      </c>
      <c r="BJ15" s="55">
        <v>2.4024156907931935E-4</v>
      </c>
      <c r="BK15" s="55">
        <v>2.4768610146995912E-4</v>
      </c>
      <c r="BL15" s="55">
        <v>2.5275468324931607E-4</v>
      </c>
      <c r="BM15" s="67">
        <v>3.966683505368621E-4</v>
      </c>
    </row>
    <row r="16" spans="1:65" x14ac:dyDescent="0.25">
      <c r="A16" s="53" t="s">
        <v>75</v>
      </c>
      <c r="B16" s="54" t="s">
        <v>134</v>
      </c>
      <c r="C16" s="55">
        <v>1.6784182993410862E-2</v>
      </c>
      <c r="D16" s="55">
        <v>1.4042434764122787E-2</v>
      </c>
      <c r="E16" s="55">
        <v>3.1194260569907636E-2</v>
      </c>
      <c r="F16" s="55">
        <v>1.5870547691249053E-2</v>
      </c>
      <c r="G16" s="55">
        <v>1.38033620893764E-2</v>
      </c>
      <c r="H16" s="55">
        <v>1.5521692869029366E-2</v>
      </c>
      <c r="I16" s="55">
        <v>1.7999617974386605E-2</v>
      </c>
      <c r="J16" s="55">
        <v>1.4922613622102803E-2</v>
      </c>
      <c r="K16" s="55">
        <v>1.6380515552284564E-2</v>
      </c>
      <c r="L16" s="55">
        <v>1.4310145627575007E-2</v>
      </c>
      <c r="M16" s="55">
        <v>1.7354977002801489E-2</v>
      </c>
      <c r="N16" s="55">
        <v>1.1680377238992998E-2</v>
      </c>
      <c r="O16" s="55">
        <v>2.4413158384461672E-2</v>
      </c>
      <c r="P16" s="55">
        <v>1.0046888834897827</v>
      </c>
      <c r="Q16" s="55">
        <v>1.2897206001390032E-2</v>
      </c>
      <c r="R16" s="55">
        <v>2.3790726759462224E-2</v>
      </c>
      <c r="S16" s="55">
        <v>1.0484580049962316E-2</v>
      </c>
      <c r="T16" s="55">
        <v>1.4324181121061444E-2</v>
      </c>
      <c r="U16" s="55">
        <v>2.3396799691562723E-2</v>
      </c>
      <c r="V16" s="55">
        <v>2.3787203082595489E-2</v>
      </c>
      <c r="W16" s="55">
        <v>1.9664010319296328E-2</v>
      </c>
      <c r="X16" s="55">
        <v>2.5150586313471151E-2</v>
      </c>
      <c r="Y16" s="55">
        <v>1.2068758102294519E-2</v>
      </c>
      <c r="Z16" s="55">
        <v>1.0227254207974813E-2</v>
      </c>
      <c r="AA16" s="55">
        <v>6.2039047291533676E-3</v>
      </c>
      <c r="AB16" s="55">
        <v>7.9023177063562745E-3</v>
      </c>
      <c r="AC16" s="55">
        <v>6.8328521447868452E-3</v>
      </c>
      <c r="AD16" s="55">
        <v>7.2473423527573255E-3</v>
      </c>
      <c r="AE16" s="55">
        <v>0.14556414038153917</v>
      </c>
      <c r="AF16" s="55">
        <v>7.0202835075640624E-2</v>
      </c>
      <c r="AG16" s="55">
        <v>1.1113264440662622E-2</v>
      </c>
      <c r="AH16" s="55">
        <v>1.1239489083596364E-2</v>
      </c>
      <c r="AI16" s="55">
        <v>1.1795287202656697E-2</v>
      </c>
      <c r="AJ16" s="55">
        <v>8.9161754850204285E-3</v>
      </c>
      <c r="AK16" s="55">
        <v>1.4650493963956871E-2</v>
      </c>
      <c r="AL16" s="55">
        <v>3.9248359809326864E-3</v>
      </c>
      <c r="AM16" s="55">
        <v>1.0855657344404962E-2</v>
      </c>
      <c r="AN16" s="55">
        <v>9.8104145566814786E-3</v>
      </c>
      <c r="AO16" s="55">
        <v>1.7800113186466942E-2</v>
      </c>
      <c r="AP16" s="55">
        <v>1.7671128826567961E-2</v>
      </c>
      <c r="AQ16" s="55">
        <v>1.0612885303359694E-2</v>
      </c>
      <c r="AR16" s="55">
        <v>1.7680213132909704E-2</v>
      </c>
      <c r="AS16" s="55">
        <v>1.7015064751559675E-2</v>
      </c>
      <c r="AT16" s="55">
        <v>1.7984075568597505E-2</v>
      </c>
      <c r="AU16" s="55">
        <v>1.8542482178380445E-2</v>
      </c>
      <c r="AV16" s="55">
        <v>1.748383702121712E-2</v>
      </c>
      <c r="AW16" s="55">
        <v>1.9896056680975351E-2</v>
      </c>
      <c r="AX16" s="55">
        <v>8.2162982319549226E-3</v>
      </c>
      <c r="AY16" s="55">
        <v>1.4321037386049479E-2</v>
      </c>
      <c r="AZ16" s="55">
        <v>1.1664731792062743E-2</v>
      </c>
      <c r="BA16" s="55">
        <v>1.725753018990572E-2</v>
      </c>
      <c r="BB16" s="55">
        <v>2.1193782495061729E-2</v>
      </c>
      <c r="BC16" s="55">
        <v>1.1390149949163961E-2</v>
      </c>
      <c r="BD16" s="55">
        <v>1.5106368338259237E-2</v>
      </c>
      <c r="BE16" s="55">
        <v>1.8503029998820107E-2</v>
      </c>
      <c r="BF16" s="55">
        <v>1.7700858797041322E-2</v>
      </c>
      <c r="BG16" s="55">
        <v>1.1177595379406441E-2</v>
      </c>
      <c r="BH16" s="55">
        <v>1.8709080491237092E-2</v>
      </c>
      <c r="BI16" s="55">
        <v>7.7116229919003271E-3</v>
      </c>
      <c r="BJ16" s="55">
        <v>1.4397609498025992E-2</v>
      </c>
      <c r="BK16" s="55">
        <v>1.4836259431082299E-2</v>
      </c>
      <c r="BL16" s="55">
        <v>1.481704890199486E-2</v>
      </c>
      <c r="BM16" s="67">
        <v>2.3772222405732926E-2</v>
      </c>
    </row>
    <row r="17" spans="1:65" x14ac:dyDescent="0.25">
      <c r="A17" s="53" t="s">
        <v>76</v>
      </c>
      <c r="B17" s="54" t="s">
        <v>135</v>
      </c>
      <c r="C17" s="55">
        <v>1.4291915469751865E-3</v>
      </c>
      <c r="D17" s="55">
        <v>1.2128100996147769E-3</v>
      </c>
      <c r="E17" s="55">
        <v>1.5502759478615686E-3</v>
      </c>
      <c r="F17" s="55">
        <v>1.6603937559735256E-3</v>
      </c>
      <c r="G17" s="55">
        <v>1.5474704188699945E-3</v>
      </c>
      <c r="H17" s="55">
        <v>1.1482283087484652E-3</v>
      </c>
      <c r="I17" s="55">
        <v>1.7343115804847617E-3</v>
      </c>
      <c r="J17" s="55">
        <v>1.8570712965701038E-3</v>
      </c>
      <c r="K17" s="55">
        <v>1.9871861389357836E-3</v>
      </c>
      <c r="L17" s="55">
        <v>1.7948700343651217E-3</v>
      </c>
      <c r="M17" s="55">
        <v>1.3622220208555377E-3</v>
      </c>
      <c r="N17" s="55">
        <v>1.5920513102524244E-3</v>
      </c>
      <c r="O17" s="55">
        <v>1.534448425126958E-3</v>
      </c>
      <c r="P17" s="55">
        <v>1.5458127027776397E-4</v>
      </c>
      <c r="Q17" s="55">
        <v>1.0014467812120653</v>
      </c>
      <c r="R17" s="55">
        <v>9.9605541989186848E-4</v>
      </c>
      <c r="S17" s="55">
        <v>1.0610886441198752E-3</v>
      </c>
      <c r="T17" s="55">
        <v>1.5272413289167846E-3</v>
      </c>
      <c r="U17" s="55">
        <v>1.912563484106504E-3</v>
      </c>
      <c r="V17" s="55">
        <v>1.510496709259434E-3</v>
      </c>
      <c r="W17" s="55">
        <v>1.6369247737122595E-3</v>
      </c>
      <c r="X17" s="55">
        <v>1.6709627021068774E-3</v>
      </c>
      <c r="Y17" s="55">
        <v>1.1657948611912543E-3</v>
      </c>
      <c r="Z17" s="55">
        <v>1.0145527611907252E-3</v>
      </c>
      <c r="AA17" s="55">
        <v>6.8691862982894433E-4</v>
      </c>
      <c r="AB17" s="55">
        <v>7.2450633084153795E-4</v>
      </c>
      <c r="AC17" s="55">
        <v>7.2162266605963095E-4</v>
      </c>
      <c r="AD17" s="55">
        <v>7.7709111928576718E-4</v>
      </c>
      <c r="AE17" s="55">
        <v>7.4047858336933378E-4</v>
      </c>
      <c r="AF17" s="55">
        <v>6.1563612376620944E-4</v>
      </c>
      <c r="AG17" s="55">
        <v>1.1645951488281057E-3</v>
      </c>
      <c r="AH17" s="55">
        <v>1.0681322770360383E-3</v>
      </c>
      <c r="AI17" s="55">
        <v>1.1273395402444542E-3</v>
      </c>
      <c r="AJ17" s="55">
        <v>1.0396372994125585E-3</v>
      </c>
      <c r="AK17" s="55">
        <v>1.4430188750482794E-3</v>
      </c>
      <c r="AL17" s="55">
        <v>3.2647785066952981E-4</v>
      </c>
      <c r="AM17" s="55">
        <v>1.0471199417224808E-3</v>
      </c>
      <c r="AN17" s="55">
        <v>1.0464079582393185E-3</v>
      </c>
      <c r="AO17" s="55">
        <v>1.8258080919957085E-3</v>
      </c>
      <c r="AP17" s="55">
        <v>1.7803136920255327E-3</v>
      </c>
      <c r="AQ17" s="55">
        <v>1.2715805411137821E-3</v>
      </c>
      <c r="AR17" s="55">
        <v>1.6977726349719389E-3</v>
      </c>
      <c r="AS17" s="55">
        <v>1.8324504506966343E-3</v>
      </c>
      <c r="AT17" s="55">
        <v>1.9466539537723124E-3</v>
      </c>
      <c r="AU17" s="55">
        <v>1.9803714004547946E-3</v>
      </c>
      <c r="AV17" s="55">
        <v>2.0005294575523159E-3</v>
      </c>
      <c r="AW17" s="55">
        <v>1.456182358255332E-3</v>
      </c>
      <c r="AX17" s="55">
        <v>9.9629328534614199E-4</v>
      </c>
      <c r="AY17" s="55">
        <v>1.5992782238356711E-3</v>
      </c>
      <c r="AZ17" s="55">
        <v>1.4068806127057912E-3</v>
      </c>
      <c r="BA17" s="55">
        <v>1.455232413097262E-3</v>
      </c>
      <c r="BB17" s="55">
        <v>2.0036937169134921E-3</v>
      </c>
      <c r="BC17" s="55">
        <v>1.2239818550692939E-3</v>
      </c>
      <c r="BD17" s="55">
        <v>1.7676553375230424E-3</v>
      </c>
      <c r="BE17" s="55">
        <v>1.2619873371778438E-3</v>
      </c>
      <c r="BF17" s="55">
        <v>1.5375401909166178E-3</v>
      </c>
      <c r="BG17" s="55">
        <v>1.2674935108456227E-3</v>
      </c>
      <c r="BH17" s="55">
        <v>1.8316410465749043E-3</v>
      </c>
      <c r="BI17" s="55">
        <v>6.5885601680650018E-4</v>
      </c>
      <c r="BJ17" s="55">
        <v>1.7662812817138703E-3</v>
      </c>
      <c r="BK17" s="55">
        <v>1.6914132347150446E-3</v>
      </c>
      <c r="BL17" s="55">
        <v>1.7742851663002902E-3</v>
      </c>
      <c r="BM17" s="67">
        <v>2.9163474301579042E-3</v>
      </c>
    </row>
    <row r="18" spans="1:65" x14ac:dyDescent="0.25">
      <c r="A18" s="53" t="s">
        <v>77</v>
      </c>
      <c r="B18" s="56" t="s">
        <v>4</v>
      </c>
      <c r="C18" s="55">
        <v>3.0898925326817348E-2</v>
      </c>
      <c r="D18" s="55">
        <v>4.6705325222450696E-2</v>
      </c>
      <c r="E18" s="55">
        <v>2.4925724552626653E-2</v>
      </c>
      <c r="F18" s="55">
        <v>1.495880610006468E-2</v>
      </c>
      <c r="G18" s="55">
        <v>0.1528674783697038</v>
      </c>
      <c r="H18" s="55">
        <v>2.1069392056081285E-2</v>
      </c>
      <c r="I18" s="55">
        <v>3.0857206982417888E-2</v>
      </c>
      <c r="J18" s="55">
        <v>3.4478422870075756E-2</v>
      </c>
      <c r="K18" s="55">
        <v>4.2543225918831661E-2</v>
      </c>
      <c r="L18" s="55">
        <v>3.3457788913357954E-2</v>
      </c>
      <c r="M18" s="55">
        <v>2.3028760857886722E-2</v>
      </c>
      <c r="N18" s="55">
        <v>5.4947189980655002E-2</v>
      </c>
      <c r="O18" s="55">
        <v>3.0586162125690996E-2</v>
      </c>
      <c r="P18" s="55">
        <v>6.6797083507121021E-3</v>
      </c>
      <c r="Q18" s="55">
        <v>2.0164802376913329E-2</v>
      </c>
      <c r="R18" s="55">
        <v>1.0128800881982465</v>
      </c>
      <c r="S18" s="55">
        <v>9.517592413242508E-3</v>
      </c>
      <c r="T18" s="55">
        <v>1.5490404121179437E-2</v>
      </c>
      <c r="U18" s="55">
        <v>2.3450760265504626E-2</v>
      </c>
      <c r="V18" s="55">
        <v>2.6960820083475005E-2</v>
      </c>
      <c r="W18" s="55">
        <v>0.1374754373039318</v>
      </c>
      <c r="X18" s="55">
        <v>2.2785332455215791E-2</v>
      </c>
      <c r="Y18" s="55">
        <v>3.8921540560218799E-2</v>
      </c>
      <c r="Z18" s="55">
        <v>2.570487414582031E-2</v>
      </c>
      <c r="AA18" s="55">
        <v>8.9428727804202069E-3</v>
      </c>
      <c r="AB18" s="55">
        <v>1.820543814609683E-2</v>
      </c>
      <c r="AC18" s="55">
        <v>2.3158271586944897E-2</v>
      </c>
      <c r="AD18" s="55">
        <v>2.2676806456628461E-2</v>
      </c>
      <c r="AE18" s="55">
        <v>1.4774714907999047E-2</v>
      </c>
      <c r="AF18" s="55">
        <v>1.0592687586473843E-2</v>
      </c>
      <c r="AG18" s="55">
        <v>2.2087387402051937E-2</v>
      </c>
      <c r="AH18" s="55">
        <v>1.6347547437641816E-2</v>
      </c>
      <c r="AI18" s="55">
        <v>3.7873054025235824E-2</v>
      </c>
      <c r="AJ18" s="55">
        <v>1.573225233949371E-2</v>
      </c>
      <c r="AK18" s="55">
        <v>4.8898518237473522E-2</v>
      </c>
      <c r="AL18" s="55">
        <v>6.6882735276741134E-3</v>
      </c>
      <c r="AM18" s="55">
        <v>1.5227393223233751E-2</v>
      </c>
      <c r="AN18" s="55">
        <v>1.9977740966322224E-2</v>
      </c>
      <c r="AO18" s="55">
        <v>5.6049114680982282E-2</v>
      </c>
      <c r="AP18" s="55">
        <v>7.8813449182503423E-2</v>
      </c>
      <c r="AQ18" s="55">
        <v>1.5923550779932318E-2</v>
      </c>
      <c r="AR18" s="55">
        <v>5.5833604775716125E-2</v>
      </c>
      <c r="AS18" s="55">
        <v>6.0596099070977918E-2</v>
      </c>
      <c r="AT18" s="55">
        <v>2.087039708515084E-2</v>
      </c>
      <c r="AU18" s="55">
        <v>3.0245318689242226E-2</v>
      </c>
      <c r="AV18" s="55">
        <v>3.4996157364020591E-2</v>
      </c>
      <c r="AW18" s="55">
        <v>3.5500656991740487E-2</v>
      </c>
      <c r="AX18" s="55">
        <v>1.1028357989186065E-2</v>
      </c>
      <c r="AY18" s="55">
        <v>2.3734148075395079E-2</v>
      </c>
      <c r="AZ18" s="55">
        <v>1.2910897791860457E-2</v>
      </c>
      <c r="BA18" s="55">
        <v>2.2330012003242874E-2</v>
      </c>
      <c r="BB18" s="55">
        <v>3.1624029005721407E-2</v>
      </c>
      <c r="BC18" s="55">
        <v>1.6431618116074631E-2</v>
      </c>
      <c r="BD18" s="55">
        <v>1.4751386626644651E-2</v>
      </c>
      <c r="BE18" s="55">
        <v>2.5081431140749417E-2</v>
      </c>
      <c r="BF18" s="55">
        <v>2.1837805311772984E-2</v>
      </c>
      <c r="BG18" s="55">
        <v>2.0483989884172139E-2</v>
      </c>
      <c r="BH18" s="55">
        <v>2.9500288889330727E-2</v>
      </c>
      <c r="BI18" s="55">
        <v>1.1165077934899462E-2</v>
      </c>
      <c r="BJ18" s="55">
        <v>1.3117162223596997E-2</v>
      </c>
      <c r="BK18" s="55">
        <v>3.501989615365033E-2</v>
      </c>
      <c r="BL18" s="55">
        <v>1.3853097928022128E-2</v>
      </c>
      <c r="BM18" s="67">
        <v>2.1658046619070972E-2</v>
      </c>
    </row>
    <row r="19" spans="1:65" x14ac:dyDescent="0.25">
      <c r="A19" s="53" t="s">
        <v>78</v>
      </c>
      <c r="B19" s="56" t="s">
        <v>18</v>
      </c>
      <c r="C19" s="55">
        <v>1.1008502425110679E-3</v>
      </c>
      <c r="D19" s="55">
        <v>1.1657654455019108E-3</v>
      </c>
      <c r="E19" s="55">
        <v>1.6897927056424803E-3</v>
      </c>
      <c r="F19" s="55">
        <v>1.1576175055691806E-3</v>
      </c>
      <c r="G19" s="55">
        <v>1.0282964798061576E-3</v>
      </c>
      <c r="H19" s="55">
        <v>1.6007040114629028E-3</v>
      </c>
      <c r="I19" s="55">
        <v>1.5094807407122737E-3</v>
      </c>
      <c r="J19" s="55">
        <v>1.9493655027297788E-3</v>
      </c>
      <c r="K19" s="55">
        <v>1.5442271417525643E-3</v>
      </c>
      <c r="L19" s="55">
        <v>1.5601033898379616E-3</v>
      </c>
      <c r="M19" s="55">
        <v>1.7438327976695106E-3</v>
      </c>
      <c r="N19" s="55">
        <v>1.3293811320613514E-3</v>
      </c>
      <c r="O19" s="55">
        <v>1.0848781531474494E-3</v>
      </c>
      <c r="P19" s="55">
        <v>3.2900262601057655E-4</v>
      </c>
      <c r="Q19" s="55">
        <v>1.1632533082665212E-3</v>
      </c>
      <c r="R19" s="55">
        <v>9.5478191417882154E-4</v>
      </c>
      <c r="S19" s="55">
        <v>1.0009232652839302</v>
      </c>
      <c r="T19" s="55">
        <v>1.0679466526056967E-3</v>
      </c>
      <c r="U19" s="55">
        <v>1.3441328298739094E-3</v>
      </c>
      <c r="V19" s="55">
        <v>1.0887795995773424E-3</v>
      </c>
      <c r="W19" s="55">
        <v>1.2067907785070968E-3</v>
      </c>
      <c r="X19" s="55">
        <v>1.1981061177262634E-3</v>
      </c>
      <c r="Y19" s="55">
        <v>8.1146311628774908E-4</v>
      </c>
      <c r="Z19" s="55">
        <v>7.1614484625252416E-4</v>
      </c>
      <c r="AA19" s="55">
        <v>4.8203255816368776E-4</v>
      </c>
      <c r="AB19" s="55">
        <v>5.092602285151869E-4</v>
      </c>
      <c r="AC19" s="55">
        <v>5.1246645847180322E-4</v>
      </c>
      <c r="AD19" s="55">
        <v>5.5058613082427073E-4</v>
      </c>
      <c r="AE19" s="55">
        <v>7.4330498832214924E-4</v>
      </c>
      <c r="AF19" s="55">
        <v>5.7722318797596203E-4</v>
      </c>
      <c r="AG19" s="55">
        <v>7.8244714444342253E-4</v>
      </c>
      <c r="AH19" s="55">
        <v>7.7702894653202596E-4</v>
      </c>
      <c r="AI19" s="55">
        <v>7.9253344692816028E-4</v>
      </c>
      <c r="AJ19" s="55">
        <v>7.2647298709499497E-4</v>
      </c>
      <c r="AK19" s="55">
        <v>1.0169092458344844E-3</v>
      </c>
      <c r="AL19" s="55">
        <v>2.825638115361671E-4</v>
      </c>
      <c r="AM19" s="55">
        <v>7.2364612048280634E-4</v>
      </c>
      <c r="AN19" s="55">
        <v>7.1880732490465268E-4</v>
      </c>
      <c r="AO19" s="55">
        <v>1.2829687389139391E-3</v>
      </c>
      <c r="AP19" s="55">
        <v>1.3898693281435453E-3</v>
      </c>
      <c r="AQ19" s="55">
        <v>8.8681058868249688E-4</v>
      </c>
      <c r="AR19" s="55">
        <v>1.1441199531182307E-3</v>
      </c>
      <c r="AS19" s="55">
        <v>1.4063498759044233E-3</v>
      </c>
      <c r="AT19" s="55">
        <v>1.344072515988521E-3</v>
      </c>
      <c r="AU19" s="55">
        <v>1.3727461215011403E-3</v>
      </c>
      <c r="AV19" s="55">
        <v>1.4609434834666724E-3</v>
      </c>
      <c r="AW19" s="55">
        <v>9.9228658337696652E-4</v>
      </c>
      <c r="AX19" s="55">
        <v>6.8555206077258724E-4</v>
      </c>
      <c r="AY19" s="55">
        <v>1.1031412415807727E-3</v>
      </c>
      <c r="AZ19" s="55">
        <v>9.7794731939709586E-4</v>
      </c>
      <c r="BA19" s="55">
        <v>1.6300646169885643E-3</v>
      </c>
      <c r="BB19" s="55">
        <v>1.3955259143508575E-3</v>
      </c>
      <c r="BC19" s="55">
        <v>8.4352996303195527E-4</v>
      </c>
      <c r="BD19" s="55">
        <v>1.2335641621871152E-3</v>
      </c>
      <c r="BE19" s="55">
        <v>9.7075296977448941E-4</v>
      </c>
      <c r="BF19" s="55">
        <v>1.3184626133004602E-3</v>
      </c>
      <c r="BG19" s="55">
        <v>8.7854408290578508E-4</v>
      </c>
      <c r="BH19" s="55">
        <v>1.296019085690893E-3</v>
      </c>
      <c r="BI19" s="55">
        <v>4.3256776918724522E-4</v>
      </c>
      <c r="BJ19" s="55">
        <v>1.2313544398590685E-3</v>
      </c>
      <c r="BK19" s="55">
        <v>1.2729785243488936E-3</v>
      </c>
      <c r="BL19" s="55">
        <v>1.238441216455491E-3</v>
      </c>
      <c r="BM19" s="67">
        <v>2.0331174844428063E-3</v>
      </c>
    </row>
    <row r="20" spans="1:65" x14ac:dyDescent="0.25">
      <c r="A20" s="53" t="s">
        <v>79</v>
      </c>
      <c r="B20" s="54" t="s">
        <v>136</v>
      </c>
      <c r="C20" s="55">
        <v>1.121117798816728E-2</v>
      </c>
      <c r="D20" s="55">
        <v>1.4233611047061126E-2</v>
      </c>
      <c r="E20" s="55">
        <v>1.7571730502924352E-2</v>
      </c>
      <c r="F20" s="55">
        <v>2.8864825261927583E-3</v>
      </c>
      <c r="G20" s="55">
        <v>1.0996383941098257E-2</v>
      </c>
      <c r="H20" s="55">
        <v>3.1951969433494189E-2</v>
      </c>
      <c r="I20" s="55">
        <v>7.70869557251794E-3</v>
      </c>
      <c r="J20" s="55">
        <v>7.9664133852346934E-3</v>
      </c>
      <c r="K20" s="55">
        <v>8.9496836037452881E-3</v>
      </c>
      <c r="L20" s="55">
        <v>6.8810583680881457E-3</v>
      </c>
      <c r="M20" s="55">
        <v>6.3681768309488867E-3</v>
      </c>
      <c r="N20" s="55">
        <v>8.8483513492174301E-3</v>
      </c>
      <c r="O20" s="55">
        <v>1.3204433085010485E-2</v>
      </c>
      <c r="P20" s="55">
        <v>6.7149991717089348E-4</v>
      </c>
      <c r="Q20" s="55">
        <v>5.6677374087318582E-3</v>
      </c>
      <c r="R20" s="55">
        <v>3.2410332767752342E-3</v>
      </c>
      <c r="S20" s="55">
        <v>1.7102134286838321E-3</v>
      </c>
      <c r="T20" s="55">
        <v>1.0202864503244156</v>
      </c>
      <c r="U20" s="55">
        <v>4.8967690369081706E-3</v>
      </c>
      <c r="V20" s="55">
        <v>4.6080877879263035E-3</v>
      </c>
      <c r="W20" s="55">
        <v>6.2528239391090997E-3</v>
      </c>
      <c r="X20" s="55">
        <v>6.2782164605371914E-3</v>
      </c>
      <c r="Y20" s="55">
        <v>6.8905643916841609E-3</v>
      </c>
      <c r="Z20" s="55">
        <v>3.1005510505963552E-3</v>
      </c>
      <c r="AA20" s="55">
        <v>1.4082885653180801E-3</v>
      </c>
      <c r="AB20" s="55">
        <v>2.6859697737353127E-3</v>
      </c>
      <c r="AC20" s="55">
        <v>1.4644336229601509E-3</v>
      </c>
      <c r="AD20" s="55">
        <v>1.5129887672425233E-3</v>
      </c>
      <c r="AE20" s="55">
        <v>4.6683747685225688E-3</v>
      </c>
      <c r="AF20" s="55">
        <v>3.3926275866765459E-3</v>
      </c>
      <c r="AG20" s="55">
        <v>3.1999494764590746E-3</v>
      </c>
      <c r="AH20" s="55">
        <v>3.2232810206649773E-3</v>
      </c>
      <c r="AI20" s="55">
        <v>3.2149931745978117E-3</v>
      </c>
      <c r="AJ20" s="55">
        <v>1.6657401628356579E-3</v>
      </c>
      <c r="AK20" s="55">
        <v>3.4542768349886304E-3</v>
      </c>
      <c r="AL20" s="55">
        <v>9.4114185932692737E-4</v>
      </c>
      <c r="AM20" s="55">
        <v>1.8786342603634302E-3</v>
      </c>
      <c r="AN20" s="55">
        <v>2.6598120219881363E-3</v>
      </c>
      <c r="AO20" s="55">
        <v>3.9032297364015025E-3</v>
      </c>
      <c r="AP20" s="55">
        <v>3.9264404217437118E-3</v>
      </c>
      <c r="AQ20" s="55">
        <v>1.9019039596714128E-3</v>
      </c>
      <c r="AR20" s="55">
        <v>5.8181723475289812E-3</v>
      </c>
      <c r="AS20" s="55">
        <v>4.7326420873231778E-3</v>
      </c>
      <c r="AT20" s="55">
        <v>3.6630692635050218E-3</v>
      </c>
      <c r="AU20" s="55">
        <v>3.2739660619959723E-3</v>
      </c>
      <c r="AV20" s="55">
        <v>3.5793026296762182E-3</v>
      </c>
      <c r="AW20" s="55">
        <v>3.2737074372876998E-3</v>
      </c>
      <c r="AX20" s="55">
        <v>1.6741635406001187E-3</v>
      </c>
      <c r="AY20" s="55">
        <v>3.5140655625280877E-3</v>
      </c>
      <c r="AZ20" s="55">
        <v>2.0111561417020711E-3</v>
      </c>
      <c r="BA20" s="55">
        <v>3.6693022959579254E-3</v>
      </c>
      <c r="BB20" s="55">
        <v>4.0035902939600998E-3</v>
      </c>
      <c r="BC20" s="55">
        <v>2.4234013585160957E-3</v>
      </c>
      <c r="BD20" s="55">
        <v>2.5989172698562737E-3</v>
      </c>
      <c r="BE20" s="55">
        <v>3.9482358175121184E-3</v>
      </c>
      <c r="BF20" s="55">
        <v>5.1512751369191057E-3</v>
      </c>
      <c r="BG20" s="55">
        <v>2.3032490952435932E-3</v>
      </c>
      <c r="BH20" s="55">
        <v>4.2458026750271643E-3</v>
      </c>
      <c r="BI20" s="55">
        <v>1.6945429836870037E-3</v>
      </c>
      <c r="BJ20" s="55">
        <v>2.3165193543723136E-3</v>
      </c>
      <c r="BK20" s="55">
        <v>3.0952278902435996E-3</v>
      </c>
      <c r="BL20" s="55">
        <v>2.4936012867623472E-3</v>
      </c>
      <c r="BM20" s="67">
        <v>3.8248580993166799E-3</v>
      </c>
    </row>
    <row r="21" spans="1:65" x14ac:dyDescent="0.25">
      <c r="A21" s="53" t="s">
        <v>80</v>
      </c>
      <c r="B21" s="54" t="s">
        <v>137</v>
      </c>
      <c r="C21" s="55">
        <v>1.9641706390344815E-3</v>
      </c>
      <c r="D21" s="55">
        <v>1.8909458950781056E-3</v>
      </c>
      <c r="E21" s="55">
        <v>2.7163065787367108E-3</v>
      </c>
      <c r="F21" s="55">
        <v>2.4450266512108993E-3</v>
      </c>
      <c r="G21" s="55">
        <v>2.0941361422745284E-3</v>
      </c>
      <c r="H21" s="55">
        <v>2.0005483940479978E-3</v>
      </c>
      <c r="I21" s="55">
        <v>3.3598951670750278E-3</v>
      </c>
      <c r="J21" s="55">
        <v>3.8680778076529013E-3</v>
      </c>
      <c r="K21" s="55">
        <v>3.7750538938959135E-3</v>
      </c>
      <c r="L21" s="55">
        <v>3.5200979121901431E-3</v>
      </c>
      <c r="M21" s="55">
        <v>3.2089635912725314E-3</v>
      </c>
      <c r="N21" s="55">
        <v>4.2206571064184505E-3</v>
      </c>
      <c r="O21" s="55">
        <v>1.2096975234991422E-2</v>
      </c>
      <c r="P21" s="55">
        <v>5.2848293281550684E-4</v>
      </c>
      <c r="Q21" s="55">
        <v>3.0928569860651017E-3</v>
      </c>
      <c r="R21" s="55">
        <v>2.3336721791195119E-3</v>
      </c>
      <c r="S21" s="55">
        <v>2.1239737135121551E-3</v>
      </c>
      <c r="T21" s="55">
        <v>2.5863973226761283E-3</v>
      </c>
      <c r="U21" s="55">
        <v>1.0210677183654484</v>
      </c>
      <c r="V21" s="55">
        <v>8.4254192293953638E-3</v>
      </c>
      <c r="W21" s="55">
        <v>4.2761825721925597E-3</v>
      </c>
      <c r="X21" s="55">
        <v>3.519206380472486E-3</v>
      </c>
      <c r="Y21" s="55">
        <v>6.5258794039939252E-3</v>
      </c>
      <c r="Z21" s="55">
        <v>3.6831208551165793E-3</v>
      </c>
      <c r="AA21" s="55">
        <v>2.8437888993825019E-3</v>
      </c>
      <c r="AB21" s="55">
        <v>3.7970123660950924E-3</v>
      </c>
      <c r="AC21" s="55">
        <v>2.8497530063172839E-3</v>
      </c>
      <c r="AD21" s="55">
        <v>4.4096918571572248E-3</v>
      </c>
      <c r="AE21" s="55">
        <v>2.3607114257300564E-3</v>
      </c>
      <c r="AF21" s="55">
        <v>1.737367045126834E-3</v>
      </c>
      <c r="AG21" s="55">
        <v>2.0342471611494695E-3</v>
      </c>
      <c r="AH21" s="55">
        <v>1.8083910335077256E-3</v>
      </c>
      <c r="AI21" s="55">
        <v>2.9259144494495903E-3</v>
      </c>
      <c r="AJ21" s="55">
        <v>1.8627921895405853E-3</v>
      </c>
      <c r="AK21" s="55">
        <v>7.2222589929383137E-3</v>
      </c>
      <c r="AL21" s="55">
        <v>6.5097533806848166E-4</v>
      </c>
      <c r="AM21" s="55">
        <v>1.8800383104622472E-3</v>
      </c>
      <c r="AN21" s="55">
        <v>1.8885300646479689E-3</v>
      </c>
      <c r="AO21" s="55">
        <v>1.0916734558137561E-2</v>
      </c>
      <c r="AP21" s="55">
        <v>6.6952013687409011E-3</v>
      </c>
      <c r="AQ21" s="55">
        <v>2.7504752035831018E-3</v>
      </c>
      <c r="AR21" s="55">
        <v>5.895159039606644E-3</v>
      </c>
      <c r="AS21" s="55">
        <v>7.7722983358250626E-3</v>
      </c>
      <c r="AT21" s="55">
        <v>3.4555019763166418E-3</v>
      </c>
      <c r="AU21" s="55">
        <v>5.4178638572524862E-3</v>
      </c>
      <c r="AV21" s="55">
        <v>4.3604533536446442E-3</v>
      </c>
      <c r="AW21" s="55">
        <v>2.9765710178996986E-3</v>
      </c>
      <c r="AX21" s="55">
        <v>1.5853961722887126E-3</v>
      </c>
      <c r="AY21" s="55">
        <v>3.1023924742003372E-3</v>
      </c>
      <c r="AZ21" s="55">
        <v>2.1805459777576525E-3</v>
      </c>
      <c r="BA21" s="55">
        <v>3.8281480367362689E-3</v>
      </c>
      <c r="BB21" s="55">
        <v>3.9833823843015781E-3</v>
      </c>
      <c r="BC21" s="55">
        <v>2.3118216467408223E-3</v>
      </c>
      <c r="BD21" s="55">
        <v>3.0750573836536839E-3</v>
      </c>
      <c r="BE21" s="55">
        <v>5.9510005924349602E-3</v>
      </c>
      <c r="BF21" s="55">
        <v>6.7651018496007872E-3</v>
      </c>
      <c r="BG21" s="55">
        <v>2.6224237924277524E-3</v>
      </c>
      <c r="BH21" s="55">
        <v>4.8738689608482186E-3</v>
      </c>
      <c r="BI21" s="55">
        <v>1.6528461268967528E-3</v>
      </c>
      <c r="BJ21" s="55">
        <v>2.5783699563251944E-3</v>
      </c>
      <c r="BK21" s="55">
        <v>2.8909116967032918E-3</v>
      </c>
      <c r="BL21" s="55">
        <v>2.7187547177157192E-3</v>
      </c>
      <c r="BM21" s="67">
        <v>4.2572056183650597E-3</v>
      </c>
    </row>
    <row r="22" spans="1:65" x14ac:dyDescent="0.25">
      <c r="A22" s="53" t="s">
        <v>81</v>
      </c>
      <c r="B22" s="54" t="s">
        <v>138</v>
      </c>
      <c r="C22" s="55">
        <v>4.4932548519477297E-3</v>
      </c>
      <c r="D22" s="55">
        <v>3.9910507632025249E-3</v>
      </c>
      <c r="E22" s="55">
        <v>2.4619696679371212E-2</v>
      </c>
      <c r="F22" s="55">
        <v>4.5023505089357352E-3</v>
      </c>
      <c r="G22" s="55">
        <v>5.1604840736156196E-3</v>
      </c>
      <c r="H22" s="55">
        <v>1.285001842741427E-2</v>
      </c>
      <c r="I22" s="55">
        <v>5.6606299251182705E-3</v>
      </c>
      <c r="J22" s="55">
        <v>6.0828821169217019E-3</v>
      </c>
      <c r="K22" s="55">
        <v>7.1377598612167989E-3</v>
      </c>
      <c r="L22" s="55">
        <v>6.1413067596859479E-3</v>
      </c>
      <c r="M22" s="55">
        <v>5.9482742941046451E-3</v>
      </c>
      <c r="N22" s="55">
        <v>1.2468230971642312E-2</v>
      </c>
      <c r="O22" s="55">
        <v>1.3145187432025765E-2</v>
      </c>
      <c r="P22" s="55">
        <v>9.7673961929498022E-4</v>
      </c>
      <c r="Q22" s="55">
        <v>6.2701313639213488E-3</v>
      </c>
      <c r="R22" s="55">
        <v>8.7731679224667281E-3</v>
      </c>
      <c r="S22" s="55">
        <v>3.291566429286482E-2</v>
      </c>
      <c r="T22" s="55">
        <v>2.6669553296908368E-2</v>
      </c>
      <c r="U22" s="55">
        <v>1.4793424767820404E-2</v>
      </c>
      <c r="V22" s="55">
        <v>1.2167818688527867</v>
      </c>
      <c r="W22" s="55">
        <v>3.743094272539195E-2</v>
      </c>
      <c r="X22" s="55">
        <v>5.4250338196417461E-2</v>
      </c>
      <c r="Y22" s="55">
        <v>2.6712074483222312E-2</v>
      </c>
      <c r="Z22" s="55">
        <v>1.5129022394201427E-2</v>
      </c>
      <c r="AA22" s="55">
        <v>4.7784721857055011E-3</v>
      </c>
      <c r="AB22" s="55">
        <v>1.3015913714764404E-2</v>
      </c>
      <c r="AC22" s="55">
        <v>8.5821494014546133E-3</v>
      </c>
      <c r="AD22" s="55">
        <v>8.373162039774569E-3</v>
      </c>
      <c r="AE22" s="55">
        <v>1.0753970512517018E-2</v>
      </c>
      <c r="AF22" s="55">
        <v>7.7263475029655344E-3</v>
      </c>
      <c r="AG22" s="55">
        <v>4.3216063849274133E-3</v>
      </c>
      <c r="AH22" s="55">
        <v>3.8358695024690681E-3</v>
      </c>
      <c r="AI22" s="55">
        <v>7.7613885397213589E-3</v>
      </c>
      <c r="AJ22" s="55">
        <v>6.4873096778541497E-3</v>
      </c>
      <c r="AK22" s="55">
        <v>3.2113907729493366E-2</v>
      </c>
      <c r="AL22" s="55">
        <v>1.4368870878490791E-3</v>
      </c>
      <c r="AM22" s="55">
        <v>5.6163120513129366E-3</v>
      </c>
      <c r="AN22" s="55">
        <v>2.3675317408330853E-2</v>
      </c>
      <c r="AO22" s="55">
        <v>2.5134521945443435E-2</v>
      </c>
      <c r="AP22" s="55">
        <v>8.0012748318542982E-3</v>
      </c>
      <c r="AQ22" s="55">
        <v>5.7872687796297357E-3</v>
      </c>
      <c r="AR22" s="55">
        <v>1.2996247543388816E-2</v>
      </c>
      <c r="AS22" s="55">
        <v>1.1094989549070464E-2</v>
      </c>
      <c r="AT22" s="55">
        <v>6.9533621841719132E-3</v>
      </c>
      <c r="AU22" s="55">
        <v>1.0508549666334303E-2</v>
      </c>
      <c r="AV22" s="55">
        <v>7.0319915087161842E-3</v>
      </c>
      <c r="AW22" s="55">
        <v>1.7658078775838127E-2</v>
      </c>
      <c r="AX22" s="55">
        <v>2.567041219096026E-3</v>
      </c>
      <c r="AY22" s="55">
        <v>6.0879134386136874E-3</v>
      </c>
      <c r="AZ22" s="55">
        <v>4.2789256304688085E-3</v>
      </c>
      <c r="BA22" s="55">
        <v>1.0135678323207477E-2</v>
      </c>
      <c r="BB22" s="55">
        <v>1.1892144738278139E-2</v>
      </c>
      <c r="BC22" s="55">
        <v>5.7724003490662564E-3</v>
      </c>
      <c r="BD22" s="55">
        <v>5.4366172330021084E-3</v>
      </c>
      <c r="BE22" s="55">
        <v>1.6914167338100972E-2</v>
      </c>
      <c r="BF22" s="55">
        <v>1.3780803421562619E-2</v>
      </c>
      <c r="BG22" s="55">
        <v>4.2240931321175642E-3</v>
      </c>
      <c r="BH22" s="55">
        <v>1.3318908874114061E-2</v>
      </c>
      <c r="BI22" s="55">
        <v>3.8252297731818661E-3</v>
      </c>
      <c r="BJ22" s="55">
        <v>3.8697969674661801E-3</v>
      </c>
      <c r="BK22" s="55">
        <v>7.8979731554305321E-3</v>
      </c>
      <c r="BL22" s="55">
        <v>4.2119286213313867E-3</v>
      </c>
      <c r="BM22" s="67">
        <v>6.3895102994875495E-3</v>
      </c>
    </row>
    <row r="23" spans="1:65" x14ac:dyDescent="0.25">
      <c r="A23" s="53" t="s">
        <v>82</v>
      </c>
      <c r="B23" s="56" t="s">
        <v>139</v>
      </c>
      <c r="C23" s="55">
        <v>1.9586957681084639E-3</v>
      </c>
      <c r="D23" s="55">
        <v>1.6238533444639903E-3</v>
      </c>
      <c r="E23" s="55">
        <v>3.5390827787521273E-3</v>
      </c>
      <c r="F23" s="55">
        <v>1.9186398622730947E-3</v>
      </c>
      <c r="G23" s="55">
        <v>1.9314950172918976E-3</v>
      </c>
      <c r="H23" s="55">
        <v>1.3555913001010752E-3</v>
      </c>
      <c r="I23" s="55">
        <v>7.7201329943991535E-3</v>
      </c>
      <c r="J23" s="55">
        <v>6.9304537956356447E-3</v>
      </c>
      <c r="K23" s="55">
        <v>6.8736954062104906E-3</v>
      </c>
      <c r="L23" s="55">
        <v>5.8199954634502102E-3</v>
      </c>
      <c r="M23" s="55">
        <v>1.6748770436879991E-3</v>
      </c>
      <c r="N23" s="55">
        <v>1.1681912991255315E-2</v>
      </c>
      <c r="O23" s="55">
        <v>1.7035607630557028E-3</v>
      </c>
      <c r="P23" s="55">
        <v>2.1633784624851385E-4</v>
      </c>
      <c r="Q23" s="55">
        <v>1.451906503239987E-3</v>
      </c>
      <c r="R23" s="55">
        <v>1.2644884394879775E-3</v>
      </c>
      <c r="S23" s="55">
        <v>1.1460832457154285E-3</v>
      </c>
      <c r="T23" s="55">
        <v>1.5673333288744821E-3</v>
      </c>
      <c r="U23" s="55">
        <v>2.0997356074658564E-3</v>
      </c>
      <c r="V23" s="55">
        <v>1.9520423717137947E-3</v>
      </c>
      <c r="W23" s="55">
        <v>1.0042874408089497</v>
      </c>
      <c r="X23" s="55">
        <v>2.3638100938021961E-3</v>
      </c>
      <c r="Y23" s="55">
        <v>1.7973743570597143E-3</v>
      </c>
      <c r="Z23" s="55">
        <v>1.416396529243721E-3</v>
      </c>
      <c r="AA23" s="55">
        <v>8.5556970037068683E-4</v>
      </c>
      <c r="AB23" s="55">
        <v>1.2568265446722929E-3</v>
      </c>
      <c r="AC23" s="55">
        <v>8.8686035117149038E-4</v>
      </c>
      <c r="AD23" s="55">
        <v>9.2640625484780427E-4</v>
      </c>
      <c r="AE23" s="55">
        <v>1.1847462320812836E-3</v>
      </c>
      <c r="AF23" s="55">
        <v>9.168360627015399E-4</v>
      </c>
      <c r="AG23" s="55">
        <v>1.4295404745993667E-3</v>
      </c>
      <c r="AH23" s="55">
        <v>1.3411925431937811E-3</v>
      </c>
      <c r="AI23" s="55">
        <v>1.850756978586471E-3</v>
      </c>
      <c r="AJ23" s="55">
        <v>1.3128856855864103E-3</v>
      </c>
      <c r="AK23" s="55">
        <v>2.2072083529877462E-3</v>
      </c>
      <c r="AL23" s="55">
        <v>7.5923923514683276E-4</v>
      </c>
      <c r="AM23" s="55">
        <v>3.2273701697640069E-3</v>
      </c>
      <c r="AN23" s="55">
        <v>1.1716831045860349E-3</v>
      </c>
      <c r="AO23" s="55">
        <v>2.5151298415753069E-3</v>
      </c>
      <c r="AP23" s="55">
        <v>7.109032373147888E-3</v>
      </c>
      <c r="AQ23" s="55">
        <v>1.3342165838537709E-3</v>
      </c>
      <c r="AR23" s="55">
        <v>5.9956392371837558E-3</v>
      </c>
      <c r="AS23" s="55">
        <v>1.4654130773494275E-2</v>
      </c>
      <c r="AT23" s="55">
        <v>2.6851709513835698E-3</v>
      </c>
      <c r="AU23" s="55">
        <v>3.3677011753385231E-3</v>
      </c>
      <c r="AV23" s="55">
        <v>4.5972577850138868E-3</v>
      </c>
      <c r="AW23" s="55">
        <v>1.5856546438952066E-3</v>
      </c>
      <c r="AX23" s="55">
        <v>1.7947481400152276E-3</v>
      </c>
      <c r="AY23" s="55">
        <v>3.639504203341594E-3</v>
      </c>
      <c r="AZ23" s="55">
        <v>1.4515262629041753E-3</v>
      </c>
      <c r="BA23" s="55">
        <v>4.8951857361487798E-3</v>
      </c>
      <c r="BB23" s="55">
        <v>4.2982661525109954E-3</v>
      </c>
      <c r="BC23" s="55">
        <v>1.38736228232954E-3</v>
      </c>
      <c r="BD23" s="55">
        <v>1.8419162676113255E-3</v>
      </c>
      <c r="BE23" s="55">
        <v>1.967394375291347E-3</v>
      </c>
      <c r="BF23" s="55">
        <v>2.1646701462771875E-3</v>
      </c>
      <c r="BG23" s="55">
        <v>1.7369225658851247E-3</v>
      </c>
      <c r="BH23" s="55">
        <v>3.5442569673179991E-3</v>
      </c>
      <c r="BI23" s="55">
        <v>1.4769544289432546E-3</v>
      </c>
      <c r="BJ23" s="55">
        <v>1.7715925051038708E-3</v>
      </c>
      <c r="BK23" s="55">
        <v>1.7954304795159903E-3</v>
      </c>
      <c r="BL23" s="55">
        <v>1.7976504285749215E-3</v>
      </c>
      <c r="BM23" s="67">
        <v>2.9251169125980915E-3</v>
      </c>
    </row>
    <row r="24" spans="1:65" x14ac:dyDescent="0.25">
      <c r="A24" s="53" t="s">
        <v>83</v>
      </c>
      <c r="B24" s="54" t="s">
        <v>140</v>
      </c>
      <c r="C24" s="55">
        <v>7.892015438280827E-3</v>
      </c>
      <c r="D24" s="55">
        <v>5.9838069803539807E-3</v>
      </c>
      <c r="E24" s="55">
        <v>9.1275834975919139E-4</v>
      </c>
      <c r="F24" s="55">
        <v>6.5638864822833401E-4</v>
      </c>
      <c r="G24" s="55">
        <v>8.7810021569562254E-4</v>
      </c>
      <c r="H24" s="55">
        <v>1.3601642302634233E-2</v>
      </c>
      <c r="I24" s="55">
        <v>8.2148666819807723E-4</v>
      </c>
      <c r="J24" s="55">
        <v>8.356238220842046E-4</v>
      </c>
      <c r="K24" s="55">
        <v>1.4138169434644019E-3</v>
      </c>
      <c r="L24" s="55">
        <v>8.7967944751328366E-4</v>
      </c>
      <c r="M24" s="55">
        <v>5.7845652062745766E-3</v>
      </c>
      <c r="N24" s="55">
        <v>3.7886764463012442E-3</v>
      </c>
      <c r="O24" s="55">
        <v>7.1970996830262738E-3</v>
      </c>
      <c r="P24" s="55">
        <v>8.9893359515496013E-4</v>
      </c>
      <c r="Q24" s="55">
        <v>3.1226036927622836E-3</v>
      </c>
      <c r="R24" s="55">
        <v>4.7696271120776905E-4</v>
      </c>
      <c r="S24" s="55">
        <v>1.1384735253068623E-3</v>
      </c>
      <c r="T24" s="55">
        <v>6.5230736816553527E-3</v>
      </c>
      <c r="U24" s="55">
        <v>2.6095054259917556E-3</v>
      </c>
      <c r="V24" s="55">
        <v>9.1031081380771282E-3</v>
      </c>
      <c r="W24" s="55">
        <v>1.0629227683766E-2</v>
      </c>
      <c r="X24" s="55">
        <v>1.0032514463163185</v>
      </c>
      <c r="Y24" s="55">
        <v>6.5553390891659154E-3</v>
      </c>
      <c r="Z24" s="55">
        <v>6.027561769123915E-4</v>
      </c>
      <c r="AA24" s="55">
        <v>3.6023366231093673E-4</v>
      </c>
      <c r="AB24" s="55">
        <v>8.670130642367222E-4</v>
      </c>
      <c r="AC24" s="55">
        <v>5.2583071183601388E-4</v>
      </c>
      <c r="AD24" s="55">
        <v>5.2430796572996671E-4</v>
      </c>
      <c r="AE24" s="55">
        <v>6.1437911197559435E-4</v>
      </c>
      <c r="AF24" s="55">
        <v>4.8916851027803923E-4</v>
      </c>
      <c r="AG24" s="55">
        <v>3.1700719871640844E-3</v>
      </c>
      <c r="AH24" s="55">
        <v>9.4958210724405557E-4</v>
      </c>
      <c r="AI24" s="55">
        <v>5.678579839479855E-3</v>
      </c>
      <c r="AJ24" s="55">
        <v>4.9615044494691145E-4</v>
      </c>
      <c r="AK24" s="55">
        <v>3.2413083175737221E-3</v>
      </c>
      <c r="AL24" s="55">
        <v>2.6894290522459758E-4</v>
      </c>
      <c r="AM24" s="55">
        <v>4.6852033907626933E-4</v>
      </c>
      <c r="AN24" s="55">
        <v>9.7748440981714358E-4</v>
      </c>
      <c r="AO24" s="55">
        <v>9.2656959867073595E-4</v>
      </c>
      <c r="AP24" s="55">
        <v>1.7809784874633294E-3</v>
      </c>
      <c r="AQ24" s="55">
        <v>4.2340561740964811E-4</v>
      </c>
      <c r="AR24" s="55">
        <v>1.123622215313428E-3</v>
      </c>
      <c r="AS24" s="55">
        <v>1.8948861461620774E-3</v>
      </c>
      <c r="AT24" s="55">
        <v>6.473790680289294E-4</v>
      </c>
      <c r="AU24" s="55">
        <v>8.98063631374869E-4</v>
      </c>
      <c r="AV24" s="55">
        <v>1.3839904344018941E-3</v>
      </c>
      <c r="AW24" s="55">
        <v>1.3752252213285704E-3</v>
      </c>
      <c r="AX24" s="55">
        <v>3.0431458913407461E-4</v>
      </c>
      <c r="AY24" s="55">
        <v>8.2936026514502E-4</v>
      </c>
      <c r="AZ24" s="55">
        <v>4.4923442410583754E-4</v>
      </c>
      <c r="BA24" s="55">
        <v>8.851527578561402E-4</v>
      </c>
      <c r="BB24" s="55">
        <v>9.6173472252169515E-4</v>
      </c>
      <c r="BC24" s="55">
        <v>1.079373646424249E-3</v>
      </c>
      <c r="BD24" s="55">
        <v>7.2533317508695773E-4</v>
      </c>
      <c r="BE24" s="55">
        <v>1.0814660029488173E-3</v>
      </c>
      <c r="BF24" s="55">
        <v>1.1206620856507846E-3</v>
      </c>
      <c r="BG24" s="55">
        <v>6.1500952568168483E-4</v>
      </c>
      <c r="BH24" s="55">
        <v>1.367237812439571E-3</v>
      </c>
      <c r="BI24" s="55">
        <v>4.6156600019357769E-4</v>
      </c>
      <c r="BJ24" s="55">
        <v>4.3554090189857226E-4</v>
      </c>
      <c r="BK24" s="55">
        <v>5.0127994917812714E-4</v>
      </c>
      <c r="BL24" s="55">
        <v>4.7858924675215714E-4</v>
      </c>
      <c r="BM24" s="67">
        <v>7.1913154667418479E-4</v>
      </c>
    </row>
    <row r="25" spans="1:65" x14ac:dyDescent="0.25">
      <c r="A25" s="53" t="s">
        <v>84</v>
      </c>
      <c r="B25" s="54" t="s">
        <v>141</v>
      </c>
      <c r="C25" s="55">
        <v>3.3523025551561933E-3</v>
      </c>
      <c r="D25" s="55">
        <v>2.9358931423413663E-3</v>
      </c>
      <c r="E25" s="55">
        <v>3.5929354058529856E-3</v>
      </c>
      <c r="F25" s="55">
        <v>3.6548582639560189E-3</v>
      </c>
      <c r="G25" s="55">
        <v>3.1441328944922021E-3</v>
      </c>
      <c r="H25" s="55">
        <v>4.7926646777816818E-3</v>
      </c>
      <c r="I25" s="55">
        <v>3.7064167811765806E-3</v>
      </c>
      <c r="J25" s="55">
        <v>3.9993491728222471E-3</v>
      </c>
      <c r="K25" s="55">
        <v>3.9918936202324356E-3</v>
      </c>
      <c r="L25" s="55">
        <v>3.7097055277700969E-3</v>
      </c>
      <c r="M25" s="55">
        <v>3.3437788952760438E-3</v>
      </c>
      <c r="N25" s="55">
        <v>3.1370868837243401E-3</v>
      </c>
      <c r="O25" s="55">
        <v>3.6894808042195666E-3</v>
      </c>
      <c r="P25" s="55">
        <v>1.1591955659138349E-3</v>
      </c>
      <c r="Q25" s="55">
        <v>5.4254977625333364E-3</v>
      </c>
      <c r="R25" s="55">
        <v>2.4969611132239001E-3</v>
      </c>
      <c r="S25" s="55">
        <v>2.6474473344866157E-3</v>
      </c>
      <c r="T25" s="55">
        <v>3.4937519832089039E-3</v>
      </c>
      <c r="U25" s="55">
        <v>4.6048674498016338E-3</v>
      </c>
      <c r="V25" s="55">
        <v>4.7401302936091599E-3</v>
      </c>
      <c r="W25" s="55">
        <v>3.9708159469300178E-3</v>
      </c>
      <c r="X25" s="55">
        <v>5.9358459701222372E-3</v>
      </c>
      <c r="Y25" s="55">
        <v>1.0705912267398048</v>
      </c>
      <c r="Z25" s="55">
        <v>2.9638651839748978E-3</v>
      </c>
      <c r="AA25" s="55">
        <v>1.8794288839651281E-3</v>
      </c>
      <c r="AB25" s="55">
        <v>2.8403862005792089E-3</v>
      </c>
      <c r="AC25" s="55">
        <v>2.41287871390879E-3</v>
      </c>
      <c r="AD25" s="55">
        <v>2.4866142813204737E-3</v>
      </c>
      <c r="AE25" s="55">
        <v>3.389514157726771E-3</v>
      </c>
      <c r="AF25" s="55">
        <v>2.5427931980265004E-3</v>
      </c>
      <c r="AG25" s="55">
        <v>4.0182121754145312E-3</v>
      </c>
      <c r="AH25" s="55">
        <v>3.7479856750688065E-3</v>
      </c>
      <c r="AI25" s="55">
        <v>2.2101689045385769E-2</v>
      </c>
      <c r="AJ25" s="55">
        <v>1.0444843464646946E-2</v>
      </c>
      <c r="AK25" s="55">
        <v>1.9189917607796814E-2</v>
      </c>
      <c r="AL25" s="55">
        <v>1.5364432787443949E-3</v>
      </c>
      <c r="AM25" s="55">
        <v>6.09462495944959E-3</v>
      </c>
      <c r="AN25" s="55">
        <v>3.7602953243658257E-3</v>
      </c>
      <c r="AO25" s="55">
        <v>1.0159254678981568E-2</v>
      </c>
      <c r="AP25" s="55">
        <v>6.1397550602376215E-3</v>
      </c>
      <c r="AQ25" s="55">
        <v>3.0167878959228922E-3</v>
      </c>
      <c r="AR25" s="55">
        <v>9.3722077524740679E-3</v>
      </c>
      <c r="AS25" s="55">
        <v>9.749964561739299E-3</v>
      </c>
      <c r="AT25" s="55">
        <v>5.2997183588562738E-3</v>
      </c>
      <c r="AU25" s="55">
        <v>5.7398559244284083E-3</v>
      </c>
      <c r="AV25" s="55">
        <v>5.3852248827610666E-3</v>
      </c>
      <c r="AW25" s="55">
        <v>3.5696728824721959E-3</v>
      </c>
      <c r="AX25" s="55">
        <v>4.4958595478299633E-3</v>
      </c>
      <c r="AY25" s="55">
        <v>1.3944626553618247E-2</v>
      </c>
      <c r="AZ25" s="55">
        <v>3.3394096315330223E-3</v>
      </c>
      <c r="BA25" s="55">
        <v>6.6142871495757363E-3</v>
      </c>
      <c r="BB25" s="55">
        <v>5.1935553413575272E-3</v>
      </c>
      <c r="BC25" s="55">
        <v>7.1638300058007014E-3</v>
      </c>
      <c r="BD25" s="55">
        <v>4.1431412759571325E-3</v>
      </c>
      <c r="BE25" s="55">
        <v>5.3811067228439749E-3</v>
      </c>
      <c r="BF25" s="55">
        <v>4.2865606854390918E-3</v>
      </c>
      <c r="BG25" s="55">
        <v>3.0205795611331666E-3</v>
      </c>
      <c r="BH25" s="55">
        <v>1.1081736035041626E-2</v>
      </c>
      <c r="BI25" s="55">
        <v>3.7106826239798147E-3</v>
      </c>
      <c r="BJ25" s="55">
        <v>3.7931289657389356E-3</v>
      </c>
      <c r="BK25" s="55">
        <v>4.9099055131367466E-3</v>
      </c>
      <c r="BL25" s="55">
        <v>3.9452259728167032E-3</v>
      </c>
      <c r="BM25" s="67">
        <v>6.2629220079581079E-3</v>
      </c>
    </row>
    <row r="26" spans="1:65" x14ac:dyDescent="0.25">
      <c r="A26" s="53" t="s">
        <v>85</v>
      </c>
      <c r="B26" s="54" t="s">
        <v>142</v>
      </c>
      <c r="C26" s="55">
        <v>3.3073651615974625E-3</v>
      </c>
      <c r="D26" s="55">
        <v>3.1037318494625305E-3</v>
      </c>
      <c r="E26" s="55">
        <v>4.1627721369205655E-3</v>
      </c>
      <c r="F26" s="55">
        <v>4.1275898156240406E-3</v>
      </c>
      <c r="G26" s="55">
        <v>3.524393703987049E-3</v>
      </c>
      <c r="H26" s="55">
        <v>3.5345570886401263E-3</v>
      </c>
      <c r="I26" s="55">
        <v>4.1151919718108686E-3</v>
      </c>
      <c r="J26" s="55">
        <v>4.3596106893697998E-3</v>
      </c>
      <c r="K26" s="55">
        <v>4.3277311601494402E-3</v>
      </c>
      <c r="L26" s="55">
        <v>4.1575330131471159E-3</v>
      </c>
      <c r="M26" s="55">
        <v>3.8713231821665374E-3</v>
      </c>
      <c r="N26" s="55">
        <v>3.6183737471614783E-3</v>
      </c>
      <c r="O26" s="55">
        <v>4.1516189498122542E-3</v>
      </c>
      <c r="P26" s="55">
        <v>4.8361085884705488E-4</v>
      </c>
      <c r="Q26" s="55">
        <v>3.5761111836851243E-3</v>
      </c>
      <c r="R26" s="55">
        <v>2.7772291195632811E-3</v>
      </c>
      <c r="S26" s="55">
        <v>2.7421787892920289E-3</v>
      </c>
      <c r="T26" s="55">
        <v>3.8690188659769109E-3</v>
      </c>
      <c r="U26" s="55">
        <v>5.2804585257041504E-3</v>
      </c>
      <c r="V26" s="55">
        <v>4.6915464383066371E-3</v>
      </c>
      <c r="W26" s="55">
        <v>4.4871593819931005E-3</v>
      </c>
      <c r="X26" s="55">
        <v>4.8985127336037921E-3</v>
      </c>
      <c r="Y26" s="55">
        <v>4.4674671547372735E-3</v>
      </c>
      <c r="Z26" s="55">
        <v>1.139114273295317</v>
      </c>
      <c r="AA26" s="55">
        <v>3.7715753405200191E-2</v>
      </c>
      <c r="AB26" s="55">
        <v>2.3234149440673455E-2</v>
      </c>
      <c r="AC26" s="55">
        <v>2.1237785441390938E-3</v>
      </c>
      <c r="AD26" s="55">
        <v>2.2355783485231394E-3</v>
      </c>
      <c r="AE26" s="55">
        <v>2.1405245821530198E-3</v>
      </c>
      <c r="AF26" s="55">
        <v>1.7336969000807409E-3</v>
      </c>
      <c r="AG26" s="55">
        <v>9.0368645177455274E-3</v>
      </c>
      <c r="AH26" s="55">
        <v>2.9792052090688963E-3</v>
      </c>
      <c r="AI26" s="55">
        <v>3.9341905397024873E-3</v>
      </c>
      <c r="AJ26" s="55">
        <v>2.9417078138133297E-3</v>
      </c>
      <c r="AK26" s="55">
        <v>4.8267022178470221E-3</v>
      </c>
      <c r="AL26" s="55">
        <v>8.2209124739699097E-4</v>
      </c>
      <c r="AM26" s="55">
        <v>2.8437730999151868E-3</v>
      </c>
      <c r="AN26" s="55">
        <v>2.8755640210083649E-3</v>
      </c>
      <c r="AO26" s="55">
        <v>5.5369648474783723E-3</v>
      </c>
      <c r="AP26" s="55">
        <v>5.4506060883912502E-3</v>
      </c>
      <c r="AQ26" s="55">
        <v>3.2453035405155656E-3</v>
      </c>
      <c r="AR26" s="55">
        <v>4.6163490592727539E-3</v>
      </c>
      <c r="AS26" s="55">
        <v>2.0554894986062566E-2</v>
      </c>
      <c r="AT26" s="55">
        <v>5.4660672431296759E-3</v>
      </c>
      <c r="AU26" s="55">
        <v>5.2773068317732204E-3</v>
      </c>
      <c r="AV26" s="55">
        <v>7.8289541062212479E-3</v>
      </c>
      <c r="AW26" s="55">
        <v>3.7544254712232631E-3</v>
      </c>
      <c r="AX26" s="55">
        <v>2.4899391343157907E-3</v>
      </c>
      <c r="AY26" s="55">
        <v>4.180730309711664E-3</v>
      </c>
      <c r="AZ26" s="55">
        <v>3.5318373851183035E-3</v>
      </c>
      <c r="BA26" s="55">
        <v>4.6164767140870425E-3</v>
      </c>
      <c r="BB26" s="55">
        <v>5.3330357307956704E-3</v>
      </c>
      <c r="BC26" s="55">
        <v>3.2080849378388963E-3</v>
      </c>
      <c r="BD26" s="55">
        <v>5.0255947754311008E-3</v>
      </c>
      <c r="BE26" s="55">
        <v>5.6680343185683182E-3</v>
      </c>
      <c r="BF26" s="55">
        <v>7.3538871851241841E-3</v>
      </c>
      <c r="BG26" s="55">
        <v>3.2506888457608288E-3</v>
      </c>
      <c r="BH26" s="55">
        <v>4.9549645512231601E-3</v>
      </c>
      <c r="BI26" s="55">
        <v>1.7533005486085882E-3</v>
      </c>
      <c r="BJ26" s="55">
        <v>4.3715931744931604E-3</v>
      </c>
      <c r="BK26" s="55">
        <v>4.2759144104365376E-3</v>
      </c>
      <c r="BL26" s="55">
        <v>4.4105121363198453E-3</v>
      </c>
      <c r="BM26" s="67">
        <v>7.2180374961332205E-3</v>
      </c>
    </row>
    <row r="27" spans="1:65" x14ac:dyDescent="0.25">
      <c r="A27" s="53" t="s">
        <v>86</v>
      </c>
      <c r="B27" s="54" t="s">
        <v>143</v>
      </c>
      <c r="C27" s="55">
        <v>2.2212376838393745E-3</v>
      </c>
      <c r="D27" s="55">
        <v>2.0765907304070306E-3</v>
      </c>
      <c r="E27" s="55">
        <v>2.7443172365450162E-3</v>
      </c>
      <c r="F27" s="55">
        <v>2.6706835575820466E-3</v>
      </c>
      <c r="G27" s="55">
        <v>2.9745366571501267E-3</v>
      </c>
      <c r="H27" s="55">
        <v>4.0438745279402439E-3</v>
      </c>
      <c r="I27" s="55">
        <v>2.8273943031452468E-3</v>
      </c>
      <c r="J27" s="55">
        <v>3.8189493559462667E-3</v>
      </c>
      <c r="K27" s="55">
        <v>3.1216281229088146E-3</v>
      </c>
      <c r="L27" s="55">
        <v>3.0308749892375168E-3</v>
      </c>
      <c r="M27" s="55">
        <v>3.4258141945932349E-3</v>
      </c>
      <c r="N27" s="55">
        <v>4.9661253745928446E-3</v>
      </c>
      <c r="O27" s="55">
        <v>3.5846017800850206E-3</v>
      </c>
      <c r="P27" s="55">
        <v>4.6186842510664692E-4</v>
      </c>
      <c r="Q27" s="55">
        <v>2.6885817499676706E-3</v>
      </c>
      <c r="R27" s="55">
        <v>2.8670091444867418E-3</v>
      </c>
      <c r="S27" s="55">
        <v>2.0238945852282591E-3</v>
      </c>
      <c r="T27" s="55">
        <v>2.5953346606134931E-3</v>
      </c>
      <c r="U27" s="55">
        <v>4.1431222542091858E-3</v>
      </c>
      <c r="V27" s="55">
        <v>7.1309245106390643E-3</v>
      </c>
      <c r="W27" s="55">
        <v>3.0615801269302696E-3</v>
      </c>
      <c r="X27" s="55">
        <v>3.2939701459501428E-3</v>
      </c>
      <c r="Y27" s="55">
        <v>1.5290751345635267E-2</v>
      </c>
      <c r="Z27" s="55">
        <v>7.3327732932430209E-3</v>
      </c>
      <c r="AA27" s="55">
        <v>1.0030203517689598</v>
      </c>
      <c r="AB27" s="55">
        <v>7.0155205624511463E-3</v>
      </c>
      <c r="AC27" s="55">
        <v>1.629381073419957E-3</v>
      </c>
      <c r="AD27" s="55">
        <v>1.6899865326088104E-3</v>
      </c>
      <c r="AE27" s="55">
        <v>1.7580958110144803E-3</v>
      </c>
      <c r="AF27" s="55">
        <v>1.3605830519213531E-3</v>
      </c>
      <c r="AG27" s="55">
        <v>2.7895249199414935E-3</v>
      </c>
      <c r="AH27" s="55">
        <v>4.4397300193842462E-3</v>
      </c>
      <c r="AI27" s="55">
        <v>6.4568242495693269E-3</v>
      </c>
      <c r="AJ27" s="55">
        <v>3.0984930573843905E-3</v>
      </c>
      <c r="AK27" s="55">
        <v>4.3856054335559662E-3</v>
      </c>
      <c r="AL27" s="55">
        <v>7.1831872705642962E-4</v>
      </c>
      <c r="AM27" s="55">
        <v>2.8048917808448522E-3</v>
      </c>
      <c r="AN27" s="55">
        <v>3.6427107863764999E-3</v>
      </c>
      <c r="AO27" s="55">
        <v>4.7496221017085272E-3</v>
      </c>
      <c r="AP27" s="55">
        <v>6.1713248530223747E-3</v>
      </c>
      <c r="AQ27" s="55">
        <v>2.4546431463035321E-3</v>
      </c>
      <c r="AR27" s="55">
        <v>4.405681920419206E-3</v>
      </c>
      <c r="AS27" s="55">
        <v>6.1374539282039141E-3</v>
      </c>
      <c r="AT27" s="55">
        <v>3.361802966744452E-3</v>
      </c>
      <c r="AU27" s="55">
        <v>6.1527843010415742E-3</v>
      </c>
      <c r="AV27" s="55">
        <v>3.2838260215562825E-3</v>
      </c>
      <c r="AW27" s="55">
        <v>2.3704572959147127E-3</v>
      </c>
      <c r="AX27" s="55">
        <v>1.5729604932807079E-3</v>
      </c>
      <c r="AY27" s="55">
        <v>2.6860912512627847E-3</v>
      </c>
      <c r="AZ27" s="55">
        <v>2.1999746318662971E-3</v>
      </c>
      <c r="BA27" s="55">
        <v>8.504132255646309E-3</v>
      </c>
      <c r="BB27" s="55">
        <v>4.2218584690928707E-3</v>
      </c>
      <c r="BC27" s="55">
        <v>2.0164842301825135E-3</v>
      </c>
      <c r="BD27" s="55">
        <v>2.7727474535836996E-3</v>
      </c>
      <c r="BE27" s="55">
        <v>2.4576177648666709E-3</v>
      </c>
      <c r="BF27" s="55">
        <v>2.7606824931899355E-3</v>
      </c>
      <c r="BG27" s="55">
        <v>2.0222544141032177E-3</v>
      </c>
      <c r="BH27" s="55">
        <v>3.1716304102980134E-3</v>
      </c>
      <c r="BI27" s="55">
        <v>1.1210358745939464E-3</v>
      </c>
      <c r="BJ27" s="55">
        <v>2.7248802923649632E-3</v>
      </c>
      <c r="BK27" s="55">
        <v>2.6978123940464001E-3</v>
      </c>
      <c r="BL27" s="55">
        <v>2.7484567741372476E-3</v>
      </c>
      <c r="BM27" s="67">
        <v>4.499112185809717E-3</v>
      </c>
    </row>
    <row r="28" spans="1:65" x14ac:dyDescent="0.25">
      <c r="A28" s="53" t="s">
        <v>87</v>
      </c>
      <c r="B28" s="54" t="s">
        <v>17</v>
      </c>
      <c r="C28" s="55">
        <v>1.9579374386638045E-2</v>
      </c>
      <c r="D28" s="55">
        <v>1.8539282582145569E-2</v>
      </c>
      <c r="E28" s="55">
        <v>2.4258092014593963E-2</v>
      </c>
      <c r="F28" s="55">
        <v>2.4730651615153535E-2</v>
      </c>
      <c r="G28" s="55">
        <v>2.0054504284412314E-2</v>
      </c>
      <c r="H28" s="55">
        <v>1.7929217883914168E-2</v>
      </c>
      <c r="I28" s="55">
        <v>2.3300450871672162E-2</v>
      </c>
      <c r="J28" s="55">
        <v>2.5566767088747458E-2</v>
      </c>
      <c r="K28" s="55">
        <v>2.636360915876448E-2</v>
      </c>
      <c r="L28" s="55">
        <v>2.6147720515005662E-2</v>
      </c>
      <c r="M28" s="55">
        <v>2.131240437667653E-2</v>
      </c>
      <c r="N28" s="55">
        <v>1.7110957634279542E-2</v>
      </c>
      <c r="O28" s="55">
        <v>2.3318085666400114E-2</v>
      </c>
      <c r="P28" s="55">
        <v>2.5206775944942176E-3</v>
      </c>
      <c r="Q28" s="55">
        <v>2.1035990555120933E-2</v>
      </c>
      <c r="R28" s="55">
        <v>1.6550965806782208E-2</v>
      </c>
      <c r="S28" s="55">
        <v>1.6189396621855673E-2</v>
      </c>
      <c r="T28" s="55">
        <v>2.390073875158159E-2</v>
      </c>
      <c r="U28" s="55">
        <v>3.4112184658997291E-2</v>
      </c>
      <c r="V28" s="55">
        <v>3.4766312041101616E-2</v>
      </c>
      <c r="W28" s="55">
        <v>2.7784309354310456E-2</v>
      </c>
      <c r="X28" s="55">
        <v>3.2754096967166545E-2</v>
      </c>
      <c r="Y28" s="55">
        <v>2.7862702522906506E-2</v>
      </c>
      <c r="Z28" s="55">
        <v>2.130648730261658E-2</v>
      </c>
      <c r="AA28" s="55">
        <v>1.5249865795952187E-2</v>
      </c>
      <c r="AB28" s="55">
        <v>1.0718085375939466</v>
      </c>
      <c r="AC28" s="55">
        <v>1.6309181896703662E-2</v>
      </c>
      <c r="AD28" s="55">
        <v>1.6855555355290468E-2</v>
      </c>
      <c r="AE28" s="55">
        <v>1.1780864227633435E-2</v>
      </c>
      <c r="AF28" s="55">
        <v>9.6374400564175136E-3</v>
      </c>
      <c r="AG28" s="55">
        <v>2.4361596958301545E-2</v>
      </c>
      <c r="AH28" s="55">
        <v>1.8699747281774808E-2</v>
      </c>
      <c r="AI28" s="55">
        <v>2.235305482095859E-2</v>
      </c>
      <c r="AJ28" s="55">
        <v>1.9006957707330442E-2</v>
      </c>
      <c r="AK28" s="55">
        <v>4.739130415900332E-2</v>
      </c>
      <c r="AL28" s="55">
        <v>4.8623117906096596E-3</v>
      </c>
      <c r="AM28" s="55">
        <v>1.7190223744889613E-2</v>
      </c>
      <c r="AN28" s="55">
        <v>1.7299071239509082E-2</v>
      </c>
      <c r="AO28" s="55">
        <v>3.4614397486274651E-2</v>
      </c>
      <c r="AP28" s="55">
        <v>3.4076680362990074E-2</v>
      </c>
      <c r="AQ28" s="55">
        <v>1.9755553183522335E-2</v>
      </c>
      <c r="AR28" s="55">
        <v>3.0051594100635397E-2</v>
      </c>
      <c r="AS28" s="55">
        <v>3.2398470720325402E-2</v>
      </c>
      <c r="AT28" s="55">
        <v>3.4623532805828409E-2</v>
      </c>
      <c r="AU28" s="55">
        <v>3.2723006284036453E-2</v>
      </c>
      <c r="AV28" s="55">
        <v>3.3612173319996302E-2</v>
      </c>
      <c r="AW28" s="55">
        <v>2.3880805136220304E-2</v>
      </c>
      <c r="AX28" s="55">
        <v>1.4909714586930989E-2</v>
      </c>
      <c r="AY28" s="55">
        <v>2.5194256300046652E-2</v>
      </c>
      <c r="AZ28" s="55">
        <v>2.1381501888029571E-2</v>
      </c>
      <c r="BA28" s="55">
        <v>2.4306133593795527E-2</v>
      </c>
      <c r="BB28" s="55">
        <v>3.1130334842324421E-2</v>
      </c>
      <c r="BC28" s="55">
        <v>2.0172151012619148E-2</v>
      </c>
      <c r="BD28" s="55">
        <v>2.6770964136536207E-2</v>
      </c>
      <c r="BE28" s="55">
        <v>2.5721299163568172E-2</v>
      </c>
      <c r="BF28" s="55">
        <v>2.6427674789001394E-2</v>
      </c>
      <c r="BG28" s="55">
        <v>1.9487101840632497E-2</v>
      </c>
      <c r="BH28" s="55">
        <v>3.0408224153109915E-2</v>
      </c>
      <c r="BI28" s="55">
        <v>1.0512801689769096E-2</v>
      </c>
      <c r="BJ28" s="55">
        <v>2.6136549084518634E-2</v>
      </c>
      <c r="BK28" s="55">
        <v>2.5853389886843658E-2</v>
      </c>
      <c r="BL28" s="55">
        <v>2.6421920860879973E-2</v>
      </c>
      <c r="BM28" s="67">
        <v>4.3154654100093476E-2</v>
      </c>
    </row>
    <row r="29" spans="1:65" x14ac:dyDescent="0.25">
      <c r="A29" s="53" t="s">
        <v>88</v>
      </c>
      <c r="B29" s="54" t="s">
        <v>144</v>
      </c>
      <c r="C29" s="55">
        <v>8.1255070879976768E-4</v>
      </c>
      <c r="D29" s="55">
        <v>7.4773091500965696E-4</v>
      </c>
      <c r="E29" s="55">
        <v>9.9253679546139925E-4</v>
      </c>
      <c r="F29" s="55">
        <v>9.0028704342776642E-4</v>
      </c>
      <c r="G29" s="55">
        <v>7.9345982690618669E-4</v>
      </c>
      <c r="H29" s="55">
        <v>2.063996074870639E-3</v>
      </c>
      <c r="I29" s="55">
        <v>1.3702655220008228E-3</v>
      </c>
      <c r="J29" s="55">
        <v>1.5258130928401251E-3</v>
      </c>
      <c r="K29" s="55">
        <v>1.4676328501262556E-3</v>
      </c>
      <c r="L29" s="55">
        <v>1.0561575181355508E-3</v>
      </c>
      <c r="M29" s="55">
        <v>1.7283460794951895E-3</v>
      </c>
      <c r="N29" s="55">
        <v>1.1246056044050086E-3</v>
      </c>
      <c r="O29" s="55">
        <v>1.0883697013685501E-3</v>
      </c>
      <c r="P29" s="55">
        <v>2.669884112477158E-4</v>
      </c>
      <c r="Q29" s="55">
        <v>1.0169295420594344E-3</v>
      </c>
      <c r="R29" s="55">
        <v>9.6517074198419219E-4</v>
      </c>
      <c r="S29" s="55">
        <v>7.3429516286382848E-4</v>
      </c>
      <c r="T29" s="55">
        <v>1.1033715418896852E-3</v>
      </c>
      <c r="U29" s="55">
        <v>1.4317870797521729E-3</v>
      </c>
      <c r="V29" s="55">
        <v>2.7932523164738432E-3</v>
      </c>
      <c r="W29" s="55">
        <v>1.1933012379432659E-3</v>
      </c>
      <c r="X29" s="55">
        <v>3.7790598702949958E-3</v>
      </c>
      <c r="Y29" s="55">
        <v>2.9768545555162143E-3</v>
      </c>
      <c r="Z29" s="55">
        <v>7.8896902313431417E-4</v>
      </c>
      <c r="AA29" s="55">
        <v>5.3780915115972307E-4</v>
      </c>
      <c r="AB29" s="55">
        <v>1.7338445875020479E-3</v>
      </c>
      <c r="AC29" s="55">
        <v>1.0011930670225389</v>
      </c>
      <c r="AD29" s="55">
        <v>3.4873210331902204E-3</v>
      </c>
      <c r="AE29" s="55">
        <v>1.1831707701792536E-3</v>
      </c>
      <c r="AF29" s="55">
        <v>8.4412167404941153E-4</v>
      </c>
      <c r="AG29" s="55">
        <v>1.0869840559233907E-3</v>
      </c>
      <c r="AH29" s="55">
        <v>1.2122913720112535E-3</v>
      </c>
      <c r="AI29" s="55">
        <v>3.1037933493304254E-3</v>
      </c>
      <c r="AJ29" s="55">
        <v>1.7940782652699947E-3</v>
      </c>
      <c r="AK29" s="55">
        <v>8.239056313016177E-3</v>
      </c>
      <c r="AL29" s="55">
        <v>3.2026982367491986E-4</v>
      </c>
      <c r="AM29" s="55">
        <v>8.769747163058189E-4</v>
      </c>
      <c r="AN29" s="55">
        <v>1.4161706829121203E-3</v>
      </c>
      <c r="AO29" s="55">
        <v>2.1022262035319894E-3</v>
      </c>
      <c r="AP29" s="55">
        <v>2.406307997930793E-3</v>
      </c>
      <c r="AQ29" s="55">
        <v>1.5152858961646415E-3</v>
      </c>
      <c r="AR29" s="55">
        <v>3.9196387056989711E-3</v>
      </c>
      <c r="AS29" s="55">
        <v>2.6315814599115151E-3</v>
      </c>
      <c r="AT29" s="55">
        <v>6.7117454903165268E-3</v>
      </c>
      <c r="AU29" s="55">
        <v>2.8676419582198639E-3</v>
      </c>
      <c r="AV29" s="55">
        <v>1.6810486173997367E-3</v>
      </c>
      <c r="AW29" s="55">
        <v>2.9681525503277737E-3</v>
      </c>
      <c r="AX29" s="55">
        <v>6.5495716968761635E-4</v>
      </c>
      <c r="AY29" s="55">
        <v>1.5539472121244896E-3</v>
      </c>
      <c r="AZ29" s="55">
        <v>9.6231038495220571E-4</v>
      </c>
      <c r="BA29" s="55">
        <v>2.5456983327519314E-3</v>
      </c>
      <c r="BB29" s="55">
        <v>1.5428861934715578E-3</v>
      </c>
      <c r="BC29" s="55">
        <v>1.0391442074208796E-3</v>
      </c>
      <c r="BD29" s="55">
        <v>1.2894597404604256E-3</v>
      </c>
      <c r="BE29" s="55">
        <v>3.057308887278449E-3</v>
      </c>
      <c r="BF29" s="55">
        <v>2.5827703059715873E-3</v>
      </c>
      <c r="BG29" s="55">
        <v>1.109662783430406E-3</v>
      </c>
      <c r="BH29" s="55">
        <v>1.9252171746546817E-3</v>
      </c>
      <c r="BI29" s="55">
        <v>9.5221757147847153E-4</v>
      </c>
      <c r="BJ29" s="55">
        <v>8.9404099896002388E-4</v>
      </c>
      <c r="BK29" s="55">
        <v>1.1917683038098934E-3</v>
      </c>
      <c r="BL29" s="55">
        <v>1.0038453453750128E-3</v>
      </c>
      <c r="BM29" s="67">
        <v>1.4761715457024514E-3</v>
      </c>
    </row>
    <row r="30" spans="1:65" x14ac:dyDescent="0.25">
      <c r="A30" s="53" t="s">
        <v>89</v>
      </c>
      <c r="B30" s="56" t="s">
        <v>145</v>
      </c>
      <c r="C30" s="55">
        <v>3.71137724001862E-4</v>
      </c>
      <c r="D30" s="55">
        <v>3.4871146307205762E-4</v>
      </c>
      <c r="E30" s="55">
        <v>3.9427606878248046E-4</v>
      </c>
      <c r="F30" s="55">
        <v>3.9866873388997459E-4</v>
      </c>
      <c r="G30" s="55">
        <v>3.2533516301205438E-4</v>
      </c>
      <c r="H30" s="55">
        <v>3.3092089954708792E-4</v>
      </c>
      <c r="I30" s="55">
        <v>4.9782076889392406E-4</v>
      </c>
      <c r="J30" s="55">
        <v>8.2482293692717268E-4</v>
      </c>
      <c r="K30" s="55">
        <v>9.9746518051546901E-4</v>
      </c>
      <c r="L30" s="55">
        <v>5.9989307926213212E-4</v>
      </c>
      <c r="M30" s="55">
        <v>3.6628367565285492E-4</v>
      </c>
      <c r="N30" s="55">
        <v>3.7161333553615265E-4</v>
      </c>
      <c r="O30" s="55">
        <v>4.008758531129147E-4</v>
      </c>
      <c r="P30" s="55">
        <v>5.178983442674519E-5</v>
      </c>
      <c r="Q30" s="55">
        <v>3.2804095443482429E-4</v>
      </c>
      <c r="R30" s="55">
        <v>2.8095583246773819E-4</v>
      </c>
      <c r="S30" s="55">
        <v>2.610548220665093E-4</v>
      </c>
      <c r="T30" s="55">
        <v>3.5554462933499797E-4</v>
      </c>
      <c r="U30" s="55">
        <v>4.9053968792202047E-4</v>
      </c>
      <c r="V30" s="55">
        <v>4.6853686186527129E-4</v>
      </c>
      <c r="W30" s="55">
        <v>6.1669463318586766E-4</v>
      </c>
      <c r="X30" s="55">
        <v>6.7839737128732973E-4</v>
      </c>
      <c r="Y30" s="55">
        <v>4.0376087490867065E-4</v>
      </c>
      <c r="Z30" s="55">
        <v>3.318165591252001E-4</v>
      </c>
      <c r="AA30" s="55">
        <v>1.9496867671213639E-4</v>
      </c>
      <c r="AB30" s="55">
        <v>3.0561413026162126E-4</v>
      </c>
      <c r="AC30" s="55">
        <v>2.0702382753322269E-4</v>
      </c>
      <c r="AD30" s="55">
        <v>1.000216114329681</v>
      </c>
      <c r="AE30" s="55">
        <v>2.435277770345743E-4</v>
      </c>
      <c r="AF30" s="55">
        <v>1.8853748478293823E-4</v>
      </c>
      <c r="AG30" s="55">
        <v>3.3568177765606389E-4</v>
      </c>
      <c r="AH30" s="55">
        <v>3.8301519919580634E-4</v>
      </c>
      <c r="AI30" s="55">
        <v>4.263827457105101E-4</v>
      </c>
      <c r="AJ30" s="55">
        <v>3.259308467713561E-4</v>
      </c>
      <c r="AK30" s="55">
        <v>5.8836628325041899E-4</v>
      </c>
      <c r="AL30" s="55">
        <v>1.6767071622443097E-4</v>
      </c>
      <c r="AM30" s="55">
        <v>2.3170410964210041E-3</v>
      </c>
      <c r="AN30" s="55">
        <v>2.7845953006708761E-4</v>
      </c>
      <c r="AO30" s="55">
        <v>6.5267406441948353E-4</v>
      </c>
      <c r="AP30" s="55">
        <v>6.9361168442155126E-3</v>
      </c>
      <c r="AQ30" s="55">
        <v>3.0805246123073531E-4</v>
      </c>
      <c r="AR30" s="55">
        <v>1.351739326956836E-3</v>
      </c>
      <c r="AS30" s="55">
        <v>1.7510856156633758E-3</v>
      </c>
      <c r="AT30" s="55">
        <v>5.9855124001498001E-4</v>
      </c>
      <c r="AU30" s="55">
        <v>1.2078614035747268E-3</v>
      </c>
      <c r="AV30" s="55">
        <v>1.031271113353976E-3</v>
      </c>
      <c r="AW30" s="55">
        <v>3.7336684933028669E-4</v>
      </c>
      <c r="AX30" s="55">
        <v>2.8249913235389891E-4</v>
      </c>
      <c r="AY30" s="55">
        <v>7.0039350281877815E-4</v>
      </c>
      <c r="AZ30" s="55">
        <v>3.3012190119627652E-4</v>
      </c>
      <c r="BA30" s="55">
        <v>1.0022930928603603E-3</v>
      </c>
      <c r="BB30" s="55">
        <v>7.3485822537072861E-4</v>
      </c>
      <c r="BC30" s="55">
        <v>3.3357153966138769E-4</v>
      </c>
      <c r="BD30" s="55">
        <v>4.175008148301786E-4</v>
      </c>
      <c r="BE30" s="55">
        <v>4.5076330871349636E-4</v>
      </c>
      <c r="BF30" s="55">
        <v>4.9387245065667139E-4</v>
      </c>
      <c r="BG30" s="55">
        <v>7.4925940069701274E-4</v>
      </c>
      <c r="BH30" s="55">
        <v>1.4822120557459134E-3</v>
      </c>
      <c r="BI30" s="55">
        <v>7.4212147363376187E-4</v>
      </c>
      <c r="BJ30" s="55">
        <v>3.9677376762225542E-4</v>
      </c>
      <c r="BK30" s="55">
        <v>3.9597457319982696E-4</v>
      </c>
      <c r="BL30" s="55">
        <v>4.0519508225024054E-4</v>
      </c>
      <c r="BM30" s="67">
        <v>6.5512224442328885E-4</v>
      </c>
    </row>
    <row r="31" spans="1:65" x14ac:dyDescent="0.25">
      <c r="A31" s="53" t="s">
        <v>90</v>
      </c>
      <c r="B31" s="54" t="s">
        <v>169</v>
      </c>
      <c r="C31" s="55">
        <v>3.3369014053050407E-2</v>
      </c>
      <c r="D31" s="55">
        <v>2.6689803822984484E-2</v>
      </c>
      <c r="E31" s="55">
        <v>1.8215210219036465E-2</v>
      </c>
      <c r="F31" s="55">
        <v>1.8445192647077519E-2</v>
      </c>
      <c r="G31" s="55">
        <v>1.8320993878966615E-2</v>
      </c>
      <c r="H31" s="55">
        <v>4.4638789328739964E-2</v>
      </c>
      <c r="I31" s="55">
        <v>5.5626979230089781E-2</v>
      </c>
      <c r="J31" s="55">
        <v>2.7079880529829011E-2</v>
      </c>
      <c r="K31" s="55">
        <v>2.7657773940542245E-2</v>
      </c>
      <c r="L31" s="55">
        <v>2.4759551733533568E-2</v>
      </c>
      <c r="M31" s="55">
        <v>3.7604702003479179E-2</v>
      </c>
      <c r="N31" s="55">
        <v>2.5773737335653895E-2</v>
      </c>
      <c r="O31" s="55">
        <v>3.7712917730063467E-2</v>
      </c>
      <c r="P31" s="55">
        <v>1.2478295882493972E-2</v>
      </c>
      <c r="Q31" s="55">
        <v>2.2217502108188989E-2</v>
      </c>
      <c r="R31" s="55">
        <v>1.410748523634214E-2</v>
      </c>
      <c r="S31" s="55">
        <v>1.5855979482780252E-2</v>
      </c>
      <c r="T31" s="55">
        <v>1.6128613379319749E-2</v>
      </c>
      <c r="U31" s="55">
        <v>2.6416913029945002E-2</v>
      </c>
      <c r="V31" s="55">
        <v>2.4837726804368101E-2</v>
      </c>
      <c r="W31" s="55">
        <v>2.0783299931771491E-2</v>
      </c>
      <c r="X31" s="55">
        <v>5.6697099990641674E-2</v>
      </c>
      <c r="Y31" s="55">
        <v>2.4888725163363677E-2</v>
      </c>
      <c r="Z31" s="55">
        <v>2.1048118556733157E-2</v>
      </c>
      <c r="AA31" s="55">
        <v>1.0140811848057759E-2</v>
      </c>
      <c r="AB31" s="55">
        <v>1.870750874277044E-2</v>
      </c>
      <c r="AC31" s="55">
        <v>1.1423360034975424E-2</v>
      </c>
      <c r="AD31" s="55">
        <v>1.1733979339691223E-2</v>
      </c>
      <c r="AE31" s="55">
        <v>1.0521727121624327</v>
      </c>
      <c r="AF31" s="55">
        <v>1.0514002222529002E-2</v>
      </c>
      <c r="AG31" s="55">
        <v>2.0455588915671313E-2</v>
      </c>
      <c r="AH31" s="55">
        <v>2.5102872509334059E-2</v>
      </c>
      <c r="AI31" s="55">
        <v>2.6537709508458657E-2</v>
      </c>
      <c r="AJ31" s="55">
        <v>1.2318080634498942E-2</v>
      </c>
      <c r="AK31" s="55">
        <v>2.8891929525361328E-2</v>
      </c>
      <c r="AL31" s="55">
        <v>5.2510434894152587E-3</v>
      </c>
      <c r="AM31" s="55">
        <v>2.6167265251356393E-2</v>
      </c>
      <c r="AN31" s="55">
        <v>1.5743366297321766E-2</v>
      </c>
      <c r="AO31" s="55">
        <v>3.2579833841810818E-2</v>
      </c>
      <c r="AP31" s="55">
        <v>3.3977085575397824E-2</v>
      </c>
      <c r="AQ31" s="55">
        <v>1.3911726838915275E-2</v>
      </c>
      <c r="AR31" s="55">
        <v>4.2193511360490273E-2</v>
      </c>
      <c r="AS31" s="55">
        <v>2.9609875299111833E-2</v>
      </c>
      <c r="AT31" s="55">
        <v>3.4339978777200027E-2</v>
      </c>
      <c r="AU31" s="55">
        <v>3.3161679814395696E-2</v>
      </c>
      <c r="AV31" s="55">
        <v>2.2950995663977587E-2</v>
      </c>
      <c r="AW31" s="55">
        <v>3.8926450544499128E-2</v>
      </c>
      <c r="AX31" s="55">
        <v>1.0503594191580781E-2</v>
      </c>
      <c r="AY31" s="55">
        <v>2.537794462277872E-2</v>
      </c>
      <c r="AZ31" s="55">
        <v>1.4736783676599211E-2</v>
      </c>
      <c r="BA31" s="55">
        <v>4.445034088055768E-2</v>
      </c>
      <c r="BB31" s="55">
        <v>5.3111060060809859E-2</v>
      </c>
      <c r="BC31" s="55">
        <v>1.7752035054789374E-2</v>
      </c>
      <c r="BD31" s="55">
        <v>2.1718681317355236E-2</v>
      </c>
      <c r="BE31" s="55">
        <v>6.4255810728964705E-2</v>
      </c>
      <c r="BF31" s="55">
        <v>4.7435564176231237E-2</v>
      </c>
      <c r="BG31" s="55">
        <v>1.6910026669933735E-2</v>
      </c>
      <c r="BH31" s="55">
        <v>3.853474396059052E-2</v>
      </c>
      <c r="BI31" s="55">
        <v>2.4011609396109745E-2</v>
      </c>
      <c r="BJ31" s="55">
        <v>1.7029240453402122E-2</v>
      </c>
      <c r="BK31" s="55">
        <v>2.0393969369157439E-2</v>
      </c>
      <c r="BL31" s="55">
        <v>1.8779688941123817E-2</v>
      </c>
      <c r="BM31" s="67">
        <v>2.8117368478043761E-2</v>
      </c>
    </row>
    <row r="32" spans="1:65" x14ac:dyDescent="0.25">
      <c r="A32" s="53" t="s">
        <v>91</v>
      </c>
      <c r="B32" s="54" t="s">
        <v>170</v>
      </c>
      <c r="C32" s="55">
        <v>6.4704636787612721E-3</v>
      </c>
      <c r="D32" s="55">
        <v>5.4614347921159399E-3</v>
      </c>
      <c r="E32" s="55">
        <v>4.7789020217500781E-3</v>
      </c>
      <c r="F32" s="55">
        <v>5.0677387281855271E-3</v>
      </c>
      <c r="G32" s="55">
        <v>4.4274764276835271E-3</v>
      </c>
      <c r="H32" s="55">
        <v>1.1530357414674059E-2</v>
      </c>
      <c r="I32" s="55">
        <v>9.7222915264350267E-3</v>
      </c>
      <c r="J32" s="55">
        <v>5.9539258876634632E-3</v>
      </c>
      <c r="K32" s="55">
        <v>6.0226405284477796E-3</v>
      </c>
      <c r="L32" s="55">
        <v>5.510765818688256E-3</v>
      </c>
      <c r="M32" s="55">
        <v>7.3685678253623352E-3</v>
      </c>
      <c r="N32" s="55">
        <v>5.0623906276283754E-3</v>
      </c>
      <c r="O32" s="55">
        <v>7.3306457833300391E-3</v>
      </c>
      <c r="P32" s="55">
        <v>1.9644275748729703E-3</v>
      </c>
      <c r="Q32" s="55">
        <v>5.0666413970372514E-3</v>
      </c>
      <c r="R32" s="55">
        <v>3.4041308226383923E-3</v>
      </c>
      <c r="S32" s="55">
        <v>3.8302580897304488E-3</v>
      </c>
      <c r="T32" s="55">
        <v>4.5346982496240222E-3</v>
      </c>
      <c r="U32" s="55">
        <v>6.505273308769966E-3</v>
      </c>
      <c r="V32" s="55">
        <v>5.669111222480025E-3</v>
      </c>
      <c r="W32" s="55">
        <v>5.3229933891208907E-3</v>
      </c>
      <c r="X32" s="55">
        <v>1.0244469466774944E-2</v>
      </c>
      <c r="Y32" s="55">
        <v>5.087565669043408E-3</v>
      </c>
      <c r="Z32" s="55">
        <v>4.4011577946943678E-3</v>
      </c>
      <c r="AA32" s="55">
        <v>2.4275899781731765E-3</v>
      </c>
      <c r="AB32" s="55">
        <v>3.6099602393700964E-3</v>
      </c>
      <c r="AC32" s="55">
        <v>2.6491928121589819E-3</v>
      </c>
      <c r="AD32" s="55">
        <v>2.7785279277624999E-3</v>
      </c>
      <c r="AE32" s="55">
        <v>3.4171549836623405E-2</v>
      </c>
      <c r="AF32" s="55">
        <v>1.0955923727671057</v>
      </c>
      <c r="AG32" s="55">
        <v>4.5100566180523325E-3</v>
      </c>
      <c r="AH32" s="55">
        <v>5.0721406765524193E-3</v>
      </c>
      <c r="AI32" s="55">
        <v>5.2589892123596658E-3</v>
      </c>
      <c r="AJ32" s="55">
        <v>3.2646903535006435E-3</v>
      </c>
      <c r="AK32" s="55">
        <v>6.0956379946321589E-3</v>
      </c>
      <c r="AL32" s="55">
        <v>1.1178596577086847E-3</v>
      </c>
      <c r="AM32" s="55">
        <v>5.0040323708169607E-3</v>
      </c>
      <c r="AN32" s="55">
        <v>3.6804323134475916E-3</v>
      </c>
      <c r="AO32" s="55">
        <v>7.1781281806202711E-3</v>
      </c>
      <c r="AP32" s="55">
        <v>7.4467517338302931E-3</v>
      </c>
      <c r="AQ32" s="55">
        <v>3.8312887106313745E-3</v>
      </c>
      <c r="AR32" s="55">
        <v>8.1801840688882355E-3</v>
      </c>
      <c r="AS32" s="55">
        <v>6.7639770089933616E-3</v>
      </c>
      <c r="AT32" s="55">
        <v>7.6360047999614201E-3</v>
      </c>
      <c r="AU32" s="55">
        <v>7.5307539411873957E-3</v>
      </c>
      <c r="AV32" s="55">
        <v>6.1624661176134165E-3</v>
      </c>
      <c r="AW32" s="55">
        <v>7.3798669700529717E-3</v>
      </c>
      <c r="AX32" s="55">
        <v>2.9413355138125847E-3</v>
      </c>
      <c r="AY32" s="55">
        <v>5.8123349659764539E-3</v>
      </c>
      <c r="AZ32" s="55">
        <v>4.1697861404617455E-3</v>
      </c>
      <c r="BA32" s="55">
        <v>8.2586521923384976E-3</v>
      </c>
      <c r="BB32" s="55">
        <v>1.0226533993664954E-2</v>
      </c>
      <c r="BC32" s="55">
        <v>4.2480278259860145E-3</v>
      </c>
      <c r="BD32" s="55">
        <v>5.6827554001005883E-3</v>
      </c>
      <c r="BE32" s="55">
        <v>1.0703277009970596E-2</v>
      </c>
      <c r="BF32" s="55">
        <v>8.800392440272236E-3</v>
      </c>
      <c r="BG32" s="55">
        <v>4.2267816522235553E-3</v>
      </c>
      <c r="BH32" s="55">
        <v>8.032766649400884E-3</v>
      </c>
      <c r="BI32" s="55">
        <v>4.1973682039394963E-3</v>
      </c>
      <c r="BJ32" s="55">
        <v>5.0525891347906393E-3</v>
      </c>
      <c r="BK32" s="55">
        <v>5.3763597512855657E-3</v>
      </c>
      <c r="BL32" s="55">
        <v>5.3021389149286993E-3</v>
      </c>
      <c r="BM32" s="67">
        <v>8.3424455048250069E-3</v>
      </c>
    </row>
    <row r="33" spans="1:65" x14ac:dyDescent="0.25">
      <c r="A33" s="53" t="s">
        <v>92</v>
      </c>
      <c r="B33" s="54" t="s">
        <v>5</v>
      </c>
      <c r="C33" s="55">
        <v>4.523958026594263E-2</v>
      </c>
      <c r="D33" s="55">
        <v>3.0210584018375987E-2</v>
      </c>
      <c r="E33" s="55">
        <v>6.1908136168714899E-2</v>
      </c>
      <c r="F33" s="55">
        <v>2.6922395100023287E-2</v>
      </c>
      <c r="G33" s="55">
        <v>6.6883303978789041E-2</v>
      </c>
      <c r="H33" s="55">
        <v>0.10306523626469205</v>
      </c>
      <c r="I33" s="55">
        <v>7.7854153657476902E-2</v>
      </c>
      <c r="J33" s="55">
        <v>6.521007602782615E-2</v>
      </c>
      <c r="K33" s="55">
        <v>5.5695223182475322E-2</v>
      </c>
      <c r="L33" s="55">
        <v>6.8684074486533964E-2</v>
      </c>
      <c r="M33" s="55">
        <v>6.0576108043855242E-2</v>
      </c>
      <c r="N33" s="55">
        <v>9.1779262175188933E-2</v>
      </c>
      <c r="O33" s="55">
        <v>5.9556965110635365E-2</v>
      </c>
      <c r="P33" s="55">
        <v>6.5704867398318212E-3</v>
      </c>
      <c r="Q33" s="55">
        <v>3.5598016044712216E-2</v>
      </c>
      <c r="R33" s="55">
        <v>2.6714190113612181E-2</v>
      </c>
      <c r="S33" s="55">
        <v>1.8581482836624544E-2</v>
      </c>
      <c r="T33" s="55">
        <v>2.8926156939029144E-2</v>
      </c>
      <c r="U33" s="55">
        <v>6.6040926499251529E-2</v>
      </c>
      <c r="V33" s="55">
        <v>4.1175143259430842E-2</v>
      </c>
      <c r="W33" s="55">
        <v>3.6683187591888843E-2</v>
      </c>
      <c r="X33" s="55">
        <v>3.6682558138117528E-2</v>
      </c>
      <c r="Y33" s="55">
        <v>4.2865544899992836E-2</v>
      </c>
      <c r="Z33" s="55">
        <v>3.0622039725096317E-2</v>
      </c>
      <c r="AA33" s="55">
        <v>1.3576838320815526E-2</v>
      </c>
      <c r="AB33" s="55">
        <v>2.2193761338490148E-2</v>
      </c>
      <c r="AC33" s="55">
        <v>1.6190319635817137E-2</v>
      </c>
      <c r="AD33" s="55">
        <v>1.6838663972830532E-2</v>
      </c>
      <c r="AE33" s="55">
        <v>2.2879529168320579E-2</v>
      </c>
      <c r="AF33" s="55">
        <v>1.7839608087417382E-2</v>
      </c>
      <c r="AG33" s="55">
        <v>1.0332622430201115</v>
      </c>
      <c r="AH33" s="55">
        <v>1.9539542458636192E-2</v>
      </c>
      <c r="AI33" s="55">
        <v>2.3800922160889006E-2</v>
      </c>
      <c r="AJ33" s="55">
        <v>1.7244349402966066E-2</v>
      </c>
      <c r="AK33" s="55">
        <v>2.7138479210186157E-2</v>
      </c>
      <c r="AL33" s="55">
        <v>1.1217026604158995E-2</v>
      </c>
      <c r="AM33" s="55">
        <v>1.8978409606597399E-2</v>
      </c>
      <c r="AN33" s="55">
        <v>2.4735797958692168E-2</v>
      </c>
      <c r="AO33" s="55">
        <v>3.7079080720007464E-2</v>
      </c>
      <c r="AP33" s="55">
        <v>3.2364318654855152E-2</v>
      </c>
      <c r="AQ33" s="55">
        <v>2.2237011660634205E-2</v>
      </c>
      <c r="AR33" s="55">
        <v>3.8774420294585728E-2</v>
      </c>
      <c r="AS33" s="55">
        <v>3.8930135862561797E-2</v>
      </c>
      <c r="AT33" s="55">
        <v>3.3016373247151273E-2</v>
      </c>
      <c r="AU33" s="55">
        <v>3.3137207270116785E-2</v>
      </c>
      <c r="AV33" s="55">
        <v>3.7157894210039392E-2</v>
      </c>
      <c r="AW33" s="55">
        <v>3.8083495175230776E-2</v>
      </c>
      <c r="AX33" s="55">
        <v>1.6010269047713993E-2</v>
      </c>
      <c r="AY33" s="55">
        <v>3.0496308947047975E-2</v>
      </c>
      <c r="AZ33" s="55">
        <v>2.2901040941641429E-2</v>
      </c>
      <c r="BA33" s="55">
        <v>3.9804356374702039E-2</v>
      </c>
      <c r="BB33" s="55">
        <v>3.9432869511579607E-2</v>
      </c>
      <c r="BC33" s="55">
        <v>2.4846699310291768E-2</v>
      </c>
      <c r="BD33" s="55">
        <v>2.8384947266334507E-2</v>
      </c>
      <c r="BE33" s="55">
        <v>3.4837322026233339E-2</v>
      </c>
      <c r="BF33" s="55">
        <v>5.768271397897546E-2</v>
      </c>
      <c r="BG33" s="55">
        <v>2.4591454474175264E-2</v>
      </c>
      <c r="BH33" s="55">
        <v>3.6423379923017592E-2</v>
      </c>
      <c r="BI33" s="55">
        <v>1.2799638937303601E-2</v>
      </c>
      <c r="BJ33" s="55">
        <v>2.7145268707870825E-2</v>
      </c>
      <c r="BK33" s="55">
        <v>3.1226030129332109E-2</v>
      </c>
      <c r="BL33" s="55">
        <v>2.7897881859684847E-2</v>
      </c>
      <c r="BM33" s="67">
        <v>4.4820174145948535E-2</v>
      </c>
    </row>
    <row r="34" spans="1:65" x14ac:dyDescent="0.25">
      <c r="A34" s="53" t="s">
        <v>93</v>
      </c>
      <c r="B34" s="54" t="s">
        <v>146</v>
      </c>
      <c r="C34" s="55">
        <v>4.7091964526539465E-2</v>
      </c>
      <c r="D34" s="55">
        <v>3.6670110249812995E-2</v>
      </c>
      <c r="E34" s="55">
        <v>7.173458945321963E-2</v>
      </c>
      <c r="F34" s="55">
        <v>4.9585775368636183E-2</v>
      </c>
      <c r="G34" s="55">
        <v>4.4585314142702802E-2</v>
      </c>
      <c r="H34" s="55">
        <v>3.8104829867985149E-2</v>
      </c>
      <c r="I34" s="55">
        <v>0.10768349009860127</v>
      </c>
      <c r="J34" s="55">
        <v>0.10355639122175753</v>
      </c>
      <c r="K34" s="55">
        <v>7.2303006351886523E-2</v>
      </c>
      <c r="L34" s="55">
        <v>0.12559725213206374</v>
      </c>
      <c r="M34" s="55">
        <v>5.180533459922488E-2</v>
      </c>
      <c r="N34" s="55">
        <v>4.756862703443035E-2</v>
      </c>
      <c r="O34" s="55">
        <v>6.0736948833577872E-2</v>
      </c>
      <c r="P34" s="55">
        <v>5.3567843359518894E-3</v>
      </c>
      <c r="Q34" s="55">
        <v>4.7275595428827144E-2</v>
      </c>
      <c r="R34" s="55">
        <v>3.162939431012933E-2</v>
      </c>
      <c r="S34" s="55">
        <v>3.125771328893643E-2</v>
      </c>
      <c r="T34" s="55">
        <v>4.5633166985805461E-2</v>
      </c>
      <c r="U34" s="55">
        <v>5.9373178954564405E-2</v>
      </c>
      <c r="V34" s="55">
        <v>4.7646610880945926E-2</v>
      </c>
      <c r="W34" s="55">
        <v>5.0182733205890645E-2</v>
      </c>
      <c r="X34" s="55">
        <v>7.75853245633598E-2</v>
      </c>
      <c r="Y34" s="55">
        <v>3.9553572216431278E-2</v>
      </c>
      <c r="Z34" s="55">
        <v>4.4076371034847614E-2</v>
      </c>
      <c r="AA34" s="55">
        <v>2.6095700656019769E-2</v>
      </c>
      <c r="AB34" s="55">
        <v>4.0384998108593716E-2</v>
      </c>
      <c r="AC34" s="55">
        <v>2.7374586660823399E-2</v>
      </c>
      <c r="AD34" s="55">
        <v>2.8658732813244901E-2</v>
      </c>
      <c r="AE34" s="55">
        <v>3.0275581348730929E-2</v>
      </c>
      <c r="AF34" s="55">
        <v>2.3886463217098523E-2</v>
      </c>
      <c r="AG34" s="55">
        <v>4.1285674055997791E-2</v>
      </c>
      <c r="AH34" s="55">
        <v>1.0393536296664465</v>
      </c>
      <c r="AI34" s="55">
        <v>3.7375149248972124E-2</v>
      </c>
      <c r="AJ34" s="55">
        <v>3.1167929087329099E-2</v>
      </c>
      <c r="AK34" s="55">
        <v>5.7086870286169919E-2</v>
      </c>
      <c r="AL34" s="55">
        <v>2.9783880264943299E-2</v>
      </c>
      <c r="AM34" s="55">
        <v>3.4970072513788635E-2</v>
      </c>
      <c r="AN34" s="55">
        <v>3.3376278421111689E-2</v>
      </c>
      <c r="AO34" s="55">
        <v>7.0730941289375251E-2</v>
      </c>
      <c r="AP34" s="55">
        <v>6.9884730910784204E-2</v>
      </c>
      <c r="AQ34" s="55">
        <v>4.0022306227337351E-2</v>
      </c>
      <c r="AR34" s="55">
        <v>6.6401164134262392E-2</v>
      </c>
      <c r="AS34" s="55">
        <v>6.5874979091126801E-2</v>
      </c>
      <c r="AT34" s="55">
        <v>5.8587663941151752E-2</v>
      </c>
      <c r="AU34" s="55">
        <v>6.0661824905099922E-2</v>
      </c>
      <c r="AV34" s="55">
        <v>7.3480709029639255E-2</v>
      </c>
      <c r="AW34" s="55">
        <v>5.72253528650798E-2</v>
      </c>
      <c r="AX34" s="55">
        <v>2.8720736354248759E-2</v>
      </c>
      <c r="AY34" s="55">
        <v>4.9375487357612047E-2</v>
      </c>
      <c r="AZ34" s="55">
        <v>4.1614815816815691E-2</v>
      </c>
      <c r="BA34" s="55">
        <v>5.3048927872340647E-2</v>
      </c>
      <c r="BB34" s="55">
        <v>6.0184015668521537E-2</v>
      </c>
      <c r="BC34" s="55">
        <v>3.6326713701427413E-2</v>
      </c>
      <c r="BD34" s="55">
        <v>5.1847886168319382E-2</v>
      </c>
      <c r="BE34" s="55">
        <v>4.5487040199132321E-2</v>
      </c>
      <c r="BF34" s="55">
        <v>5.2290408689656738E-2</v>
      </c>
      <c r="BG34" s="55">
        <v>4.1390068353617374E-2</v>
      </c>
      <c r="BH34" s="55">
        <v>6.6095123974205527E-2</v>
      </c>
      <c r="BI34" s="55">
        <v>2.0781786349473429E-2</v>
      </c>
      <c r="BJ34" s="55">
        <v>5.1317820677403495E-2</v>
      </c>
      <c r="BK34" s="55">
        <v>5.0248404136767622E-2</v>
      </c>
      <c r="BL34" s="55">
        <v>5.173796872630522E-2</v>
      </c>
      <c r="BM34" s="67">
        <v>8.4732027680568589E-2</v>
      </c>
    </row>
    <row r="35" spans="1:65" x14ac:dyDescent="0.25">
      <c r="A35" s="53" t="s">
        <v>94</v>
      </c>
      <c r="B35" s="54" t="s">
        <v>147</v>
      </c>
      <c r="C35" s="55">
        <v>2.2159058755069683E-2</v>
      </c>
      <c r="D35" s="55">
        <v>1.7607146713965585E-2</v>
      </c>
      <c r="E35" s="55">
        <v>2.3604507112224251E-2</v>
      </c>
      <c r="F35" s="55">
        <v>2.1367942049313689E-2</v>
      </c>
      <c r="G35" s="55">
        <v>2.1859864121402183E-2</v>
      </c>
      <c r="H35" s="55">
        <v>3.0591091481896409E-2</v>
      </c>
      <c r="I35" s="55">
        <v>2.686437311061014E-2</v>
      </c>
      <c r="J35" s="55">
        <v>2.8920895623357104E-2</v>
      </c>
      <c r="K35" s="55">
        <v>2.8836980434248947E-2</v>
      </c>
      <c r="L35" s="55">
        <v>2.6819566427274736E-2</v>
      </c>
      <c r="M35" s="55">
        <v>2.1010788194332535E-2</v>
      </c>
      <c r="N35" s="55">
        <v>2.5519917637091917E-2</v>
      </c>
      <c r="O35" s="55">
        <v>2.4933039382601222E-2</v>
      </c>
      <c r="P35" s="55">
        <v>4.3222114153771479E-3</v>
      </c>
      <c r="Q35" s="55">
        <v>1.9176617982279431E-2</v>
      </c>
      <c r="R35" s="55">
        <v>1.5793362909069769E-2</v>
      </c>
      <c r="S35" s="55">
        <v>1.3500001130747069E-2</v>
      </c>
      <c r="T35" s="55">
        <v>1.9085102807218993E-2</v>
      </c>
      <c r="U35" s="55">
        <v>2.9667526187838029E-2</v>
      </c>
      <c r="V35" s="55">
        <v>2.7584415956573623E-2</v>
      </c>
      <c r="W35" s="55">
        <v>2.344289466340204E-2</v>
      </c>
      <c r="X35" s="55">
        <v>2.8622366002157593E-2</v>
      </c>
      <c r="Y35" s="55">
        <v>2.9360521280495926E-2</v>
      </c>
      <c r="Z35" s="55">
        <v>2.4399232116776724E-2</v>
      </c>
      <c r="AA35" s="55">
        <v>1.2816492030041506E-2</v>
      </c>
      <c r="AB35" s="55">
        <v>2.6355586424723808E-2</v>
      </c>
      <c r="AC35" s="55">
        <v>1.2936049122968288E-2</v>
      </c>
      <c r="AD35" s="55">
        <v>1.3340649808558071E-2</v>
      </c>
      <c r="AE35" s="55">
        <v>1.952320057565838E-2</v>
      </c>
      <c r="AF35" s="55">
        <v>1.4744329319854079E-2</v>
      </c>
      <c r="AG35" s="55">
        <v>2.4227087054089602E-2</v>
      </c>
      <c r="AH35" s="55">
        <v>2.354196929090565E-2</v>
      </c>
      <c r="AI35" s="55">
        <v>1.0799069275716531</v>
      </c>
      <c r="AJ35" s="55">
        <v>1.6520206093099565E-2</v>
      </c>
      <c r="AK35" s="55">
        <v>3.6415917467346966E-2</v>
      </c>
      <c r="AL35" s="55">
        <v>2.4177075486927199E-2</v>
      </c>
      <c r="AM35" s="55">
        <v>2.0953540560994407E-2</v>
      </c>
      <c r="AN35" s="55">
        <v>2.486003193836742E-2</v>
      </c>
      <c r="AO35" s="55">
        <v>3.5903098154027972E-2</v>
      </c>
      <c r="AP35" s="55">
        <v>3.5883367312600195E-2</v>
      </c>
      <c r="AQ35" s="55">
        <v>1.6343527040615986E-2</v>
      </c>
      <c r="AR35" s="55">
        <v>2.7864486782897137E-2</v>
      </c>
      <c r="AS35" s="55">
        <v>3.3386425221526225E-2</v>
      </c>
      <c r="AT35" s="55">
        <v>2.4244536046075287E-2</v>
      </c>
      <c r="AU35" s="55">
        <v>2.7088776733935768E-2</v>
      </c>
      <c r="AV35" s="55">
        <v>2.9714994021604654E-2</v>
      </c>
      <c r="AW35" s="55">
        <v>2.2206778505078878E-2</v>
      </c>
      <c r="AX35" s="55">
        <v>1.194300201588815E-2</v>
      </c>
      <c r="AY35" s="55">
        <v>2.1562020778532073E-2</v>
      </c>
      <c r="AZ35" s="55">
        <v>1.715568575669257E-2</v>
      </c>
      <c r="BA35" s="55">
        <v>2.4899500197778819E-2</v>
      </c>
      <c r="BB35" s="55">
        <v>2.8904944175605862E-2</v>
      </c>
      <c r="BC35" s="55">
        <v>1.6744974631304019E-2</v>
      </c>
      <c r="BD35" s="55">
        <v>2.1371062746756906E-2</v>
      </c>
      <c r="BE35" s="55">
        <v>4.2415025267289651E-2</v>
      </c>
      <c r="BF35" s="55">
        <v>3.0298768237797993E-2</v>
      </c>
      <c r="BG35" s="55">
        <v>1.7860501568548997E-2</v>
      </c>
      <c r="BH35" s="55">
        <v>2.8270003311096362E-2</v>
      </c>
      <c r="BI35" s="55">
        <v>9.3327669188473742E-3</v>
      </c>
      <c r="BJ35" s="55">
        <v>2.0144380856896134E-2</v>
      </c>
      <c r="BK35" s="55">
        <v>2.0412731440297479E-2</v>
      </c>
      <c r="BL35" s="55">
        <v>2.0451432714167952E-2</v>
      </c>
      <c r="BM35" s="67">
        <v>3.3260848061032688E-2</v>
      </c>
    </row>
    <row r="36" spans="1:65" x14ac:dyDescent="0.25">
      <c r="A36" s="53" t="s">
        <v>95</v>
      </c>
      <c r="B36" s="56" t="s">
        <v>148</v>
      </c>
      <c r="C36" s="55">
        <v>2.8665054816352776E-2</v>
      </c>
      <c r="D36" s="55">
        <v>1.833909965075901E-2</v>
      </c>
      <c r="E36" s="55">
        <v>2.5528274381879924E-2</v>
      </c>
      <c r="F36" s="55">
        <v>2.1752477275450214E-2</v>
      </c>
      <c r="G36" s="55">
        <v>1.9730271474369496E-2</v>
      </c>
      <c r="H36" s="55">
        <v>2.2803550379751566E-2</v>
      </c>
      <c r="I36" s="55">
        <v>2.2442737008775856E-2</v>
      </c>
      <c r="J36" s="55">
        <v>2.9981071863235519E-2</v>
      </c>
      <c r="K36" s="55">
        <v>3.3127310443191962E-2</v>
      </c>
      <c r="L36" s="55">
        <v>2.3873912029469691E-2</v>
      </c>
      <c r="M36" s="55">
        <v>1.8892978645596352E-2</v>
      </c>
      <c r="N36" s="55">
        <v>1.5852300146482732E-2</v>
      </c>
      <c r="O36" s="55">
        <v>2.120188692575711E-2</v>
      </c>
      <c r="P36" s="55">
        <v>3.9840437221541434E-3</v>
      </c>
      <c r="Q36" s="55">
        <v>1.8941981379930885E-2</v>
      </c>
      <c r="R36" s="55">
        <v>1.7223792183101647E-2</v>
      </c>
      <c r="S36" s="55">
        <v>1.6724318869452671E-2</v>
      </c>
      <c r="T36" s="55">
        <v>2.0991305300679563E-2</v>
      </c>
      <c r="U36" s="55">
        <v>2.8952710268000299E-2</v>
      </c>
      <c r="V36" s="55">
        <v>2.3870939461482558E-2</v>
      </c>
      <c r="W36" s="55">
        <v>2.5997830859600227E-2</v>
      </c>
      <c r="X36" s="55">
        <v>2.8035739768719474E-2</v>
      </c>
      <c r="Y36" s="55">
        <v>1.8652918824848562E-2</v>
      </c>
      <c r="Z36" s="55">
        <v>1.7435791064480281E-2</v>
      </c>
      <c r="AA36" s="55">
        <v>1.4813674483322936E-2</v>
      </c>
      <c r="AB36" s="55">
        <v>1.9329926109103456E-2</v>
      </c>
      <c r="AC36" s="55">
        <v>1.1448086660565279E-2</v>
      </c>
      <c r="AD36" s="55">
        <v>1.2044973484567151E-2</v>
      </c>
      <c r="AE36" s="55">
        <v>1.4420638244899354E-2</v>
      </c>
      <c r="AF36" s="55">
        <v>1.1299133071573878E-2</v>
      </c>
      <c r="AG36" s="55">
        <v>1.761484126698588E-2</v>
      </c>
      <c r="AH36" s="55">
        <v>1.5954428374136628E-2</v>
      </c>
      <c r="AI36" s="55">
        <v>1.8684841156114834E-2</v>
      </c>
      <c r="AJ36" s="55">
        <v>1.1716985404280167</v>
      </c>
      <c r="AK36" s="55">
        <v>2.8915321762710253E-2</v>
      </c>
      <c r="AL36" s="55">
        <v>5.0426533599439285E-2</v>
      </c>
      <c r="AM36" s="55">
        <v>2.8693448568192201E-2</v>
      </c>
      <c r="AN36" s="55">
        <v>2.1379478689000551E-2</v>
      </c>
      <c r="AO36" s="55">
        <v>2.7089762360066348E-2</v>
      </c>
      <c r="AP36" s="55">
        <v>2.6462903194031693E-2</v>
      </c>
      <c r="AQ36" s="55">
        <v>1.6702711021794499E-2</v>
      </c>
      <c r="AR36" s="55">
        <v>2.3592769050851718E-2</v>
      </c>
      <c r="AS36" s="55">
        <v>2.8503077702047765E-2</v>
      </c>
      <c r="AT36" s="55">
        <v>3.0475969357601454E-2</v>
      </c>
      <c r="AU36" s="55">
        <v>2.6309162629946984E-2</v>
      </c>
      <c r="AV36" s="55">
        <v>2.9127715773798687E-2</v>
      </c>
      <c r="AW36" s="55">
        <v>2.2192175886401037E-2</v>
      </c>
      <c r="AX36" s="55">
        <v>1.2893228414285132E-2</v>
      </c>
      <c r="AY36" s="55">
        <v>2.1806127711922668E-2</v>
      </c>
      <c r="AZ36" s="55">
        <v>1.8224902645621571E-2</v>
      </c>
      <c r="BA36" s="55">
        <v>2.6084445193956383E-2</v>
      </c>
      <c r="BB36" s="55">
        <v>2.7175080560558267E-2</v>
      </c>
      <c r="BC36" s="55">
        <v>1.6532917286782255E-2</v>
      </c>
      <c r="BD36" s="55">
        <v>2.2949248443526919E-2</v>
      </c>
      <c r="BE36" s="55">
        <v>2.3781090525488401E-2</v>
      </c>
      <c r="BF36" s="55">
        <v>2.2766058832717678E-2</v>
      </c>
      <c r="BG36" s="55">
        <v>1.6838256519857143E-2</v>
      </c>
      <c r="BH36" s="55">
        <v>2.6267533326545592E-2</v>
      </c>
      <c r="BI36" s="55">
        <v>8.9180204918496552E-3</v>
      </c>
      <c r="BJ36" s="55">
        <v>2.2474054872413839E-2</v>
      </c>
      <c r="BK36" s="55">
        <v>2.2523386162103542E-2</v>
      </c>
      <c r="BL36" s="55">
        <v>2.2667514320232601E-2</v>
      </c>
      <c r="BM36" s="67">
        <v>3.7107426122296047E-2</v>
      </c>
    </row>
    <row r="37" spans="1:65" x14ac:dyDescent="0.25">
      <c r="A37" s="53" t="s">
        <v>96</v>
      </c>
      <c r="B37" s="56" t="s">
        <v>149</v>
      </c>
      <c r="C37" s="55">
        <v>5.0679979274819726E-3</v>
      </c>
      <c r="D37" s="55">
        <v>4.4716898760770946E-3</v>
      </c>
      <c r="E37" s="55">
        <v>5.9967529879130215E-3</v>
      </c>
      <c r="F37" s="55">
        <v>6.0207777520160342E-3</v>
      </c>
      <c r="G37" s="55">
        <v>5.1718314333874882E-3</v>
      </c>
      <c r="H37" s="55">
        <v>9.2323044699213694E-3</v>
      </c>
      <c r="I37" s="55">
        <v>5.9843267532782582E-3</v>
      </c>
      <c r="J37" s="55">
        <v>6.3383740214464765E-3</v>
      </c>
      <c r="K37" s="55">
        <v>6.5377054302221934E-3</v>
      </c>
      <c r="L37" s="55">
        <v>5.7978048975921778E-3</v>
      </c>
      <c r="M37" s="55">
        <v>4.8045906495308519E-3</v>
      </c>
      <c r="N37" s="55">
        <v>4.5166323436940476E-3</v>
      </c>
      <c r="O37" s="55">
        <v>5.4974614916988218E-3</v>
      </c>
      <c r="P37" s="55">
        <v>7.4436569320115629E-4</v>
      </c>
      <c r="Q37" s="55">
        <v>4.7610268115966317E-3</v>
      </c>
      <c r="R37" s="55">
        <v>4.7831580174445372E-3</v>
      </c>
      <c r="S37" s="55">
        <v>3.8447534900856875E-3</v>
      </c>
      <c r="T37" s="55">
        <v>5.2832252576169953E-3</v>
      </c>
      <c r="U37" s="55">
        <v>7.3095056101135239E-3</v>
      </c>
      <c r="V37" s="55">
        <v>6.4025087574155117E-3</v>
      </c>
      <c r="W37" s="55">
        <v>6.2748296122242175E-3</v>
      </c>
      <c r="X37" s="55">
        <v>7.456855939478777E-3</v>
      </c>
      <c r="Y37" s="55">
        <v>7.2104000507744789E-3</v>
      </c>
      <c r="Z37" s="55">
        <v>7.2622288805315452E-3</v>
      </c>
      <c r="AA37" s="55">
        <v>3.3784385754110158E-3</v>
      </c>
      <c r="AB37" s="55">
        <v>6.1656369569673148E-3</v>
      </c>
      <c r="AC37" s="55">
        <v>5.061898080479783E-3</v>
      </c>
      <c r="AD37" s="55">
        <v>5.1120259411345558E-3</v>
      </c>
      <c r="AE37" s="55">
        <v>5.5450690279365555E-3</v>
      </c>
      <c r="AF37" s="55">
        <v>4.2113220130576435E-3</v>
      </c>
      <c r="AG37" s="55">
        <v>4.611451620555808E-3</v>
      </c>
      <c r="AH37" s="55">
        <v>5.2296467076447259E-3</v>
      </c>
      <c r="AI37" s="55">
        <v>7.5406990253722703E-2</v>
      </c>
      <c r="AJ37" s="55">
        <v>2.3529892161185541E-2</v>
      </c>
      <c r="AK37" s="55">
        <v>1.1980967360131531</v>
      </c>
      <c r="AL37" s="55">
        <v>3.2680192644287376E-3</v>
      </c>
      <c r="AM37" s="55">
        <v>4.9509483820374322E-3</v>
      </c>
      <c r="AN37" s="55">
        <v>4.769095163488021E-3</v>
      </c>
      <c r="AO37" s="55">
        <v>7.5819309825581804E-3</v>
      </c>
      <c r="AP37" s="55">
        <v>8.7166495279353412E-3</v>
      </c>
      <c r="AQ37" s="55">
        <v>4.5091861109119368E-3</v>
      </c>
      <c r="AR37" s="55">
        <v>8.3559201724312474E-3</v>
      </c>
      <c r="AS37" s="55">
        <v>9.5852686729333732E-3</v>
      </c>
      <c r="AT37" s="55">
        <v>6.8329529954645404E-3</v>
      </c>
      <c r="AU37" s="55">
        <v>7.2198263323852117E-3</v>
      </c>
      <c r="AV37" s="55">
        <v>7.4030888989392776E-3</v>
      </c>
      <c r="AW37" s="55">
        <v>5.7319297778096181E-3</v>
      </c>
      <c r="AX37" s="55">
        <v>3.5988809355927956E-3</v>
      </c>
      <c r="AY37" s="55">
        <v>7.146644631924888E-3</v>
      </c>
      <c r="AZ37" s="55">
        <v>4.7064352912326267E-3</v>
      </c>
      <c r="BA37" s="55">
        <v>6.6057675608808663E-3</v>
      </c>
      <c r="BB37" s="55">
        <v>7.4539307028460254E-3</v>
      </c>
      <c r="BC37" s="55">
        <v>5.5835612380642384E-3</v>
      </c>
      <c r="BD37" s="55">
        <v>5.9535462841764321E-3</v>
      </c>
      <c r="BE37" s="55">
        <v>6.8270086917540376E-3</v>
      </c>
      <c r="BF37" s="55">
        <v>6.4144300368023871E-3</v>
      </c>
      <c r="BG37" s="55">
        <v>4.4935869096773932E-3</v>
      </c>
      <c r="BH37" s="55">
        <v>7.1317059550684318E-3</v>
      </c>
      <c r="BI37" s="55">
        <v>4.819605299549912E-3</v>
      </c>
      <c r="BJ37" s="55">
        <v>5.786994152166337E-3</v>
      </c>
      <c r="BK37" s="55">
        <v>6.2577977102467397E-3</v>
      </c>
      <c r="BL37" s="55">
        <v>5.9788179380344149E-3</v>
      </c>
      <c r="BM37" s="67">
        <v>9.5550384294584255E-3</v>
      </c>
    </row>
    <row r="38" spans="1:65" x14ac:dyDescent="0.25">
      <c r="A38" s="53" t="s">
        <v>97</v>
      </c>
      <c r="B38" s="56" t="s">
        <v>6</v>
      </c>
      <c r="C38" s="55">
        <v>7.5270648220133782E-2</v>
      </c>
      <c r="D38" s="55">
        <v>7.3654388352226888E-2</v>
      </c>
      <c r="E38" s="55">
        <v>9.2396815657281708E-2</v>
      </c>
      <c r="F38" s="55">
        <v>0.10309271935013935</v>
      </c>
      <c r="G38" s="55">
        <v>7.7783335101426002E-2</v>
      </c>
      <c r="H38" s="55">
        <v>6.4047844472401971E-2</v>
      </c>
      <c r="I38" s="55">
        <v>8.4347024487999148E-2</v>
      </c>
      <c r="J38" s="55">
        <v>8.9249804556893755E-2</v>
      </c>
      <c r="K38" s="55">
        <v>9.0017109924972277E-2</v>
      </c>
      <c r="L38" s="55">
        <v>8.557253922201645E-2</v>
      </c>
      <c r="M38" s="55">
        <v>7.6610641851608471E-2</v>
      </c>
      <c r="N38" s="55">
        <v>6.1561448960078403E-2</v>
      </c>
      <c r="O38" s="55">
        <v>8.8187572055965655E-2</v>
      </c>
      <c r="P38" s="55">
        <v>8.6569495681181989E-3</v>
      </c>
      <c r="Q38" s="55">
        <v>8.2170969975720209E-2</v>
      </c>
      <c r="R38" s="55">
        <v>5.9617497897465552E-2</v>
      </c>
      <c r="S38" s="55">
        <v>6.5896959587322737E-2</v>
      </c>
      <c r="T38" s="55">
        <v>9.4310008004300061E-2</v>
      </c>
      <c r="U38" s="55">
        <v>0.11710438067475006</v>
      </c>
      <c r="V38" s="55">
        <v>9.2060511210622656E-2</v>
      </c>
      <c r="W38" s="55">
        <v>0.10031918940158648</v>
      </c>
      <c r="X38" s="55">
        <v>0.1017782804727099</v>
      </c>
      <c r="Y38" s="55">
        <v>6.8106064745605696E-2</v>
      </c>
      <c r="Z38" s="55">
        <v>6.1721002242091524E-2</v>
      </c>
      <c r="AA38" s="55">
        <v>4.2140810895682064E-2</v>
      </c>
      <c r="AB38" s="55">
        <v>4.2539333605122166E-2</v>
      </c>
      <c r="AC38" s="55">
        <v>4.395377829141555E-2</v>
      </c>
      <c r="AD38" s="55">
        <v>4.7476715131601857E-2</v>
      </c>
      <c r="AE38" s="55">
        <v>4.2265267219110426E-2</v>
      </c>
      <c r="AF38" s="55">
        <v>3.5633281568100812E-2</v>
      </c>
      <c r="AG38" s="55">
        <v>6.7672973582086057E-2</v>
      </c>
      <c r="AH38" s="55">
        <v>6.3280691151616483E-2</v>
      </c>
      <c r="AI38" s="55">
        <v>6.5931672154762172E-2</v>
      </c>
      <c r="AJ38" s="55">
        <v>6.4042953934430949E-2</v>
      </c>
      <c r="AK38" s="55">
        <v>8.7061384172688314E-2</v>
      </c>
      <c r="AL38" s="55">
        <v>1.0161484025020935</v>
      </c>
      <c r="AM38" s="55">
        <v>6.2243264816008663E-2</v>
      </c>
      <c r="AN38" s="55">
        <v>6.1828809027113359E-2</v>
      </c>
      <c r="AO38" s="55">
        <v>0.1102145585392202</v>
      </c>
      <c r="AP38" s="55">
        <v>0.10649768179663741</v>
      </c>
      <c r="AQ38" s="55">
        <v>7.7977741303585493E-2</v>
      </c>
      <c r="AR38" s="55">
        <v>9.7794586047981205E-2</v>
      </c>
      <c r="AS38" s="55">
        <v>0.10755511512350155</v>
      </c>
      <c r="AT38" s="55">
        <v>0.11799950233064699</v>
      </c>
      <c r="AU38" s="55">
        <v>0.12125197493612699</v>
      </c>
      <c r="AV38" s="55">
        <v>0.12163323942786682</v>
      </c>
      <c r="AW38" s="55">
        <v>8.3548698621389472E-2</v>
      </c>
      <c r="AX38" s="55">
        <v>6.0974155804011027E-2</v>
      </c>
      <c r="AY38" s="55">
        <v>9.5037415894954111E-2</v>
      </c>
      <c r="AZ38" s="55">
        <v>8.7255929224059725E-2</v>
      </c>
      <c r="BA38" s="55">
        <v>8.8060931567387757E-2</v>
      </c>
      <c r="BB38" s="55">
        <v>0.12048179163025363</v>
      </c>
      <c r="BC38" s="55">
        <v>7.3774072295265447E-2</v>
      </c>
      <c r="BD38" s="55">
        <v>0.10992926418441813</v>
      </c>
      <c r="BE38" s="55">
        <v>7.5953715220115445E-2</v>
      </c>
      <c r="BF38" s="55">
        <v>9.1763803712731129E-2</v>
      </c>
      <c r="BG38" s="55">
        <v>7.7568130815242442E-2</v>
      </c>
      <c r="BH38" s="55">
        <v>0.11222963282906195</v>
      </c>
      <c r="BI38" s="55">
        <v>3.7369271493576633E-2</v>
      </c>
      <c r="BJ38" s="55">
        <v>0.1102998977627654</v>
      </c>
      <c r="BK38" s="55">
        <v>0.10482079491698473</v>
      </c>
      <c r="BL38" s="55">
        <v>0.11065709371732363</v>
      </c>
      <c r="BM38" s="67">
        <v>0.1821186844458843</v>
      </c>
    </row>
    <row r="39" spans="1:65" x14ac:dyDescent="0.25">
      <c r="A39" s="53" t="s">
        <v>98</v>
      </c>
      <c r="B39" s="56" t="s">
        <v>7</v>
      </c>
      <c r="C39" s="55">
        <v>7.7053709904444614E-2</v>
      </c>
      <c r="D39" s="55">
        <v>5.223944187357793E-2</v>
      </c>
      <c r="E39" s="55">
        <v>4.8300703845991944E-2</v>
      </c>
      <c r="F39" s="55">
        <v>4.584038667690539E-2</v>
      </c>
      <c r="G39" s="55">
        <v>4.3358732083233764E-2</v>
      </c>
      <c r="H39" s="55">
        <v>5.0993110372864206E-2</v>
      </c>
      <c r="I39" s="55">
        <v>7.7478716210062221E-2</v>
      </c>
      <c r="J39" s="55">
        <v>7.5185351414740684E-2</v>
      </c>
      <c r="K39" s="55">
        <v>6.5440176494149654E-2</v>
      </c>
      <c r="L39" s="55">
        <v>6.402132805620718E-2</v>
      </c>
      <c r="M39" s="55">
        <v>5.4886035984995987E-2</v>
      </c>
      <c r="N39" s="55">
        <v>4.4150101755427086E-2</v>
      </c>
      <c r="O39" s="55">
        <v>6.2411900737688E-2</v>
      </c>
      <c r="P39" s="55">
        <v>8.5134692746062883E-3</v>
      </c>
      <c r="Q39" s="55">
        <v>4.2070440773022424E-2</v>
      </c>
      <c r="R39" s="55">
        <v>3.5521358645225251E-2</v>
      </c>
      <c r="S39" s="55">
        <v>3.3872948102591061E-2</v>
      </c>
      <c r="T39" s="55">
        <v>4.4854656972474857E-2</v>
      </c>
      <c r="U39" s="55">
        <v>6.3418341317580812E-2</v>
      </c>
      <c r="V39" s="55">
        <v>7.6964586625257306E-2</v>
      </c>
      <c r="W39" s="55">
        <v>5.8008543367813761E-2</v>
      </c>
      <c r="X39" s="55">
        <v>0.16847026177605218</v>
      </c>
      <c r="Y39" s="55">
        <v>6.481551631315606E-2</v>
      </c>
      <c r="Z39" s="55">
        <v>5.8766054707290662E-2</v>
      </c>
      <c r="AA39" s="55">
        <v>2.9528460955635279E-2</v>
      </c>
      <c r="AB39" s="55">
        <v>4.9661501451057626E-2</v>
      </c>
      <c r="AC39" s="55">
        <v>2.9578687228732293E-2</v>
      </c>
      <c r="AD39" s="55">
        <v>3.051035644202452E-2</v>
      </c>
      <c r="AE39" s="55">
        <v>3.3556892949790799E-2</v>
      </c>
      <c r="AF39" s="55">
        <v>2.5834313833187895E-2</v>
      </c>
      <c r="AG39" s="55">
        <v>5.4526087597470359E-2</v>
      </c>
      <c r="AH39" s="55">
        <v>9.175194698222025E-2</v>
      </c>
      <c r="AI39" s="55">
        <v>7.7044033205645984E-2</v>
      </c>
      <c r="AJ39" s="55">
        <v>6.0453619901923918E-2</v>
      </c>
      <c r="AK39" s="55">
        <v>0.13501046279308621</v>
      </c>
      <c r="AL39" s="55">
        <v>2.8541038508231566E-2</v>
      </c>
      <c r="AM39" s="55">
        <v>1.1036890264057102</v>
      </c>
      <c r="AN39" s="55">
        <v>4.205597279474213E-2</v>
      </c>
      <c r="AO39" s="55">
        <v>0.1369647188641139</v>
      </c>
      <c r="AP39" s="55">
        <v>0.16349709535972251</v>
      </c>
      <c r="AQ39" s="55">
        <v>4.2381209036671842E-2</v>
      </c>
      <c r="AR39" s="55">
        <v>9.7326559068197593E-2</v>
      </c>
      <c r="AS39" s="55">
        <v>0.11012905738973836</v>
      </c>
      <c r="AT39" s="55">
        <v>8.5992733181567749E-2</v>
      </c>
      <c r="AU39" s="55">
        <v>6.9590185948446681E-2</v>
      </c>
      <c r="AV39" s="55">
        <v>6.8958575583788262E-2</v>
      </c>
      <c r="AW39" s="55">
        <v>4.6051014749868856E-2</v>
      </c>
      <c r="AX39" s="55">
        <v>3.8730480948596845E-2</v>
      </c>
      <c r="AY39" s="55">
        <v>9.1024930001873172E-2</v>
      </c>
      <c r="AZ39" s="55">
        <v>4.2486145256497958E-2</v>
      </c>
      <c r="BA39" s="55">
        <v>0.11399134217680697</v>
      </c>
      <c r="BB39" s="55">
        <v>9.5583714040149842E-2</v>
      </c>
      <c r="BC39" s="55">
        <v>5.5687481592125498E-2</v>
      </c>
      <c r="BD39" s="55">
        <v>5.339906651203627E-2</v>
      </c>
      <c r="BE39" s="55">
        <v>7.2000426163315326E-2</v>
      </c>
      <c r="BF39" s="55">
        <v>8.9462862726360642E-2</v>
      </c>
      <c r="BG39" s="55">
        <v>4.8974573506021891E-2</v>
      </c>
      <c r="BH39" s="55">
        <v>9.8090085398855054E-2</v>
      </c>
      <c r="BI39" s="55">
        <v>3.9893303813233943E-2</v>
      </c>
      <c r="BJ39" s="55">
        <v>4.7113716571263453E-2</v>
      </c>
      <c r="BK39" s="55">
        <v>4.8717081241377913E-2</v>
      </c>
      <c r="BL39" s="55">
        <v>4.8175781721683388E-2</v>
      </c>
      <c r="BM39" s="67">
        <v>7.7790535216717652E-2</v>
      </c>
    </row>
    <row r="40" spans="1:65" x14ac:dyDescent="0.25">
      <c r="A40" s="53" t="s">
        <v>99</v>
      </c>
      <c r="B40" s="56" t="s">
        <v>150</v>
      </c>
      <c r="C40" s="55">
        <v>2.2567109989198243E-2</v>
      </c>
      <c r="D40" s="55">
        <v>1.4695892607619042E-2</v>
      </c>
      <c r="E40" s="55">
        <v>2.1504161133852694E-2</v>
      </c>
      <c r="F40" s="55">
        <v>1.9119329166034128E-2</v>
      </c>
      <c r="G40" s="55">
        <v>2.412663084871779E-2</v>
      </c>
      <c r="H40" s="55">
        <v>4.8721052278014765E-2</v>
      </c>
      <c r="I40" s="55">
        <v>4.0939744552577928E-2</v>
      </c>
      <c r="J40" s="55">
        <v>5.1202976376070887E-2</v>
      </c>
      <c r="K40" s="55">
        <v>6.3143491844009664E-2</v>
      </c>
      <c r="L40" s="55">
        <v>6.3323970740693736E-2</v>
      </c>
      <c r="M40" s="55">
        <v>3.4016874889658044E-2</v>
      </c>
      <c r="N40" s="55">
        <v>3.5186404079763214E-2</v>
      </c>
      <c r="O40" s="55">
        <v>2.8639225734877167E-2</v>
      </c>
      <c r="P40" s="55">
        <v>5.2346644890563752E-3</v>
      </c>
      <c r="Q40" s="55">
        <v>2.1402873507181834E-2</v>
      </c>
      <c r="R40" s="55">
        <v>1.352728760886533E-2</v>
      </c>
      <c r="S40" s="55">
        <v>1.1041841965664777E-2</v>
      </c>
      <c r="T40" s="55">
        <v>2.0313772537918953E-2</v>
      </c>
      <c r="U40" s="55">
        <v>2.5186753506572585E-2</v>
      </c>
      <c r="V40" s="55">
        <v>4.3198692763380835E-2</v>
      </c>
      <c r="W40" s="55">
        <v>2.2354637458725402E-2</v>
      </c>
      <c r="X40" s="55">
        <v>6.1823143808634858E-2</v>
      </c>
      <c r="Y40" s="55">
        <v>3.8464916007439148E-2</v>
      </c>
      <c r="Z40" s="55">
        <v>2.1024457491361139E-2</v>
      </c>
      <c r="AA40" s="55">
        <v>1.5814673477057031E-2</v>
      </c>
      <c r="AB40" s="55">
        <v>6.2265699486094832E-2</v>
      </c>
      <c r="AC40" s="55">
        <v>2.0970267330477996E-2</v>
      </c>
      <c r="AD40" s="55">
        <v>2.0495548056100876E-2</v>
      </c>
      <c r="AE40" s="55">
        <v>1.4534081584265071E-2</v>
      </c>
      <c r="AF40" s="55">
        <v>1.068534830637701E-2</v>
      </c>
      <c r="AG40" s="55">
        <v>2.7750089714059515E-2</v>
      </c>
      <c r="AH40" s="55">
        <v>1.727772647162535E-2</v>
      </c>
      <c r="AI40" s="55">
        <v>2.1844784792940108E-2</v>
      </c>
      <c r="AJ40" s="55">
        <v>1.5535997564106155E-2</v>
      </c>
      <c r="AK40" s="55">
        <v>3.1376998823633373E-2</v>
      </c>
      <c r="AL40" s="55">
        <v>7.7121397716198702E-3</v>
      </c>
      <c r="AM40" s="55">
        <v>1.3067010764968101E-2</v>
      </c>
      <c r="AN40" s="55">
        <v>1.0119827337688176</v>
      </c>
      <c r="AO40" s="55">
        <v>2.050387898305726E-2</v>
      </c>
      <c r="AP40" s="55">
        <v>2.9988152335254557E-2</v>
      </c>
      <c r="AQ40" s="55">
        <v>1.4231592002414179E-2</v>
      </c>
      <c r="AR40" s="55">
        <v>2.9560175903245101E-2</v>
      </c>
      <c r="AS40" s="55">
        <v>2.3886791616369852E-2</v>
      </c>
      <c r="AT40" s="55">
        <v>5.3080019977891114E-2</v>
      </c>
      <c r="AU40" s="55">
        <v>3.2590692610901771E-2</v>
      </c>
      <c r="AV40" s="55">
        <v>2.3886690874802358E-2</v>
      </c>
      <c r="AW40" s="55">
        <v>1.5956937463260441E-2</v>
      </c>
      <c r="AX40" s="55">
        <v>7.1517518805395367E-3</v>
      </c>
      <c r="AY40" s="55">
        <v>1.662857193669913E-2</v>
      </c>
      <c r="AZ40" s="55">
        <v>1.0534895946753038E-2</v>
      </c>
      <c r="BA40" s="55">
        <v>2.8688278742914856E-2</v>
      </c>
      <c r="BB40" s="55">
        <v>2.0948863250294884E-2</v>
      </c>
      <c r="BC40" s="55">
        <v>1.097905953156357E-2</v>
      </c>
      <c r="BD40" s="55">
        <v>1.3310588488704917E-2</v>
      </c>
      <c r="BE40" s="55">
        <v>2.9202413263581011E-2</v>
      </c>
      <c r="BF40" s="55">
        <v>2.2910658178069556E-2</v>
      </c>
      <c r="BG40" s="55">
        <v>1.1074888502892066E-2</v>
      </c>
      <c r="BH40" s="55">
        <v>2.7655560442674428E-2</v>
      </c>
      <c r="BI40" s="55">
        <v>9.8362065266007562E-3</v>
      </c>
      <c r="BJ40" s="55">
        <v>1.1082904671327488E-2</v>
      </c>
      <c r="BK40" s="55">
        <v>1.2610232749682855E-2</v>
      </c>
      <c r="BL40" s="55">
        <v>1.1710908469369473E-2</v>
      </c>
      <c r="BM40" s="67">
        <v>1.8299237438302252E-2</v>
      </c>
    </row>
    <row r="41" spans="1:65" x14ac:dyDescent="0.25">
      <c r="A41" s="53" t="s">
        <v>100</v>
      </c>
      <c r="B41" s="54" t="s">
        <v>8</v>
      </c>
      <c r="C41" s="55">
        <v>1.0340896233480251E-2</v>
      </c>
      <c r="D41" s="55">
        <v>9.2056711128000231E-3</v>
      </c>
      <c r="E41" s="55">
        <v>1.2057369476034219E-2</v>
      </c>
      <c r="F41" s="55">
        <v>1.1793093873165334E-2</v>
      </c>
      <c r="G41" s="55">
        <v>1.6602115040239972E-2</v>
      </c>
      <c r="H41" s="55">
        <v>1.8416404545468931E-2</v>
      </c>
      <c r="I41" s="55">
        <v>1.4568060601359373E-2</v>
      </c>
      <c r="J41" s="55">
        <v>1.9337294194821317E-2</v>
      </c>
      <c r="K41" s="55">
        <v>1.3528803063248917E-2</v>
      </c>
      <c r="L41" s="55">
        <v>1.278363696929726E-2</v>
      </c>
      <c r="M41" s="55">
        <v>1.2827271979922963E-2</v>
      </c>
      <c r="N41" s="55">
        <v>1.1745674661820122E-2</v>
      </c>
      <c r="O41" s="55">
        <v>1.3298012966305247E-2</v>
      </c>
      <c r="P41" s="55">
        <v>3.436892904619277E-3</v>
      </c>
      <c r="Q41" s="55">
        <v>1.0923115336067917E-2</v>
      </c>
      <c r="R41" s="55">
        <v>1.0740199265089302E-2</v>
      </c>
      <c r="S41" s="55">
        <v>9.2760007065153683E-3</v>
      </c>
      <c r="T41" s="55">
        <v>1.1405761047260049E-2</v>
      </c>
      <c r="U41" s="55">
        <v>2.0803547593170227E-2</v>
      </c>
      <c r="V41" s="55">
        <v>4.1700502296846298E-2</v>
      </c>
      <c r="W41" s="55">
        <v>1.8865564779792551E-2</v>
      </c>
      <c r="X41" s="55">
        <v>2.4091916741528593E-2</v>
      </c>
      <c r="Y41" s="55">
        <v>2.3600880475280427E-2</v>
      </c>
      <c r="Z41" s="55">
        <v>1.3212045136334399E-2</v>
      </c>
      <c r="AA41" s="55">
        <v>7.7647816872543221E-3</v>
      </c>
      <c r="AB41" s="55">
        <v>1.2384991657601962E-2</v>
      </c>
      <c r="AC41" s="55">
        <v>7.3839648703129743E-3</v>
      </c>
      <c r="AD41" s="55">
        <v>7.6095089139769168E-3</v>
      </c>
      <c r="AE41" s="55">
        <v>2.1189785398070086E-2</v>
      </c>
      <c r="AF41" s="55">
        <v>1.543331209082433E-2</v>
      </c>
      <c r="AG41" s="55">
        <v>1.2409822751036794E-2</v>
      </c>
      <c r="AH41" s="55">
        <v>1.1698130496045027E-2</v>
      </c>
      <c r="AI41" s="55">
        <v>1.9057604495517778E-2</v>
      </c>
      <c r="AJ41" s="55">
        <v>1.1752267702578012E-2</v>
      </c>
      <c r="AK41" s="55">
        <v>3.7720940447756479E-2</v>
      </c>
      <c r="AL41" s="55">
        <v>7.7793123640966383E-3</v>
      </c>
      <c r="AM41" s="55">
        <v>1.3952288652342444E-2</v>
      </c>
      <c r="AN41" s="55">
        <v>9.6740356399762934E-3</v>
      </c>
      <c r="AO41" s="55">
        <v>1.0525610124806764</v>
      </c>
      <c r="AP41" s="55">
        <v>2.4195130953866471E-2</v>
      </c>
      <c r="AQ41" s="55">
        <v>9.7416617586850458E-3</v>
      </c>
      <c r="AR41" s="55">
        <v>2.1943162900766415E-2</v>
      </c>
      <c r="AS41" s="55">
        <v>2.409017945125843E-2</v>
      </c>
      <c r="AT41" s="55">
        <v>3.7957747220087372E-2</v>
      </c>
      <c r="AU41" s="55">
        <v>2.8928389846668543E-2</v>
      </c>
      <c r="AV41" s="55">
        <v>1.68395206833752E-2</v>
      </c>
      <c r="AW41" s="55">
        <v>1.4313218338255553E-2</v>
      </c>
      <c r="AX41" s="55">
        <v>6.976185784539261E-3</v>
      </c>
      <c r="AY41" s="55">
        <v>1.7177981494330839E-2</v>
      </c>
      <c r="AZ41" s="55">
        <v>1.085811920989193E-2</v>
      </c>
      <c r="BA41" s="55">
        <v>2.4232445873849425E-2</v>
      </c>
      <c r="BB41" s="55">
        <v>2.1437717545655509E-2</v>
      </c>
      <c r="BC41" s="55">
        <v>1.1817441130977015E-2</v>
      </c>
      <c r="BD41" s="55">
        <v>1.2671812785256002E-2</v>
      </c>
      <c r="BE41" s="55">
        <v>1.4969389399383698E-2</v>
      </c>
      <c r="BF41" s="55">
        <v>1.3760277813626981E-2</v>
      </c>
      <c r="BG41" s="55">
        <v>9.5747166814306884E-3</v>
      </c>
      <c r="BH41" s="55">
        <v>1.6521231314184665E-2</v>
      </c>
      <c r="BI41" s="55">
        <v>7.4442579191132032E-3</v>
      </c>
      <c r="BJ41" s="55">
        <v>1.1669299940957245E-2</v>
      </c>
      <c r="BK41" s="55">
        <v>1.1689276004495387E-2</v>
      </c>
      <c r="BL41" s="55">
        <v>1.1900987630092664E-2</v>
      </c>
      <c r="BM41" s="67">
        <v>1.9267448082522017E-2</v>
      </c>
    </row>
    <row r="42" spans="1:65" x14ac:dyDescent="0.25">
      <c r="A42" s="53" t="s">
        <v>101</v>
      </c>
      <c r="B42" s="54" t="s">
        <v>9</v>
      </c>
      <c r="C42" s="55">
        <v>2.1980527546229256E-3</v>
      </c>
      <c r="D42" s="55">
        <v>1.821126937788284E-3</v>
      </c>
      <c r="E42" s="55">
        <v>6.7041103963882001E-3</v>
      </c>
      <c r="F42" s="55">
        <v>1.925894934960071E-3</v>
      </c>
      <c r="G42" s="55">
        <v>3.3518121707653381E-3</v>
      </c>
      <c r="H42" s="55">
        <v>5.6071362423985209E-3</v>
      </c>
      <c r="I42" s="55">
        <v>1.6379277372138779E-2</v>
      </c>
      <c r="J42" s="55">
        <v>6.8044508604736278E-2</v>
      </c>
      <c r="K42" s="55">
        <v>9.8948320835274217E-2</v>
      </c>
      <c r="L42" s="55">
        <v>3.6985390084605732E-2</v>
      </c>
      <c r="M42" s="55">
        <v>3.7525247063943585E-3</v>
      </c>
      <c r="N42" s="55">
        <v>3.2995974664191022E-3</v>
      </c>
      <c r="O42" s="55">
        <v>2.9964147421826346E-3</v>
      </c>
      <c r="P42" s="55">
        <v>7.1083212978423425E-4</v>
      </c>
      <c r="Q42" s="55">
        <v>2.2557413452037596E-3</v>
      </c>
      <c r="R42" s="55">
        <v>2.8192556334231639E-3</v>
      </c>
      <c r="S42" s="55">
        <v>1.640025778492123E-3</v>
      </c>
      <c r="T42" s="55">
        <v>1.9199897606856846E-3</v>
      </c>
      <c r="U42" s="55">
        <v>3.2129450457953667E-3</v>
      </c>
      <c r="V42" s="55">
        <v>3.4151673061045269E-3</v>
      </c>
      <c r="W42" s="55">
        <v>3.0070621317660694E-3</v>
      </c>
      <c r="X42" s="55">
        <v>4.9182019338321094E-3</v>
      </c>
      <c r="Y42" s="55">
        <v>4.4363151541327306E-3</v>
      </c>
      <c r="Z42" s="55">
        <v>3.2648306742052808E-3</v>
      </c>
      <c r="AA42" s="55">
        <v>1.6168959609656434E-3</v>
      </c>
      <c r="AB42" s="55">
        <v>7.5426872059158479E-3</v>
      </c>
      <c r="AC42" s="55">
        <v>1.9389504959955754E-3</v>
      </c>
      <c r="AD42" s="55">
        <v>1.940980556819073E-3</v>
      </c>
      <c r="AE42" s="55">
        <v>5.7594584454822659E-3</v>
      </c>
      <c r="AF42" s="55">
        <v>4.0790504713256771E-3</v>
      </c>
      <c r="AG42" s="55">
        <v>2.685744034687338E-3</v>
      </c>
      <c r="AH42" s="55">
        <v>2.9965139407501784E-3</v>
      </c>
      <c r="AI42" s="55">
        <v>4.6348772872507804E-3</v>
      </c>
      <c r="AJ42" s="55">
        <v>2.1731819173667318E-3</v>
      </c>
      <c r="AK42" s="55">
        <v>4.9812750221640764E-3</v>
      </c>
      <c r="AL42" s="55">
        <v>6.2718422965191631E-3</v>
      </c>
      <c r="AM42" s="55">
        <v>8.533525326749886E-3</v>
      </c>
      <c r="AN42" s="55">
        <v>2.3680930539547594E-3</v>
      </c>
      <c r="AO42" s="55">
        <v>5.5808712031497126E-3</v>
      </c>
      <c r="AP42" s="55">
        <v>1.036902950774987</v>
      </c>
      <c r="AQ42" s="55">
        <v>1.8116317272981561E-3</v>
      </c>
      <c r="AR42" s="55">
        <v>3.6168160500702332E-2</v>
      </c>
      <c r="AS42" s="55">
        <v>5.2793778515571243E-3</v>
      </c>
      <c r="AT42" s="55">
        <v>6.2291276852629706E-3</v>
      </c>
      <c r="AU42" s="55">
        <v>3.6494563207285415E-3</v>
      </c>
      <c r="AV42" s="55">
        <v>3.4979777790738187E-3</v>
      </c>
      <c r="AW42" s="55">
        <v>3.5557052614484238E-3</v>
      </c>
      <c r="AX42" s="55">
        <v>1.4389380437842174E-3</v>
      </c>
      <c r="AY42" s="55">
        <v>4.1502047444874441E-3</v>
      </c>
      <c r="AZ42" s="55">
        <v>1.7692294271036853E-3</v>
      </c>
      <c r="BA42" s="55">
        <v>5.4537754795929601E-3</v>
      </c>
      <c r="BB42" s="55">
        <v>3.6700714738256935E-3</v>
      </c>
      <c r="BC42" s="55">
        <v>2.175092002043728E-3</v>
      </c>
      <c r="BD42" s="55">
        <v>2.3554353379680879E-3</v>
      </c>
      <c r="BE42" s="55">
        <v>6.5072681431550669E-3</v>
      </c>
      <c r="BF42" s="55">
        <v>5.8451176931366994E-3</v>
      </c>
      <c r="BG42" s="55">
        <v>1.7565591476599808E-3</v>
      </c>
      <c r="BH42" s="55">
        <v>4.1418838771588107E-3</v>
      </c>
      <c r="BI42" s="55">
        <v>1.7087888595581657E-3</v>
      </c>
      <c r="BJ42" s="55">
        <v>1.9512043970528468E-3</v>
      </c>
      <c r="BK42" s="55">
        <v>2.5227295989859581E-3</v>
      </c>
      <c r="BL42" s="55">
        <v>2.6507490293454969E-3</v>
      </c>
      <c r="BM42" s="67">
        <v>3.2216782162444325E-3</v>
      </c>
    </row>
    <row r="43" spans="1:65" x14ac:dyDescent="0.25">
      <c r="A43" s="53" t="s">
        <v>102</v>
      </c>
      <c r="B43" s="56" t="s">
        <v>10</v>
      </c>
      <c r="C43" s="55">
        <v>6.6925482157993113E-4</v>
      </c>
      <c r="D43" s="55">
        <v>6.0236107030408215E-4</v>
      </c>
      <c r="E43" s="55">
        <v>9.0441948243781068E-4</v>
      </c>
      <c r="F43" s="55">
        <v>6.162076611199689E-4</v>
      </c>
      <c r="G43" s="55">
        <v>7.764049412936683E-4</v>
      </c>
      <c r="H43" s="55">
        <v>1.560479657032051E-3</v>
      </c>
      <c r="I43" s="55">
        <v>1.2808648435105817E-3</v>
      </c>
      <c r="J43" s="55">
        <v>1.526574862425921E-3</v>
      </c>
      <c r="K43" s="55">
        <v>1.5092644071363764E-3</v>
      </c>
      <c r="L43" s="55">
        <v>1.43546203295657E-3</v>
      </c>
      <c r="M43" s="55">
        <v>2.1628029505482821E-3</v>
      </c>
      <c r="N43" s="55">
        <v>1.0683878467839605E-3</v>
      </c>
      <c r="O43" s="55">
        <v>1.1190701714875251E-3</v>
      </c>
      <c r="P43" s="55">
        <v>4.9579131927041142E-4</v>
      </c>
      <c r="Q43" s="55">
        <v>9.5409334030326347E-4</v>
      </c>
      <c r="R43" s="55">
        <v>1.3571028888023789E-3</v>
      </c>
      <c r="S43" s="55">
        <v>5.4731723488119226E-4</v>
      </c>
      <c r="T43" s="55">
        <v>1.1888450549176956E-3</v>
      </c>
      <c r="U43" s="55">
        <v>2.6578989614867441E-3</v>
      </c>
      <c r="V43" s="55">
        <v>4.4810088548884628E-3</v>
      </c>
      <c r="W43" s="55">
        <v>1.5686675964824233E-3</v>
      </c>
      <c r="X43" s="55">
        <v>1.8827839028954419E-3</v>
      </c>
      <c r="Y43" s="55">
        <v>6.550580356283961E-3</v>
      </c>
      <c r="Z43" s="55">
        <v>1.093858874538592E-3</v>
      </c>
      <c r="AA43" s="55">
        <v>6.3453057986517152E-4</v>
      </c>
      <c r="AB43" s="55">
        <v>1.7178778025803674E-3</v>
      </c>
      <c r="AC43" s="55">
        <v>6.8424447413837329E-4</v>
      </c>
      <c r="AD43" s="55">
        <v>6.8077330711061122E-4</v>
      </c>
      <c r="AE43" s="55">
        <v>1.4947726693568624E-3</v>
      </c>
      <c r="AF43" s="55">
        <v>8.397355713708857E-4</v>
      </c>
      <c r="AG43" s="55">
        <v>1.6521702339842284E-3</v>
      </c>
      <c r="AH43" s="55">
        <v>1.6388399962835806E-3</v>
      </c>
      <c r="AI43" s="55">
        <v>4.6337215424847641E-3</v>
      </c>
      <c r="AJ43" s="55">
        <v>2.6417876966137056E-3</v>
      </c>
      <c r="AK43" s="55">
        <v>8.4128791920981185E-3</v>
      </c>
      <c r="AL43" s="55">
        <v>4.3258576564833009E-4</v>
      </c>
      <c r="AM43" s="55">
        <v>1.0686862863014193E-3</v>
      </c>
      <c r="AN43" s="55">
        <v>8.2775011231355313E-4</v>
      </c>
      <c r="AO43" s="55">
        <v>2.3779720944472893E-3</v>
      </c>
      <c r="AP43" s="55">
        <v>4.209817597572961E-3</v>
      </c>
      <c r="AQ43" s="55">
        <v>1.0005989216493827</v>
      </c>
      <c r="AR43" s="55">
        <v>3.312813093263472E-3</v>
      </c>
      <c r="AS43" s="55">
        <v>3.0756248982516175E-3</v>
      </c>
      <c r="AT43" s="55">
        <v>4.7132173111871355E-3</v>
      </c>
      <c r="AU43" s="55">
        <v>1.2617483350621983E-3</v>
      </c>
      <c r="AV43" s="55">
        <v>1.1293400630219565E-3</v>
      </c>
      <c r="AW43" s="55">
        <v>1.1917200481237262E-3</v>
      </c>
      <c r="AX43" s="55">
        <v>6.029771161915826E-4</v>
      </c>
      <c r="AY43" s="55">
        <v>1.4935590385214039E-3</v>
      </c>
      <c r="AZ43" s="55">
        <v>8.1080636970712328E-4</v>
      </c>
      <c r="BA43" s="55">
        <v>2.1090891325402177E-3</v>
      </c>
      <c r="BB43" s="55">
        <v>2.19709188289385E-3</v>
      </c>
      <c r="BC43" s="55">
        <v>1.2383925894310179E-3</v>
      </c>
      <c r="BD43" s="55">
        <v>8.7976158066908926E-4</v>
      </c>
      <c r="BE43" s="55">
        <v>2.8878368891761983E-3</v>
      </c>
      <c r="BF43" s="55">
        <v>2.8151862829794826E-3</v>
      </c>
      <c r="BG43" s="55">
        <v>9.1296832673592445E-4</v>
      </c>
      <c r="BH43" s="55">
        <v>2.189814123900102E-3</v>
      </c>
      <c r="BI43" s="55">
        <v>1.1869971528373751E-3</v>
      </c>
      <c r="BJ43" s="55">
        <v>6.0504354325007469E-4</v>
      </c>
      <c r="BK43" s="55">
        <v>1.129884295818495E-3</v>
      </c>
      <c r="BL43" s="55">
        <v>6.6471544095800944E-4</v>
      </c>
      <c r="BM43" s="67">
        <v>9.99001235397133E-4</v>
      </c>
    </row>
    <row r="44" spans="1:65" x14ac:dyDescent="0.25">
      <c r="A44" s="53" t="s">
        <v>103</v>
      </c>
      <c r="B44" s="56" t="s">
        <v>151</v>
      </c>
      <c r="C44" s="55">
        <v>4.375570142852829E-3</v>
      </c>
      <c r="D44" s="55">
        <v>3.8555616166599349E-3</v>
      </c>
      <c r="E44" s="55">
        <v>5.2591775727824181E-3</v>
      </c>
      <c r="F44" s="55">
        <v>4.1453315780130813E-3</v>
      </c>
      <c r="G44" s="55">
        <v>4.8382372002974718E-3</v>
      </c>
      <c r="H44" s="55">
        <v>6.6977358678798867E-3</v>
      </c>
      <c r="I44" s="55">
        <v>6.4952330114728431E-3</v>
      </c>
      <c r="J44" s="55">
        <v>9.6241369285868534E-3</v>
      </c>
      <c r="K44" s="55">
        <v>9.9943883086002043E-3</v>
      </c>
      <c r="L44" s="55">
        <v>6.8721110841268593E-3</v>
      </c>
      <c r="M44" s="55">
        <v>1.0156641753520542E-2</v>
      </c>
      <c r="N44" s="55">
        <v>6.4797608336640286E-3</v>
      </c>
      <c r="O44" s="55">
        <v>6.6153505442900695E-3</v>
      </c>
      <c r="P44" s="55">
        <v>1.311759279871032E-3</v>
      </c>
      <c r="Q44" s="55">
        <v>5.7296432274730026E-3</v>
      </c>
      <c r="R44" s="55">
        <v>5.434841325848587E-3</v>
      </c>
      <c r="S44" s="55">
        <v>3.9173326891943916E-3</v>
      </c>
      <c r="T44" s="55">
        <v>4.4299361763919312E-3</v>
      </c>
      <c r="U44" s="55">
        <v>7.844478290844727E-3</v>
      </c>
      <c r="V44" s="55">
        <v>1.0260722436164459E-2</v>
      </c>
      <c r="W44" s="55">
        <v>7.131265718091047E-3</v>
      </c>
      <c r="X44" s="55">
        <v>1.4269900168944546E-2</v>
      </c>
      <c r="Y44" s="55">
        <v>1.2695719400523468E-2</v>
      </c>
      <c r="Z44" s="55">
        <v>5.4913902977233942E-3</v>
      </c>
      <c r="AA44" s="55">
        <v>3.8393489777175352E-3</v>
      </c>
      <c r="AB44" s="55">
        <v>9.3097934676750465E-3</v>
      </c>
      <c r="AC44" s="55">
        <v>1.2120840916171789E-2</v>
      </c>
      <c r="AD44" s="55">
        <v>1.1701051665032845E-2</v>
      </c>
      <c r="AE44" s="55">
        <v>1.7722380952159014E-2</v>
      </c>
      <c r="AF44" s="55">
        <v>8.5886275289392376E-3</v>
      </c>
      <c r="AG44" s="55">
        <v>5.602813327983445E-3</v>
      </c>
      <c r="AH44" s="55">
        <v>4.5983400309920208E-3</v>
      </c>
      <c r="AI44" s="55">
        <v>2.460798980253635E-2</v>
      </c>
      <c r="AJ44" s="55">
        <v>9.3903356967537915E-3</v>
      </c>
      <c r="AK44" s="55">
        <v>3.1902723908761185E-2</v>
      </c>
      <c r="AL44" s="55">
        <v>2.4324850586364757E-3</v>
      </c>
      <c r="AM44" s="55">
        <v>5.4768769151547084E-3</v>
      </c>
      <c r="AN44" s="55">
        <v>6.3675364457752839E-3</v>
      </c>
      <c r="AO44" s="55">
        <v>3.2016225558055597E-2</v>
      </c>
      <c r="AP44" s="55">
        <v>4.9596206634707138E-2</v>
      </c>
      <c r="AQ44" s="55">
        <v>6.618679744615605E-3</v>
      </c>
      <c r="AR44" s="55">
        <v>1.0105720162793606</v>
      </c>
      <c r="AS44" s="55">
        <v>1.5343560274631738E-2</v>
      </c>
      <c r="AT44" s="55">
        <v>5.6674008953737448E-2</v>
      </c>
      <c r="AU44" s="55">
        <v>7.6446473268312063E-3</v>
      </c>
      <c r="AV44" s="55">
        <v>8.3368341933918854E-3</v>
      </c>
      <c r="AW44" s="55">
        <v>1.8024810445375475E-2</v>
      </c>
      <c r="AX44" s="55">
        <v>2.8254646583715758E-3</v>
      </c>
      <c r="AY44" s="55">
        <v>7.1517898076164967E-3</v>
      </c>
      <c r="AZ44" s="55">
        <v>5.1133905040355613E-3</v>
      </c>
      <c r="BA44" s="55">
        <v>3.1408081266208462E-2</v>
      </c>
      <c r="BB44" s="55">
        <v>8.1402849374817097E-3</v>
      </c>
      <c r="BC44" s="55">
        <v>8.3140556072553023E-3</v>
      </c>
      <c r="BD44" s="55">
        <v>7.4997263767966884E-3</v>
      </c>
      <c r="BE44" s="55">
        <v>2.3019468012902965E-2</v>
      </c>
      <c r="BF44" s="55">
        <v>2.3653438634053867E-2</v>
      </c>
      <c r="BG44" s="55">
        <v>4.2040310520819113E-3</v>
      </c>
      <c r="BH44" s="55">
        <v>8.3011297701501233E-3</v>
      </c>
      <c r="BI44" s="55">
        <v>1.2624354178205937E-2</v>
      </c>
      <c r="BJ44" s="55">
        <v>4.0666724254481484E-3</v>
      </c>
      <c r="BK44" s="55">
        <v>6.7709040913935988E-3</v>
      </c>
      <c r="BL44" s="55">
        <v>4.3641399289871237E-3</v>
      </c>
      <c r="BM44" s="67">
        <v>6.7145758719368903E-3</v>
      </c>
    </row>
    <row r="45" spans="1:65" x14ac:dyDescent="0.25">
      <c r="A45" s="53" t="s">
        <v>104</v>
      </c>
      <c r="B45" s="54" t="s">
        <v>11</v>
      </c>
      <c r="C45" s="55">
        <v>1.4818326442207026E-2</v>
      </c>
      <c r="D45" s="55">
        <v>1.2269274764659574E-2</v>
      </c>
      <c r="E45" s="55">
        <v>1.8054751426746132E-2</v>
      </c>
      <c r="F45" s="55">
        <v>1.4287392698303904E-2</v>
      </c>
      <c r="G45" s="55">
        <v>1.3999891349398145E-2</v>
      </c>
      <c r="H45" s="55">
        <v>2.394518376025729E-2</v>
      </c>
      <c r="I45" s="55">
        <v>2.3751287866327346E-2</v>
      </c>
      <c r="J45" s="55">
        <v>2.9048291159224242E-2</v>
      </c>
      <c r="K45" s="55">
        <v>2.651809439939105E-2</v>
      </c>
      <c r="L45" s="55">
        <v>2.3742907940349479E-2</v>
      </c>
      <c r="M45" s="55">
        <v>2.2682105561158909E-2</v>
      </c>
      <c r="N45" s="55">
        <v>3.1346983286236252E-2</v>
      </c>
      <c r="O45" s="55">
        <v>2.1881210298226591E-2</v>
      </c>
      <c r="P45" s="55">
        <v>4.3563358948639939E-3</v>
      </c>
      <c r="Q45" s="55">
        <v>1.5848712874994165E-2</v>
      </c>
      <c r="R45" s="55">
        <v>1.5059588493258124E-2</v>
      </c>
      <c r="S45" s="55">
        <v>1.2700355153509816E-2</v>
      </c>
      <c r="T45" s="55">
        <v>1.4232481171834876E-2</v>
      </c>
      <c r="U45" s="55">
        <v>2.3290767331708748E-2</v>
      </c>
      <c r="V45" s="55">
        <v>3.2813365806435082E-2</v>
      </c>
      <c r="W45" s="55">
        <v>2.0334209706657145E-2</v>
      </c>
      <c r="X45" s="55">
        <v>3.4099335520092172E-2</v>
      </c>
      <c r="Y45" s="55">
        <v>4.5088168940593844E-2</v>
      </c>
      <c r="Z45" s="55">
        <v>3.1507102817147851E-2</v>
      </c>
      <c r="AA45" s="55">
        <v>1.5159963673937805E-2</v>
      </c>
      <c r="AB45" s="55">
        <v>3.6511787526403147E-2</v>
      </c>
      <c r="AC45" s="55">
        <v>1.0303870105036032E-2</v>
      </c>
      <c r="AD45" s="55">
        <v>1.007234768894045E-2</v>
      </c>
      <c r="AE45" s="55">
        <v>1.6830466574248883E-2</v>
      </c>
      <c r="AF45" s="55">
        <v>1.2471837900153004E-2</v>
      </c>
      <c r="AG45" s="55">
        <v>2.4281004401959138E-2</v>
      </c>
      <c r="AH45" s="55">
        <v>1.8096087663651901E-2</v>
      </c>
      <c r="AI45" s="55">
        <v>4.4787354679825822E-2</v>
      </c>
      <c r="AJ45" s="55">
        <v>2.093904206227595E-2</v>
      </c>
      <c r="AK45" s="55">
        <v>4.321817663705859E-2</v>
      </c>
      <c r="AL45" s="55">
        <v>5.9476036643806738E-3</v>
      </c>
      <c r="AM45" s="55">
        <v>1.6143976862598979E-2</v>
      </c>
      <c r="AN45" s="55">
        <v>1.4737602511637195E-2</v>
      </c>
      <c r="AO45" s="55">
        <v>4.2339569954080759E-2</v>
      </c>
      <c r="AP45" s="55">
        <v>6.4331905598966954E-2</v>
      </c>
      <c r="AQ45" s="55">
        <v>1.2673460690429598E-2</v>
      </c>
      <c r="AR45" s="55">
        <v>3.0965781660593512E-2</v>
      </c>
      <c r="AS45" s="55">
        <v>1.0668500985809941</v>
      </c>
      <c r="AT45" s="55">
        <v>5.1319448973638909E-2</v>
      </c>
      <c r="AU45" s="55">
        <v>2.566590421814241E-2</v>
      </c>
      <c r="AV45" s="55">
        <v>3.0338829551341498E-2</v>
      </c>
      <c r="AW45" s="55">
        <v>1.7434828529008791E-2</v>
      </c>
      <c r="AX45" s="55">
        <v>9.3410070193877884E-3</v>
      </c>
      <c r="AY45" s="55">
        <v>2.1386707095742339E-2</v>
      </c>
      <c r="AZ45" s="55">
        <v>1.2763672970397016E-2</v>
      </c>
      <c r="BA45" s="55">
        <v>3.6399092318674373E-2</v>
      </c>
      <c r="BB45" s="55">
        <v>2.4115552699132018E-2</v>
      </c>
      <c r="BC45" s="55">
        <v>1.5781298007046675E-2</v>
      </c>
      <c r="BD45" s="55">
        <v>1.6789520081263703E-2</v>
      </c>
      <c r="BE45" s="55">
        <v>3.1025501757867339E-2</v>
      </c>
      <c r="BF45" s="55">
        <v>2.9393898686284638E-2</v>
      </c>
      <c r="BG45" s="55">
        <v>1.3824568377052919E-2</v>
      </c>
      <c r="BH45" s="55">
        <v>2.8913047108472475E-2</v>
      </c>
      <c r="BI45" s="55">
        <v>1.4570467401995853E-2</v>
      </c>
      <c r="BJ45" s="55">
        <v>1.4112691873284946E-2</v>
      </c>
      <c r="BK45" s="55">
        <v>1.5917510584731957E-2</v>
      </c>
      <c r="BL45" s="55">
        <v>1.4615732173444182E-2</v>
      </c>
      <c r="BM45" s="67">
        <v>2.3301788397671656E-2</v>
      </c>
    </row>
    <row r="46" spans="1:65" x14ac:dyDescent="0.25">
      <c r="A46" s="53" t="s">
        <v>105</v>
      </c>
      <c r="B46" s="54" t="s">
        <v>152</v>
      </c>
      <c r="C46" s="55">
        <v>1.2720884101676995E-2</v>
      </c>
      <c r="D46" s="55">
        <v>1.2766798691675241E-2</v>
      </c>
      <c r="E46" s="55">
        <v>1.4891925729625926E-2</v>
      </c>
      <c r="F46" s="55">
        <v>1.0889207771028907E-2</v>
      </c>
      <c r="G46" s="55">
        <v>1.0931725036764704E-2</v>
      </c>
      <c r="H46" s="55">
        <v>1.0970778820466327E-2</v>
      </c>
      <c r="I46" s="55">
        <v>1.5143130821838595E-2</v>
      </c>
      <c r="J46" s="55">
        <v>3.167333770904792E-2</v>
      </c>
      <c r="K46" s="55">
        <v>1.7222501505440847E-2</v>
      </c>
      <c r="L46" s="55">
        <v>1.6050896011250863E-2</v>
      </c>
      <c r="M46" s="55">
        <v>7.9307504964800629E-2</v>
      </c>
      <c r="N46" s="55">
        <v>3.0378403713059818E-2</v>
      </c>
      <c r="O46" s="55">
        <v>2.8483001561919987E-2</v>
      </c>
      <c r="P46" s="55">
        <v>5.2100692027416285E-3</v>
      </c>
      <c r="Q46" s="55">
        <v>2.2422754290748123E-2</v>
      </c>
      <c r="R46" s="55">
        <v>2.3969616068277542E-2</v>
      </c>
      <c r="S46" s="55">
        <v>1.2117398067080046E-2</v>
      </c>
      <c r="T46" s="55">
        <v>1.1635457525994569E-2</v>
      </c>
      <c r="U46" s="55">
        <v>2.8051999024206877E-2</v>
      </c>
      <c r="V46" s="55">
        <v>2.6807567607061489E-2</v>
      </c>
      <c r="W46" s="55">
        <v>1.3869907631826774E-2</v>
      </c>
      <c r="X46" s="55">
        <v>3.519685320919546E-2</v>
      </c>
      <c r="Y46" s="55">
        <v>2.6466533383103362E-2</v>
      </c>
      <c r="Z46" s="55">
        <v>1.2193768003916469E-2</v>
      </c>
      <c r="AA46" s="55">
        <v>7.7327121525065873E-3</v>
      </c>
      <c r="AB46" s="55">
        <v>3.8906370346150916E-2</v>
      </c>
      <c r="AC46" s="55">
        <v>9.0841803111220958E-3</v>
      </c>
      <c r="AD46" s="55">
        <v>8.3574343083734834E-3</v>
      </c>
      <c r="AE46" s="55">
        <v>2.3098013852197542E-2</v>
      </c>
      <c r="AF46" s="55">
        <v>1.6480461663714835E-2</v>
      </c>
      <c r="AG46" s="55">
        <v>2.6318295875289967E-2</v>
      </c>
      <c r="AH46" s="55">
        <v>1.9791680829938142E-2</v>
      </c>
      <c r="AI46" s="55">
        <v>3.4747298681602833E-2</v>
      </c>
      <c r="AJ46" s="55">
        <v>1.8778171951301093E-2</v>
      </c>
      <c r="AK46" s="55">
        <v>6.0384461252537706E-2</v>
      </c>
      <c r="AL46" s="55">
        <v>4.0365179986400187E-3</v>
      </c>
      <c r="AM46" s="55">
        <v>1.8941910975175426E-2</v>
      </c>
      <c r="AN46" s="55">
        <v>1.2197922612474774E-2</v>
      </c>
      <c r="AO46" s="55">
        <v>2.5887120804343432E-2</v>
      </c>
      <c r="AP46" s="55">
        <v>2.6384304479439728E-2</v>
      </c>
      <c r="AQ46" s="55">
        <v>9.1641186942528537E-3</v>
      </c>
      <c r="AR46" s="55">
        <v>1.6173221134505339E-2</v>
      </c>
      <c r="AS46" s="55">
        <v>2.7386228079688296E-2</v>
      </c>
      <c r="AT46" s="55">
        <v>1.0269991658267452</v>
      </c>
      <c r="AU46" s="55">
        <v>2.5713126391306306E-2</v>
      </c>
      <c r="AV46" s="55">
        <v>1.8205983044654411E-2</v>
      </c>
      <c r="AW46" s="55">
        <v>1.5897793084542769E-2</v>
      </c>
      <c r="AX46" s="55">
        <v>6.1738205436676873E-3</v>
      </c>
      <c r="AY46" s="55">
        <v>1.8954054490510703E-2</v>
      </c>
      <c r="AZ46" s="55">
        <v>9.9935546340427072E-3</v>
      </c>
      <c r="BA46" s="55">
        <v>5.3744987909013019E-2</v>
      </c>
      <c r="BB46" s="55">
        <v>1.7997862239157829E-2</v>
      </c>
      <c r="BC46" s="55">
        <v>1.6634680670377485E-2</v>
      </c>
      <c r="BD46" s="55">
        <v>1.1374796112842147E-2</v>
      </c>
      <c r="BE46" s="55">
        <v>4.0712025369810917E-2</v>
      </c>
      <c r="BF46" s="55">
        <v>3.5141673724351695E-2</v>
      </c>
      <c r="BG46" s="55">
        <v>1.4185134413852741E-2</v>
      </c>
      <c r="BH46" s="55">
        <v>3.3566821236699906E-2</v>
      </c>
      <c r="BI46" s="55">
        <v>8.5986535448402488E-3</v>
      </c>
      <c r="BJ46" s="55">
        <v>8.4729369388370536E-3</v>
      </c>
      <c r="BK46" s="55">
        <v>9.2700876371345966E-3</v>
      </c>
      <c r="BL46" s="55">
        <v>8.8294971094699942E-3</v>
      </c>
      <c r="BM46" s="67">
        <v>1.3989860008871641E-2</v>
      </c>
    </row>
    <row r="47" spans="1:65" x14ac:dyDescent="0.25">
      <c r="A47" s="53" t="s">
        <v>106</v>
      </c>
      <c r="B47" s="56" t="s">
        <v>153</v>
      </c>
      <c r="C47" s="55">
        <v>2.3568215072792146E-3</v>
      </c>
      <c r="D47" s="55">
        <v>2.6853394310954403E-3</v>
      </c>
      <c r="E47" s="55">
        <v>2.6186061019554479E-3</v>
      </c>
      <c r="F47" s="55">
        <v>2.0819319751171628E-3</v>
      </c>
      <c r="G47" s="55">
        <v>5.9080878366848813E-3</v>
      </c>
      <c r="H47" s="55">
        <v>2.2431131349302004E-3</v>
      </c>
      <c r="I47" s="55">
        <v>2.7563391945291853E-3</v>
      </c>
      <c r="J47" s="55">
        <v>3.0682294143240946E-3</v>
      </c>
      <c r="K47" s="55">
        <v>3.420174321999426E-3</v>
      </c>
      <c r="L47" s="55">
        <v>2.9758245518670089E-3</v>
      </c>
      <c r="M47" s="55">
        <v>2.6953400064046039E-3</v>
      </c>
      <c r="N47" s="55">
        <v>3.4561899145784569E-3</v>
      </c>
      <c r="O47" s="55">
        <v>3.0770805196429873E-3</v>
      </c>
      <c r="P47" s="55">
        <v>5.1695385677045505E-4</v>
      </c>
      <c r="Q47" s="55">
        <v>2.1806184136447079E-3</v>
      </c>
      <c r="R47" s="55">
        <v>3.1065187908197581E-2</v>
      </c>
      <c r="S47" s="55">
        <v>4.322994069090277E-3</v>
      </c>
      <c r="T47" s="55">
        <v>2.5941869536014865E-3</v>
      </c>
      <c r="U47" s="55">
        <v>1.7754098072384913E-2</v>
      </c>
      <c r="V47" s="55">
        <v>1.8067409485384697E-2</v>
      </c>
      <c r="W47" s="55">
        <v>6.3744814123640548E-3</v>
      </c>
      <c r="X47" s="55">
        <v>4.1494478922966069E-3</v>
      </c>
      <c r="Y47" s="55">
        <v>4.0943659029291342E-3</v>
      </c>
      <c r="Z47" s="55">
        <v>2.4158955115867018E-3</v>
      </c>
      <c r="AA47" s="55">
        <v>1.1510675889930648E-3</v>
      </c>
      <c r="AB47" s="55">
        <v>2.0052222535384468E-3</v>
      </c>
      <c r="AC47" s="55">
        <v>1.9853059389084993E-3</v>
      </c>
      <c r="AD47" s="55">
        <v>2.0131962756747067E-3</v>
      </c>
      <c r="AE47" s="55">
        <v>1.6949229055263841E-3</v>
      </c>
      <c r="AF47" s="55">
        <v>1.2674685974068069E-3</v>
      </c>
      <c r="AG47" s="55">
        <v>2.3030727678556144E-3</v>
      </c>
      <c r="AH47" s="55">
        <v>1.8894769228020867E-3</v>
      </c>
      <c r="AI47" s="55">
        <v>3.5319180387381106E-3</v>
      </c>
      <c r="AJ47" s="55">
        <v>1.7719133636516832E-3</v>
      </c>
      <c r="AK47" s="55">
        <v>4.2600715065971078E-3</v>
      </c>
      <c r="AL47" s="55">
        <v>6.6224056360866292E-4</v>
      </c>
      <c r="AM47" s="55">
        <v>2.5158057538059073E-3</v>
      </c>
      <c r="AN47" s="55">
        <v>6.2238449828554846E-3</v>
      </c>
      <c r="AO47" s="55">
        <v>5.8237145513193624E-3</v>
      </c>
      <c r="AP47" s="55">
        <v>4.7355581614601143E-3</v>
      </c>
      <c r="AQ47" s="55">
        <v>1.956055518420677E-3</v>
      </c>
      <c r="AR47" s="55">
        <v>4.167425541415427E-3</v>
      </c>
      <c r="AS47" s="55">
        <v>7.9850578452427233E-3</v>
      </c>
      <c r="AT47" s="55">
        <v>2.9232759993600629E-3</v>
      </c>
      <c r="AU47" s="55">
        <v>1.0039463624031824</v>
      </c>
      <c r="AV47" s="55">
        <v>5.2525967041349778E-3</v>
      </c>
      <c r="AW47" s="55">
        <v>3.0573149251810873E-3</v>
      </c>
      <c r="AX47" s="55">
        <v>1.3461656418324362E-3</v>
      </c>
      <c r="AY47" s="55">
        <v>2.5433400645914761E-3</v>
      </c>
      <c r="AZ47" s="55">
        <v>1.8005315553546349E-3</v>
      </c>
      <c r="BA47" s="55">
        <v>3.6269050955721224E-3</v>
      </c>
      <c r="BB47" s="55">
        <v>3.3166178093610426E-3</v>
      </c>
      <c r="BC47" s="55">
        <v>1.8500355146015487E-3</v>
      </c>
      <c r="BD47" s="55">
        <v>2.2027251918881421E-3</v>
      </c>
      <c r="BE47" s="55">
        <v>1.3110809542772712E-2</v>
      </c>
      <c r="BF47" s="55">
        <v>2.8404224473587191E-3</v>
      </c>
      <c r="BG47" s="55">
        <v>2.0785437703468904E-3</v>
      </c>
      <c r="BH47" s="55">
        <v>3.48033292475021E-3</v>
      </c>
      <c r="BI47" s="55">
        <v>2.5437847927327673E-3</v>
      </c>
      <c r="BJ47" s="55">
        <v>2.0714106387266788E-3</v>
      </c>
      <c r="BK47" s="55">
        <v>2.7679821609074562E-3</v>
      </c>
      <c r="BL47" s="55">
        <v>2.1361015686692966E-3</v>
      </c>
      <c r="BM47" s="67">
        <v>3.4201534917420355E-3</v>
      </c>
    </row>
    <row r="48" spans="1:65" x14ac:dyDescent="0.25">
      <c r="A48" s="53" t="s">
        <v>107</v>
      </c>
      <c r="B48" s="56" t="s">
        <v>154</v>
      </c>
      <c r="C48" s="55">
        <v>1.1270289471974103E-2</v>
      </c>
      <c r="D48" s="55">
        <v>1.0263822993123268E-2</v>
      </c>
      <c r="E48" s="55">
        <v>1.7881084106306962E-2</v>
      </c>
      <c r="F48" s="55">
        <v>1.2124431149272996E-2</v>
      </c>
      <c r="G48" s="55">
        <v>1.165625811195157E-2</v>
      </c>
      <c r="H48" s="55">
        <v>1.6194137322740026E-2</v>
      </c>
      <c r="I48" s="55">
        <v>2.2243567612627493E-2</v>
      </c>
      <c r="J48" s="55">
        <v>2.2231030411447063E-2</v>
      </c>
      <c r="K48" s="55">
        <v>3.1147723484863856E-2</v>
      </c>
      <c r="L48" s="55">
        <v>2.2343874933188644E-2</v>
      </c>
      <c r="M48" s="55">
        <v>2.448269835106635E-2</v>
      </c>
      <c r="N48" s="55">
        <v>2.5920066728387169E-2</v>
      </c>
      <c r="O48" s="55">
        <v>2.7400171559335391E-2</v>
      </c>
      <c r="P48" s="55">
        <v>5.0372901937069106E-3</v>
      </c>
      <c r="Q48" s="55">
        <v>1.6873527797644061E-2</v>
      </c>
      <c r="R48" s="55">
        <v>1.3187419519388519E-2</v>
      </c>
      <c r="S48" s="55">
        <v>1.0913618439475073E-2</v>
      </c>
      <c r="T48" s="55">
        <v>1.2527937396781345E-2</v>
      </c>
      <c r="U48" s="55">
        <v>2.6653795886893206E-2</v>
      </c>
      <c r="V48" s="55">
        <v>3.2659484987303464E-2</v>
      </c>
      <c r="W48" s="55">
        <v>1.6408268923816159E-2</v>
      </c>
      <c r="X48" s="55">
        <v>4.9045755923303826E-2</v>
      </c>
      <c r="Y48" s="55">
        <v>4.1559910216816313E-2</v>
      </c>
      <c r="Z48" s="55">
        <v>1.4415644215295608E-2</v>
      </c>
      <c r="AA48" s="55">
        <v>7.2168465885169286E-3</v>
      </c>
      <c r="AB48" s="55">
        <v>1.3066869680977231E-2</v>
      </c>
      <c r="AC48" s="55">
        <v>1.7353144276741849E-2</v>
      </c>
      <c r="AD48" s="55">
        <v>1.6104524882910344E-2</v>
      </c>
      <c r="AE48" s="55">
        <v>1.3484217559611702E-2</v>
      </c>
      <c r="AF48" s="55">
        <v>9.9582596765008125E-3</v>
      </c>
      <c r="AG48" s="55">
        <v>2.9650321203309123E-2</v>
      </c>
      <c r="AH48" s="55">
        <v>2.0008352576124142E-2</v>
      </c>
      <c r="AI48" s="55">
        <v>3.419337759908362E-2</v>
      </c>
      <c r="AJ48" s="55">
        <v>1.4873832105176048E-2</v>
      </c>
      <c r="AK48" s="55">
        <v>3.0276543107406722E-2</v>
      </c>
      <c r="AL48" s="55">
        <v>1.1650453603901333E-2</v>
      </c>
      <c r="AM48" s="55">
        <v>2.0749080625517443E-2</v>
      </c>
      <c r="AN48" s="55">
        <v>1.2452694471221791E-2</v>
      </c>
      <c r="AO48" s="55">
        <v>3.1061850793113722E-2</v>
      </c>
      <c r="AP48" s="55">
        <v>2.9071002584384338E-2</v>
      </c>
      <c r="AQ48" s="55">
        <v>1.1101543564775366E-2</v>
      </c>
      <c r="AR48" s="55">
        <v>2.1915948533521971E-2</v>
      </c>
      <c r="AS48" s="55">
        <v>2.668143006115313E-2</v>
      </c>
      <c r="AT48" s="55">
        <v>1.7920322998397759E-2</v>
      </c>
      <c r="AU48" s="55">
        <v>2.3344490633584385E-2</v>
      </c>
      <c r="AV48" s="55">
        <v>1.0305302997211427</v>
      </c>
      <c r="AW48" s="55">
        <v>1.695850346835549E-2</v>
      </c>
      <c r="AX48" s="55">
        <v>8.11583524690963E-3</v>
      </c>
      <c r="AY48" s="55">
        <v>2.6431703728200997E-2</v>
      </c>
      <c r="AZ48" s="55">
        <v>1.3290464418328879E-2</v>
      </c>
      <c r="BA48" s="55">
        <v>4.1077248263302751E-2</v>
      </c>
      <c r="BB48" s="55">
        <v>2.945977085005454E-2</v>
      </c>
      <c r="BC48" s="55">
        <v>1.8145488762769686E-2</v>
      </c>
      <c r="BD48" s="55">
        <v>1.4344040780109169E-2</v>
      </c>
      <c r="BE48" s="55">
        <v>5.110691689549883E-2</v>
      </c>
      <c r="BF48" s="55">
        <v>2.0780789920667293E-2</v>
      </c>
      <c r="BG48" s="55">
        <v>1.2238928843792823E-2</v>
      </c>
      <c r="BH48" s="55">
        <v>2.4356311280716112E-2</v>
      </c>
      <c r="BI48" s="55">
        <v>1.6972434957463423E-2</v>
      </c>
      <c r="BJ48" s="55">
        <v>1.2530376301942446E-2</v>
      </c>
      <c r="BK48" s="55">
        <v>1.4585634839996862E-2</v>
      </c>
      <c r="BL48" s="55">
        <v>1.2960412080620024E-2</v>
      </c>
      <c r="BM48" s="67">
        <v>2.0689190960356416E-2</v>
      </c>
    </row>
    <row r="49" spans="1:65" x14ac:dyDescent="0.25">
      <c r="A49" s="53" t="s">
        <v>108</v>
      </c>
      <c r="B49" s="56" t="s">
        <v>155</v>
      </c>
      <c r="C49" s="55">
        <v>1.3225523132516027E-2</v>
      </c>
      <c r="D49" s="55">
        <v>5.5840804784465662E-3</v>
      </c>
      <c r="E49" s="55">
        <v>1.6123891578059941E-2</v>
      </c>
      <c r="F49" s="55">
        <v>3.5031591525988854E-3</v>
      </c>
      <c r="G49" s="55">
        <v>3.0943892079911919E-3</v>
      </c>
      <c r="H49" s="55">
        <v>4.718058583009512E-3</v>
      </c>
      <c r="I49" s="55">
        <v>7.7772301612372349E-3</v>
      </c>
      <c r="J49" s="55">
        <v>7.6510306939013041E-3</v>
      </c>
      <c r="K49" s="55">
        <v>7.0075373554362042E-3</v>
      </c>
      <c r="L49" s="55">
        <v>8.927523095181765E-3</v>
      </c>
      <c r="M49" s="55">
        <v>9.9380745886930109E-3</v>
      </c>
      <c r="N49" s="55">
        <v>5.825232707475975E-3</v>
      </c>
      <c r="O49" s="55">
        <v>6.2608545279921523E-3</v>
      </c>
      <c r="P49" s="55">
        <v>5.2964856946506053E-3</v>
      </c>
      <c r="Q49" s="55">
        <v>5.0468962948252531E-3</v>
      </c>
      <c r="R49" s="55">
        <v>3.3509159603649407E-3</v>
      </c>
      <c r="S49" s="55">
        <v>2.439429688007515E-3</v>
      </c>
      <c r="T49" s="55">
        <v>7.3108576494940961E-3</v>
      </c>
      <c r="U49" s="55">
        <v>1.7212795569727355E-2</v>
      </c>
      <c r="V49" s="55">
        <v>1.1558066451292053E-2</v>
      </c>
      <c r="W49" s="55">
        <v>1.6634821849330277E-2</v>
      </c>
      <c r="X49" s="55">
        <v>8.9394508635926486E-3</v>
      </c>
      <c r="Y49" s="55">
        <v>4.9407681010384952E-3</v>
      </c>
      <c r="Z49" s="55">
        <v>3.7214815254003877E-3</v>
      </c>
      <c r="AA49" s="55">
        <v>2.8005729078583786E-3</v>
      </c>
      <c r="AB49" s="55">
        <v>5.7404211503855225E-3</v>
      </c>
      <c r="AC49" s="55">
        <v>2.2538906742247187E-3</v>
      </c>
      <c r="AD49" s="55">
        <v>2.3271090432666602E-3</v>
      </c>
      <c r="AE49" s="55">
        <v>6.9327458402089759E-3</v>
      </c>
      <c r="AF49" s="55">
        <v>4.6917038906724457E-3</v>
      </c>
      <c r="AG49" s="55">
        <v>4.2264881257195125E-3</v>
      </c>
      <c r="AH49" s="55">
        <v>4.4936122763843712E-3</v>
      </c>
      <c r="AI49" s="55">
        <v>6.1902358155929696E-3</v>
      </c>
      <c r="AJ49" s="55">
        <v>2.9134959377705425E-3</v>
      </c>
      <c r="AK49" s="55">
        <v>5.7067160669617119E-3</v>
      </c>
      <c r="AL49" s="55">
        <v>3.011675143979486E-3</v>
      </c>
      <c r="AM49" s="55">
        <v>1.4447613469139801E-2</v>
      </c>
      <c r="AN49" s="55">
        <v>3.0715265466054603E-3</v>
      </c>
      <c r="AO49" s="55">
        <v>6.9418754615509868E-3</v>
      </c>
      <c r="AP49" s="55">
        <v>6.0626405336235379E-3</v>
      </c>
      <c r="AQ49" s="55">
        <v>2.7060826788746157E-3</v>
      </c>
      <c r="AR49" s="55">
        <v>6.9074331447738727E-3</v>
      </c>
      <c r="AS49" s="55">
        <v>6.9444942378206328E-3</v>
      </c>
      <c r="AT49" s="55">
        <v>5.6985555424804695E-3</v>
      </c>
      <c r="AU49" s="55">
        <v>5.2290759251343187E-3</v>
      </c>
      <c r="AV49" s="55">
        <v>4.6210222040235123E-3</v>
      </c>
      <c r="AW49" s="55">
        <v>1.1373035049655857</v>
      </c>
      <c r="AX49" s="55">
        <v>2.2901794445191444E-3</v>
      </c>
      <c r="AY49" s="55">
        <v>5.0608771888408241E-3</v>
      </c>
      <c r="AZ49" s="55">
        <v>2.9413630105176191E-3</v>
      </c>
      <c r="BA49" s="55">
        <v>1.6804655225298216E-2</v>
      </c>
      <c r="BB49" s="55">
        <v>1.0298338595394096E-2</v>
      </c>
      <c r="BC49" s="55">
        <v>3.7793109156594382E-3</v>
      </c>
      <c r="BD49" s="55">
        <v>3.8807534551609998E-3</v>
      </c>
      <c r="BE49" s="55">
        <v>1.230888007300847E-2</v>
      </c>
      <c r="BF49" s="55">
        <v>7.6119084553673087E-3</v>
      </c>
      <c r="BG49" s="55">
        <v>3.4355236745258425E-3</v>
      </c>
      <c r="BH49" s="55">
        <v>9.6469636669346184E-3</v>
      </c>
      <c r="BI49" s="55">
        <v>2.7136462878110802E-3</v>
      </c>
      <c r="BJ49" s="55">
        <v>3.2291985927968151E-3</v>
      </c>
      <c r="BK49" s="55">
        <v>6.7328510978852691E-3</v>
      </c>
      <c r="BL49" s="55">
        <v>5.2069362146971191E-3</v>
      </c>
      <c r="BM49" s="67">
        <v>5.3318036685722518E-3</v>
      </c>
    </row>
    <row r="50" spans="1:65" x14ac:dyDescent="0.25">
      <c r="A50" s="53" t="s">
        <v>109</v>
      </c>
      <c r="B50" s="56" t="s">
        <v>156</v>
      </c>
      <c r="C50" s="55">
        <v>4.4414841345603515E-3</v>
      </c>
      <c r="D50" s="55">
        <v>4.1832064272672642E-3</v>
      </c>
      <c r="E50" s="55">
        <v>5.2510859750962841E-3</v>
      </c>
      <c r="F50" s="55">
        <v>5.6127408433681355E-3</v>
      </c>
      <c r="G50" s="55">
        <v>4.3789990484407824E-3</v>
      </c>
      <c r="H50" s="55">
        <v>4.1048464870820185E-3</v>
      </c>
      <c r="I50" s="55">
        <v>5.7538269333433792E-3</v>
      </c>
      <c r="J50" s="55">
        <v>5.9435105472495867E-3</v>
      </c>
      <c r="K50" s="55">
        <v>5.9625821057667401E-3</v>
      </c>
      <c r="L50" s="55">
        <v>5.3381993919750861E-3</v>
      </c>
      <c r="M50" s="55">
        <v>4.507040057852311E-3</v>
      </c>
      <c r="N50" s="55">
        <v>3.9801812724846843E-3</v>
      </c>
      <c r="O50" s="55">
        <v>1.0629952499915734E-2</v>
      </c>
      <c r="P50" s="55">
        <v>1.8264912947341292E-3</v>
      </c>
      <c r="Q50" s="55">
        <v>4.5895294920263495E-3</v>
      </c>
      <c r="R50" s="55">
        <v>3.4028780722050378E-3</v>
      </c>
      <c r="S50" s="55">
        <v>3.6449064838969987E-3</v>
      </c>
      <c r="T50" s="55">
        <v>5.140289218066205E-3</v>
      </c>
      <c r="U50" s="55">
        <v>6.5686140945178636E-3</v>
      </c>
      <c r="V50" s="55">
        <v>5.3471554102675102E-3</v>
      </c>
      <c r="W50" s="55">
        <v>6.0020476292243774E-3</v>
      </c>
      <c r="X50" s="55">
        <v>6.1360818737717137E-3</v>
      </c>
      <c r="Y50" s="55">
        <v>4.1758970067049175E-3</v>
      </c>
      <c r="Z50" s="55">
        <v>3.6957295738111189E-3</v>
      </c>
      <c r="AA50" s="55">
        <v>4.1331034099056909E-3</v>
      </c>
      <c r="AB50" s="55">
        <v>9.6526401920602398E-3</v>
      </c>
      <c r="AC50" s="55">
        <v>5.1825465903060017E-3</v>
      </c>
      <c r="AD50" s="55">
        <v>5.2033987998174117E-3</v>
      </c>
      <c r="AE50" s="55">
        <v>1.076844083323752E-2</v>
      </c>
      <c r="AF50" s="55">
        <v>7.8369691164233216E-3</v>
      </c>
      <c r="AG50" s="55">
        <v>3.9680600814263932E-3</v>
      </c>
      <c r="AH50" s="55">
        <v>3.7583024392297665E-3</v>
      </c>
      <c r="AI50" s="55">
        <v>1.5152350699946311E-2</v>
      </c>
      <c r="AJ50" s="55">
        <v>9.2364282140916538E-3</v>
      </c>
      <c r="AK50" s="55">
        <v>1.1252372867987519E-2</v>
      </c>
      <c r="AL50" s="55">
        <v>1.4207506802917786E-3</v>
      </c>
      <c r="AM50" s="55">
        <v>4.0808497355653813E-3</v>
      </c>
      <c r="AN50" s="55">
        <v>3.6156204284177504E-3</v>
      </c>
      <c r="AO50" s="55">
        <v>6.4033787448399037E-3</v>
      </c>
      <c r="AP50" s="55">
        <v>1.0134247727228483E-2</v>
      </c>
      <c r="AQ50" s="55">
        <v>4.263299517018565E-3</v>
      </c>
      <c r="AR50" s="55">
        <v>6.1680668115755531E-3</v>
      </c>
      <c r="AS50" s="55">
        <v>6.9139517271571815E-3</v>
      </c>
      <c r="AT50" s="55">
        <v>6.6857476791387926E-3</v>
      </c>
      <c r="AU50" s="55">
        <v>6.8921045469633206E-3</v>
      </c>
      <c r="AV50" s="55">
        <v>6.9894953300043226E-3</v>
      </c>
      <c r="AW50" s="55">
        <v>4.8906129714288175E-3</v>
      </c>
      <c r="AX50" s="55">
        <v>1.0033302253766039</v>
      </c>
      <c r="AY50" s="55">
        <v>5.5739724526728731E-3</v>
      </c>
      <c r="AZ50" s="55">
        <v>4.7355544878676754E-3</v>
      </c>
      <c r="BA50" s="55">
        <v>1.3322570410641483E-2</v>
      </c>
      <c r="BB50" s="55">
        <v>7.2450751881627789E-3</v>
      </c>
      <c r="BC50" s="55">
        <v>4.1186696724370524E-3</v>
      </c>
      <c r="BD50" s="55">
        <v>5.9908684412990874E-3</v>
      </c>
      <c r="BE50" s="55">
        <v>5.0200294324381197E-3</v>
      </c>
      <c r="BF50" s="55">
        <v>5.4937666498795397E-3</v>
      </c>
      <c r="BG50" s="55">
        <v>4.3703051322832214E-3</v>
      </c>
      <c r="BH50" s="55">
        <v>6.6525142308586031E-3</v>
      </c>
      <c r="BI50" s="55">
        <v>2.3470326896706702E-3</v>
      </c>
      <c r="BJ50" s="55">
        <v>5.939646286516765E-3</v>
      </c>
      <c r="BK50" s="55">
        <v>5.7218227289211011E-3</v>
      </c>
      <c r="BL50" s="55">
        <v>5.982962103988335E-3</v>
      </c>
      <c r="BM50" s="67">
        <v>9.8070858605952219E-3</v>
      </c>
    </row>
    <row r="51" spans="1:65" x14ac:dyDescent="0.25">
      <c r="A51" s="53" t="s">
        <v>110</v>
      </c>
      <c r="B51" s="56" t="s">
        <v>157</v>
      </c>
      <c r="C51" s="55">
        <v>1.6857272580519732E-3</v>
      </c>
      <c r="D51" s="55">
        <v>1.6125307990544401E-3</v>
      </c>
      <c r="E51" s="55">
        <v>1.8953053732910293E-3</v>
      </c>
      <c r="F51" s="55">
        <v>1.9511289960542455E-3</v>
      </c>
      <c r="G51" s="55">
        <v>1.8869703703203479E-3</v>
      </c>
      <c r="H51" s="55">
        <v>4.5727634777622045E-3</v>
      </c>
      <c r="I51" s="55">
        <v>2.1062827165255994E-3</v>
      </c>
      <c r="J51" s="55">
        <v>1.982416676160309E-3</v>
      </c>
      <c r="K51" s="55">
        <v>1.9968330394210558E-3</v>
      </c>
      <c r="L51" s="55">
        <v>1.900770199172679E-3</v>
      </c>
      <c r="M51" s="55">
        <v>1.9241492836546666E-3</v>
      </c>
      <c r="N51" s="55">
        <v>1.5697482296088364E-3</v>
      </c>
      <c r="O51" s="55">
        <v>2.8223337729031172E-3</v>
      </c>
      <c r="P51" s="55">
        <v>8.3085485650475114E-4</v>
      </c>
      <c r="Q51" s="55">
        <v>2.0116380190518621E-3</v>
      </c>
      <c r="R51" s="55">
        <v>3.4852393345687236E-3</v>
      </c>
      <c r="S51" s="55">
        <v>1.7052294173429126E-3</v>
      </c>
      <c r="T51" s="55">
        <v>1.8548763161566686E-3</v>
      </c>
      <c r="U51" s="55">
        <v>2.4709907997042938E-3</v>
      </c>
      <c r="V51" s="55">
        <v>3.3461375994043164E-3</v>
      </c>
      <c r="W51" s="55">
        <v>2.3268146350404841E-3</v>
      </c>
      <c r="X51" s="55">
        <v>3.1374910894805233E-3</v>
      </c>
      <c r="Y51" s="55">
        <v>5.1680244052706567E-3</v>
      </c>
      <c r="Z51" s="55">
        <v>1.5163752837040185E-3</v>
      </c>
      <c r="AA51" s="55">
        <v>2.5478165390858559E-3</v>
      </c>
      <c r="AB51" s="55">
        <v>2.6611451818915606E-3</v>
      </c>
      <c r="AC51" s="55">
        <v>2.8334326055277081E-3</v>
      </c>
      <c r="AD51" s="55">
        <v>2.7999208940061638E-3</v>
      </c>
      <c r="AE51" s="55">
        <v>8.4263068202329646E-3</v>
      </c>
      <c r="AF51" s="55">
        <v>6.1358633678057009E-3</v>
      </c>
      <c r="AG51" s="55">
        <v>2.1109844239341475E-3</v>
      </c>
      <c r="AH51" s="55">
        <v>1.8707935881099134E-3</v>
      </c>
      <c r="AI51" s="55">
        <v>2.3570892866045662E-3</v>
      </c>
      <c r="AJ51" s="55">
        <v>1.3735112533362428E-3</v>
      </c>
      <c r="AK51" s="55">
        <v>2.6896447475201046E-3</v>
      </c>
      <c r="AL51" s="55">
        <v>4.192429283670626E-4</v>
      </c>
      <c r="AM51" s="55">
        <v>1.4205356258321562E-3</v>
      </c>
      <c r="AN51" s="55">
        <v>1.6718271370605058E-3</v>
      </c>
      <c r="AO51" s="55">
        <v>2.6141674082584866E-3</v>
      </c>
      <c r="AP51" s="55">
        <v>2.4951340044747218E-3</v>
      </c>
      <c r="AQ51" s="55">
        <v>2.5562419096345898E-3</v>
      </c>
      <c r="AR51" s="55">
        <v>2.2845995327213185E-3</v>
      </c>
      <c r="AS51" s="55">
        <v>3.8821189520451562E-3</v>
      </c>
      <c r="AT51" s="55">
        <v>2.4530413625168421E-3</v>
      </c>
      <c r="AU51" s="55">
        <v>4.186764390495968E-3</v>
      </c>
      <c r="AV51" s="55">
        <v>2.7665555137843445E-3</v>
      </c>
      <c r="AW51" s="55">
        <v>2.0001600906200622E-3</v>
      </c>
      <c r="AX51" s="55">
        <v>1.6598821917844161E-3</v>
      </c>
      <c r="AY51" s="55">
        <v>1.005159928464525</v>
      </c>
      <c r="AZ51" s="55">
        <v>1.6687567641098398E-3</v>
      </c>
      <c r="BA51" s="55">
        <v>4.5685819804694681E-3</v>
      </c>
      <c r="BB51" s="55">
        <v>2.6640198821899917E-3</v>
      </c>
      <c r="BC51" s="55">
        <v>1.8585930388382338E-3</v>
      </c>
      <c r="BD51" s="55">
        <v>2.5760276561490407E-3</v>
      </c>
      <c r="BE51" s="55">
        <v>2.2309582954956027E-3</v>
      </c>
      <c r="BF51" s="55">
        <v>2.2396146631494564E-3</v>
      </c>
      <c r="BG51" s="55">
        <v>1.5375083148571264E-3</v>
      </c>
      <c r="BH51" s="55">
        <v>2.5199026144823483E-3</v>
      </c>
      <c r="BI51" s="55">
        <v>1.6346814959831257E-3</v>
      </c>
      <c r="BJ51" s="55">
        <v>2.0455010968351566E-3</v>
      </c>
      <c r="BK51" s="55">
        <v>2.1087317903389258E-3</v>
      </c>
      <c r="BL51" s="55">
        <v>2.1899316211895187E-3</v>
      </c>
      <c r="BM51" s="67">
        <v>3.3773736544113761E-3</v>
      </c>
    </row>
    <row r="52" spans="1:65" x14ac:dyDescent="0.25">
      <c r="A52" s="53" t="s">
        <v>111</v>
      </c>
      <c r="B52" s="54" t="s">
        <v>158</v>
      </c>
      <c r="C52" s="55">
        <v>2.8766566188238869E-2</v>
      </c>
      <c r="D52" s="55">
        <v>2.8182129229380234E-2</v>
      </c>
      <c r="E52" s="55">
        <v>3.5397769537083797E-2</v>
      </c>
      <c r="F52" s="55">
        <v>3.9045302682875781E-2</v>
      </c>
      <c r="G52" s="55">
        <v>2.9686919014279601E-2</v>
      </c>
      <c r="H52" s="55">
        <v>2.5037521650429616E-2</v>
      </c>
      <c r="I52" s="55">
        <v>3.2212823224716303E-2</v>
      </c>
      <c r="J52" s="55">
        <v>3.409479526269342E-2</v>
      </c>
      <c r="K52" s="55">
        <v>3.4392753493443576E-2</v>
      </c>
      <c r="L52" s="55">
        <v>3.2649844002474719E-2</v>
      </c>
      <c r="M52" s="55">
        <v>2.9253332400979656E-2</v>
      </c>
      <c r="N52" s="55">
        <v>2.3761845857314945E-2</v>
      </c>
      <c r="O52" s="55">
        <v>3.3748785451468866E-2</v>
      </c>
      <c r="P52" s="55">
        <v>3.3550426103105308E-3</v>
      </c>
      <c r="Q52" s="55">
        <v>3.1258439314784475E-2</v>
      </c>
      <c r="R52" s="55">
        <v>2.2953827396453519E-2</v>
      </c>
      <c r="S52" s="55">
        <v>2.513668447705239E-2</v>
      </c>
      <c r="T52" s="55">
        <v>5.2918235802091311E-2</v>
      </c>
      <c r="U52" s="55">
        <v>4.4551753061321156E-2</v>
      </c>
      <c r="V52" s="55">
        <v>3.8390758792329005E-2</v>
      </c>
      <c r="W52" s="55">
        <v>4.0769519452299521E-2</v>
      </c>
      <c r="X52" s="55">
        <v>3.8999007464524178E-2</v>
      </c>
      <c r="Y52" s="55">
        <v>2.6389629840151953E-2</v>
      </c>
      <c r="Z52" s="55">
        <v>2.3681449656362798E-2</v>
      </c>
      <c r="AA52" s="55">
        <v>1.6119445561382381E-2</v>
      </c>
      <c r="AB52" s="55">
        <v>1.6514294809991205E-2</v>
      </c>
      <c r="AC52" s="55">
        <v>1.676754266576725E-2</v>
      </c>
      <c r="AD52" s="55">
        <v>1.8090113750172693E-2</v>
      </c>
      <c r="AE52" s="55">
        <v>1.6385570047092839E-2</v>
      </c>
      <c r="AF52" s="55">
        <v>1.3758168823073957E-2</v>
      </c>
      <c r="AG52" s="55">
        <v>2.5829682117301404E-2</v>
      </c>
      <c r="AH52" s="55">
        <v>2.4140675084551807E-2</v>
      </c>
      <c r="AI52" s="55">
        <v>2.5399186119609184E-2</v>
      </c>
      <c r="AJ52" s="55">
        <v>2.4387884986905722E-2</v>
      </c>
      <c r="AK52" s="55">
        <v>3.3460135238253315E-2</v>
      </c>
      <c r="AL52" s="55">
        <v>6.4359806501935492E-3</v>
      </c>
      <c r="AM52" s="55">
        <v>2.3743916454655952E-2</v>
      </c>
      <c r="AN52" s="55">
        <v>2.3668890517855923E-2</v>
      </c>
      <c r="AO52" s="55">
        <v>4.2095364381353237E-2</v>
      </c>
      <c r="AP52" s="55">
        <v>4.0845402300889087E-2</v>
      </c>
      <c r="AQ52" s="55">
        <v>2.961635809189073E-2</v>
      </c>
      <c r="AR52" s="55">
        <v>3.7319916531415455E-2</v>
      </c>
      <c r="AS52" s="55">
        <v>4.985289426156353E-2</v>
      </c>
      <c r="AT52" s="55">
        <v>4.503140262125048E-2</v>
      </c>
      <c r="AU52" s="55">
        <v>4.6075380264339175E-2</v>
      </c>
      <c r="AV52" s="55">
        <v>4.6600816503628406E-2</v>
      </c>
      <c r="AW52" s="55">
        <v>3.3846295726410104E-2</v>
      </c>
      <c r="AX52" s="55">
        <v>2.3117260816608146E-2</v>
      </c>
      <c r="AY52" s="55">
        <v>5.9159807874496768E-2</v>
      </c>
      <c r="AZ52" s="55">
        <v>1.150383437759948</v>
      </c>
      <c r="BA52" s="55">
        <v>6.4784056844838914E-2</v>
      </c>
      <c r="BB52" s="55">
        <v>5.6483362482308057E-2</v>
      </c>
      <c r="BC52" s="55">
        <v>2.8024655119444457E-2</v>
      </c>
      <c r="BD52" s="55">
        <v>4.3283804019180236E-2</v>
      </c>
      <c r="BE52" s="55">
        <v>2.9114335762683331E-2</v>
      </c>
      <c r="BF52" s="55">
        <v>3.5023820250784043E-2</v>
      </c>
      <c r="BG52" s="55">
        <v>2.9417847496126283E-2</v>
      </c>
      <c r="BH52" s="55">
        <v>4.2706664809902491E-2</v>
      </c>
      <c r="BI52" s="55">
        <v>2.078777596198892E-2</v>
      </c>
      <c r="BJ52" s="55">
        <v>4.1742693632546027E-2</v>
      </c>
      <c r="BK52" s="55">
        <v>3.9741920694825704E-2</v>
      </c>
      <c r="BL52" s="55">
        <v>4.3897051901739891E-2</v>
      </c>
      <c r="BM52" s="67">
        <v>6.8922316373652787E-2</v>
      </c>
    </row>
    <row r="53" spans="1:65" x14ac:dyDescent="0.25">
      <c r="A53" s="53" t="s">
        <v>112</v>
      </c>
      <c r="B53" s="54" t="s">
        <v>12</v>
      </c>
      <c r="C53" s="55">
        <v>3.2057951589969658E-2</v>
      </c>
      <c r="D53" s="55">
        <v>3.1369582593191038E-2</v>
      </c>
      <c r="E53" s="55">
        <v>3.9352027828241584E-2</v>
      </c>
      <c r="F53" s="55">
        <v>4.3907439145994667E-2</v>
      </c>
      <c r="G53" s="55">
        <v>3.3128111025366572E-2</v>
      </c>
      <c r="H53" s="55">
        <v>2.7278132261241192E-2</v>
      </c>
      <c r="I53" s="55">
        <v>3.5923602250458417E-2</v>
      </c>
      <c r="J53" s="55">
        <v>3.8011708169849855E-2</v>
      </c>
      <c r="K53" s="55">
        <v>3.8338505386643386E-2</v>
      </c>
      <c r="L53" s="55">
        <v>3.6445551947251555E-2</v>
      </c>
      <c r="M53" s="55">
        <v>3.2628658126773374E-2</v>
      </c>
      <c r="N53" s="55">
        <v>2.6219170383638205E-2</v>
      </c>
      <c r="O53" s="55">
        <v>3.7559300772049116E-2</v>
      </c>
      <c r="P53" s="55">
        <v>3.687015812058709E-3</v>
      </c>
      <c r="Q53" s="55">
        <v>3.4996815357275883E-2</v>
      </c>
      <c r="R53" s="55">
        <v>2.5391236912462874E-2</v>
      </c>
      <c r="S53" s="55">
        <v>2.8065674872340358E-2</v>
      </c>
      <c r="T53" s="55">
        <v>4.0166861087862819E-2</v>
      </c>
      <c r="U53" s="55">
        <v>4.9875039679017179E-2</v>
      </c>
      <c r="V53" s="55">
        <v>3.9208794948953012E-2</v>
      </c>
      <c r="W53" s="55">
        <v>4.2726186015770447E-2</v>
      </c>
      <c r="X53" s="55">
        <v>4.3347616440902882E-2</v>
      </c>
      <c r="Y53" s="55">
        <v>2.9006538115795785E-2</v>
      </c>
      <c r="Z53" s="55">
        <v>2.6287124513325495E-2</v>
      </c>
      <c r="AA53" s="55">
        <v>1.7947873541687968E-2</v>
      </c>
      <c r="AB53" s="55">
        <v>1.8117605329959149E-2</v>
      </c>
      <c r="AC53" s="55">
        <v>1.8720020751535844E-2</v>
      </c>
      <c r="AD53" s="55">
        <v>2.0220448094036187E-2</v>
      </c>
      <c r="AE53" s="55">
        <v>1.8000879791612422E-2</v>
      </c>
      <c r="AF53" s="55">
        <v>1.5176301021895247E-2</v>
      </c>
      <c r="AG53" s="55">
        <v>2.8822083539112035E-2</v>
      </c>
      <c r="AH53" s="55">
        <v>2.6951399801758438E-2</v>
      </c>
      <c r="AI53" s="55">
        <v>2.8080459038982347E-2</v>
      </c>
      <c r="AJ53" s="55">
        <v>2.7276049369260973E-2</v>
      </c>
      <c r="AK53" s="55">
        <v>3.7079654621829591E-2</v>
      </c>
      <c r="AL53" s="55">
        <v>6.8776437815901079E-3</v>
      </c>
      <c r="AM53" s="55">
        <v>2.6509557409916524E-2</v>
      </c>
      <c r="AN53" s="55">
        <v>2.6333039684471527E-2</v>
      </c>
      <c r="AO53" s="55">
        <v>4.6940647725352072E-2</v>
      </c>
      <c r="AP53" s="55">
        <v>4.5357620908163969E-2</v>
      </c>
      <c r="AQ53" s="55">
        <v>3.3210909098254054E-2</v>
      </c>
      <c r="AR53" s="55">
        <v>4.1650951325920865E-2</v>
      </c>
      <c r="AS53" s="55">
        <v>4.5807984326094037E-2</v>
      </c>
      <c r="AT53" s="55">
        <v>5.0256274162715983E-2</v>
      </c>
      <c r="AU53" s="55">
        <v>5.1641510131844919E-2</v>
      </c>
      <c r="AV53" s="55">
        <v>5.1803891603350576E-2</v>
      </c>
      <c r="AW53" s="55">
        <v>3.5583593328123303E-2</v>
      </c>
      <c r="AX53" s="55">
        <v>2.5969040804426049E-2</v>
      </c>
      <c r="AY53" s="55">
        <v>4.0476665872279598E-2</v>
      </c>
      <c r="AZ53" s="55">
        <v>3.7162511830933109E-2</v>
      </c>
      <c r="BA53" s="55">
        <v>1.0375053642808914</v>
      </c>
      <c r="BB53" s="55">
        <v>5.1313487194366264E-2</v>
      </c>
      <c r="BC53" s="55">
        <v>3.1420556274735612E-2</v>
      </c>
      <c r="BD53" s="55">
        <v>4.6819140167872447E-2</v>
      </c>
      <c r="BE53" s="55">
        <v>3.234887148153319E-2</v>
      </c>
      <c r="BF53" s="55">
        <v>3.9082426506157487E-2</v>
      </c>
      <c r="BG53" s="55">
        <v>3.3036454998062945E-2</v>
      </c>
      <c r="BH53" s="55">
        <v>4.7798872751460719E-2</v>
      </c>
      <c r="BI53" s="55">
        <v>1.5915663340508743E-2</v>
      </c>
      <c r="BJ53" s="55">
        <v>4.6976993907586827E-2</v>
      </c>
      <c r="BK53" s="55">
        <v>4.4643430720077058E-2</v>
      </c>
      <c r="BL53" s="55">
        <v>4.712912453074649E-2</v>
      </c>
      <c r="BM53" s="67">
        <v>7.7564789299017181E-2</v>
      </c>
    </row>
    <row r="54" spans="1:65" x14ac:dyDescent="0.25">
      <c r="A54" s="53" t="s">
        <v>113</v>
      </c>
      <c r="B54" s="54" t="s">
        <v>20</v>
      </c>
      <c r="C54" s="55">
        <v>4.8776861201281765E-3</v>
      </c>
      <c r="D54" s="55">
        <v>4.7729493002571224E-3</v>
      </c>
      <c r="E54" s="55">
        <v>5.9874954704457273E-3</v>
      </c>
      <c r="F54" s="55">
        <v>6.6806110768412143E-3</v>
      </c>
      <c r="G54" s="55">
        <v>5.0405131744304527E-3</v>
      </c>
      <c r="H54" s="55">
        <v>4.150426353357742E-3</v>
      </c>
      <c r="I54" s="55">
        <v>5.4658531625236696E-3</v>
      </c>
      <c r="J54" s="55">
        <v>5.7835629585406998E-3</v>
      </c>
      <c r="K54" s="55">
        <v>5.8332858562740991E-3</v>
      </c>
      <c r="L54" s="55">
        <v>5.5452689288213999E-3</v>
      </c>
      <c r="M54" s="55">
        <v>4.9645203442494979E-3</v>
      </c>
      <c r="N54" s="55">
        <v>3.9893030315000504E-3</v>
      </c>
      <c r="O54" s="55">
        <v>5.7147282022493341E-3</v>
      </c>
      <c r="P54" s="55">
        <v>5.6098736691581933E-4</v>
      </c>
      <c r="Q54" s="55">
        <v>5.324840548149158E-3</v>
      </c>
      <c r="R54" s="55">
        <v>3.8633311773905383E-3</v>
      </c>
      <c r="S54" s="55">
        <v>4.2702526514412972E-3</v>
      </c>
      <c r="T54" s="55">
        <v>6.1114740992585818E-3</v>
      </c>
      <c r="U54" s="55">
        <v>7.5885943024288655E-3</v>
      </c>
      <c r="V54" s="55">
        <v>5.9657022805317947E-3</v>
      </c>
      <c r="W54" s="55">
        <v>6.5008808785008013E-3</v>
      </c>
      <c r="X54" s="55">
        <v>6.5954328510679505E-3</v>
      </c>
      <c r="Y54" s="55">
        <v>4.4134070127130019E-3</v>
      </c>
      <c r="Z54" s="55">
        <v>3.9996423981389596E-3</v>
      </c>
      <c r="AA54" s="55">
        <v>2.7308074695420676E-3</v>
      </c>
      <c r="AB54" s="55">
        <v>2.7566325253155595E-3</v>
      </c>
      <c r="AC54" s="55">
        <v>2.8482913242918228E-3</v>
      </c>
      <c r="AD54" s="55">
        <v>3.076584563871877E-3</v>
      </c>
      <c r="AE54" s="55">
        <v>2.7388724842018763E-3</v>
      </c>
      <c r="AF54" s="55">
        <v>2.3091067637817085E-3</v>
      </c>
      <c r="AG54" s="55">
        <v>4.3853418530923243E-3</v>
      </c>
      <c r="AH54" s="55">
        <v>4.1007133085881244E-3</v>
      </c>
      <c r="AI54" s="55">
        <v>4.2725020941177866E-3</v>
      </c>
      <c r="AJ54" s="55">
        <v>4.1501094368737567E-3</v>
      </c>
      <c r="AK54" s="55">
        <v>5.6417490113321355E-3</v>
      </c>
      <c r="AL54" s="55">
        <v>1.0464482585077009E-3</v>
      </c>
      <c r="AM54" s="55">
        <v>4.0334860406223867E-3</v>
      </c>
      <c r="AN54" s="55">
        <v>4.0066284899475321E-3</v>
      </c>
      <c r="AO54" s="55">
        <v>7.1421202704484068E-3</v>
      </c>
      <c r="AP54" s="55">
        <v>6.9012593435635776E-3</v>
      </c>
      <c r="AQ54" s="55">
        <v>5.0531110788774409E-3</v>
      </c>
      <c r="AR54" s="55">
        <v>6.3372816133437405E-3</v>
      </c>
      <c r="AS54" s="55">
        <v>6.9697831039319197E-3</v>
      </c>
      <c r="AT54" s="55">
        <v>7.646599947126193E-3</v>
      </c>
      <c r="AU54" s="55">
        <v>7.857366572085368E-3</v>
      </c>
      <c r="AV54" s="55">
        <v>7.882073261391646E-3</v>
      </c>
      <c r="AW54" s="55">
        <v>5.4141200754441871E-3</v>
      </c>
      <c r="AX54" s="55">
        <v>3.9512452793279383E-3</v>
      </c>
      <c r="AY54" s="55">
        <v>6.1586115619457421E-3</v>
      </c>
      <c r="AZ54" s="55">
        <v>5.6543559134812809E-3</v>
      </c>
      <c r="BA54" s="55">
        <v>5.706521649389896E-3</v>
      </c>
      <c r="BB54" s="55">
        <v>1.0078074571783198</v>
      </c>
      <c r="BC54" s="55">
        <v>4.780705055276716E-3</v>
      </c>
      <c r="BD54" s="55">
        <v>7.1236326348630297E-3</v>
      </c>
      <c r="BE54" s="55">
        <v>4.92195020584701E-3</v>
      </c>
      <c r="BF54" s="55">
        <v>5.9464750508157575E-3</v>
      </c>
      <c r="BG54" s="55">
        <v>5.0265675132128195E-3</v>
      </c>
      <c r="BH54" s="55">
        <v>7.2727010496366372E-3</v>
      </c>
      <c r="BI54" s="55">
        <v>2.4216023269846673E-3</v>
      </c>
      <c r="BJ54" s="55">
        <v>7.1476504200622586E-3</v>
      </c>
      <c r="BK54" s="55">
        <v>6.7925937740312692E-3</v>
      </c>
      <c r="BL54" s="55">
        <v>7.1707974207977799E-3</v>
      </c>
      <c r="BM54" s="67">
        <v>1.1801649120115871E-2</v>
      </c>
    </row>
    <row r="55" spans="1:65" x14ac:dyDescent="0.25">
      <c r="A55" s="53" t="s">
        <v>114</v>
      </c>
      <c r="B55" s="56" t="s">
        <v>21</v>
      </c>
      <c r="C55" s="55">
        <v>5.4761220332823993E-3</v>
      </c>
      <c r="D55" s="55">
        <v>5.3585352118128912E-3</v>
      </c>
      <c r="E55" s="55">
        <v>6.7220922097842575E-3</v>
      </c>
      <c r="F55" s="55">
        <v>7.5002451188309095E-3</v>
      </c>
      <c r="G55" s="55">
        <v>5.6589260919526884E-3</v>
      </c>
      <c r="H55" s="55">
        <v>4.6596358686034102E-3</v>
      </c>
      <c r="I55" s="55">
        <v>6.1364503981645299E-3</v>
      </c>
      <c r="J55" s="55">
        <v>6.4931395272536316E-3</v>
      </c>
      <c r="K55" s="55">
        <v>6.5489628519060511E-3</v>
      </c>
      <c r="L55" s="55">
        <v>6.2256095643967307E-3</v>
      </c>
      <c r="M55" s="55">
        <v>5.5736098166786086E-3</v>
      </c>
      <c r="N55" s="55">
        <v>4.4787445707276524E-3</v>
      </c>
      <c r="O55" s="55">
        <v>6.4158595390995622E-3</v>
      </c>
      <c r="P55" s="55">
        <v>6.2981405623535049E-4</v>
      </c>
      <c r="Q55" s="55">
        <v>5.9781371599755325E-3</v>
      </c>
      <c r="R55" s="55">
        <v>4.3373174208715219E-3</v>
      </c>
      <c r="S55" s="55">
        <v>4.794163473484386E-3</v>
      </c>
      <c r="T55" s="55">
        <v>6.8612815885547738E-3</v>
      </c>
      <c r="U55" s="55">
        <v>8.5196274294254866E-3</v>
      </c>
      <c r="V55" s="55">
        <v>6.697625246448769E-3</v>
      </c>
      <c r="W55" s="55">
        <v>7.2984640950137618E-3</v>
      </c>
      <c r="X55" s="55">
        <v>7.4046165057087892E-3</v>
      </c>
      <c r="Y55" s="55">
        <v>4.9548812262494709E-3</v>
      </c>
      <c r="Z55" s="55">
        <v>4.4903524585800233E-3</v>
      </c>
      <c r="AA55" s="55">
        <v>3.0658460967591949E-3</v>
      </c>
      <c r="AB55" s="55">
        <v>3.0948395894622987E-3</v>
      </c>
      <c r="AC55" s="55">
        <v>3.1977438674860199E-3</v>
      </c>
      <c r="AD55" s="55">
        <v>3.4540460584275112E-3</v>
      </c>
      <c r="AE55" s="55">
        <v>3.0749005958371641E-3</v>
      </c>
      <c r="AF55" s="55">
        <v>2.592407570910722E-3</v>
      </c>
      <c r="AG55" s="55">
        <v>4.9233727947552482E-3</v>
      </c>
      <c r="AH55" s="55">
        <v>4.6038236057599578E-3</v>
      </c>
      <c r="AI55" s="55">
        <v>4.7966888968716138E-3</v>
      </c>
      <c r="AJ55" s="55">
        <v>4.6592800701166035E-3</v>
      </c>
      <c r="AK55" s="55">
        <v>6.333926641920379E-3</v>
      </c>
      <c r="AL55" s="55">
        <v>1.1748354084238268E-3</v>
      </c>
      <c r="AM55" s="55">
        <v>4.5283483262364603E-3</v>
      </c>
      <c r="AN55" s="55">
        <v>4.4981956633983059E-3</v>
      </c>
      <c r="AO55" s="55">
        <v>8.0183761755312794E-3</v>
      </c>
      <c r="AP55" s="55">
        <v>7.747964386788265E-3</v>
      </c>
      <c r="AQ55" s="55">
        <v>5.6730696141917801E-3</v>
      </c>
      <c r="AR55" s="55">
        <v>7.1147930841099598E-3</v>
      </c>
      <c r="AS55" s="55">
        <v>7.8248952234011345E-3</v>
      </c>
      <c r="AT55" s="55">
        <v>8.5847496987061997E-3</v>
      </c>
      <c r="AU55" s="55">
        <v>8.8213749612577764E-3</v>
      </c>
      <c r="AV55" s="55">
        <v>8.8491128768077871E-3</v>
      </c>
      <c r="AW55" s="55">
        <v>6.0783702570835728E-3</v>
      </c>
      <c r="AX55" s="55">
        <v>4.4360175706554487E-3</v>
      </c>
      <c r="AY55" s="55">
        <v>6.9142022750558977E-3</v>
      </c>
      <c r="AZ55" s="55">
        <v>6.3480802657760599E-3</v>
      </c>
      <c r="BA55" s="55">
        <v>6.4066461367148914E-3</v>
      </c>
      <c r="BB55" s="55">
        <v>8.765342259657749E-3</v>
      </c>
      <c r="BC55" s="55">
        <v>1.0053672425086544</v>
      </c>
      <c r="BD55" s="55">
        <v>7.9976203199721031E-3</v>
      </c>
      <c r="BE55" s="55">
        <v>5.525816812552378E-3</v>
      </c>
      <c r="BF55" s="55">
        <v>6.6760390570766237E-3</v>
      </c>
      <c r="BG55" s="55">
        <v>5.6432694587086113E-3</v>
      </c>
      <c r="BH55" s="55">
        <v>8.1649777124946834E-3</v>
      </c>
      <c r="BI55" s="55">
        <v>2.7187050441655298E-3</v>
      </c>
      <c r="BJ55" s="55">
        <v>8.0245848108148818E-3</v>
      </c>
      <c r="BK55" s="55">
        <v>7.6259668033194419E-3</v>
      </c>
      <c r="BL55" s="55">
        <v>8.0505716819686286E-3</v>
      </c>
      <c r="BM55" s="67">
        <v>1.3249575553671766E-2</v>
      </c>
    </row>
    <row r="56" spans="1:65" x14ac:dyDescent="0.25">
      <c r="A56" s="53" t="s">
        <v>115</v>
      </c>
      <c r="B56" s="56" t="s">
        <v>159</v>
      </c>
      <c r="C56" s="55">
        <v>3.8202911387561623E-3</v>
      </c>
      <c r="D56" s="55">
        <v>3.6275110315373378E-3</v>
      </c>
      <c r="E56" s="55">
        <v>7.7404980953319647E-3</v>
      </c>
      <c r="F56" s="55">
        <v>5.6037785927089941E-3</v>
      </c>
      <c r="G56" s="55">
        <v>4.1428910940973394E-3</v>
      </c>
      <c r="H56" s="55">
        <v>1.4809796568648871E-2</v>
      </c>
      <c r="I56" s="55">
        <v>4.6298706245457453E-3</v>
      </c>
      <c r="J56" s="55">
        <v>4.9912064912338884E-3</v>
      </c>
      <c r="K56" s="55">
        <v>5.3202901867454404E-3</v>
      </c>
      <c r="L56" s="55">
        <v>6.4154489262303353E-3</v>
      </c>
      <c r="M56" s="55">
        <v>6.2014486053564716E-3</v>
      </c>
      <c r="N56" s="55">
        <v>4.6251752747647383E-3</v>
      </c>
      <c r="O56" s="55">
        <v>5.51823202787798E-3</v>
      </c>
      <c r="P56" s="55">
        <v>9.7622727926617375E-4</v>
      </c>
      <c r="Q56" s="55">
        <v>4.4739404561742043E-3</v>
      </c>
      <c r="R56" s="55">
        <v>3.2785228737161848E-3</v>
      </c>
      <c r="S56" s="55">
        <v>3.1062874902749956E-3</v>
      </c>
      <c r="T56" s="55">
        <v>4.369424668882081E-3</v>
      </c>
      <c r="U56" s="55">
        <v>5.7706313586551412E-3</v>
      </c>
      <c r="V56" s="55">
        <v>4.9289203129024971E-3</v>
      </c>
      <c r="W56" s="55">
        <v>5.3703041689133028E-3</v>
      </c>
      <c r="X56" s="55">
        <v>5.3438996712245977E-3</v>
      </c>
      <c r="Y56" s="55">
        <v>8.9220501537046332E-3</v>
      </c>
      <c r="Z56" s="55">
        <v>1.7879311228070016E-2</v>
      </c>
      <c r="AA56" s="55">
        <v>1.1537125449770097E-2</v>
      </c>
      <c r="AB56" s="55">
        <v>2.5168850415168138E-3</v>
      </c>
      <c r="AC56" s="55">
        <v>2.1364975884290154E-3</v>
      </c>
      <c r="AD56" s="55">
        <v>2.2858007219752267E-3</v>
      </c>
      <c r="AE56" s="55">
        <v>2.6706401490989361E-3</v>
      </c>
      <c r="AF56" s="55">
        <v>2.1687139529325467E-3</v>
      </c>
      <c r="AG56" s="55">
        <v>3.3235827492064459E-3</v>
      </c>
      <c r="AH56" s="55">
        <v>3.012010759590416E-3</v>
      </c>
      <c r="AI56" s="55">
        <v>3.6190914010889616E-3</v>
      </c>
      <c r="AJ56" s="55">
        <v>3.0086678799941613E-3</v>
      </c>
      <c r="AK56" s="55">
        <v>4.3268589446198817E-3</v>
      </c>
      <c r="AL56" s="55">
        <v>9.7795090766065605E-4</v>
      </c>
      <c r="AM56" s="55">
        <v>2.9971458349118177E-3</v>
      </c>
      <c r="AN56" s="55">
        <v>3.0359581924734817E-3</v>
      </c>
      <c r="AO56" s="55">
        <v>5.4696663367720796E-3</v>
      </c>
      <c r="AP56" s="55">
        <v>5.0142439576832771E-3</v>
      </c>
      <c r="AQ56" s="55">
        <v>3.5540923960843606E-3</v>
      </c>
      <c r="AR56" s="55">
        <v>4.6786615905257609E-3</v>
      </c>
      <c r="AS56" s="55">
        <v>5.5576930637103884E-3</v>
      </c>
      <c r="AT56" s="55">
        <v>5.4373597290542485E-3</v>
      </c>
      <c r="AU56" s="55">
        <v>5.5950271392632188E-3</v>
      </c>
      <c r="AV56" s="55">
        <v>5.6169812938542769E-3</v>
      </c>
      <c r="AW56" s="55">
        <v>3.9588817180605607E-3</v>
      </c>
      <c r="AX56" s="55">
        <v>2.8799577731321536E-3</v>
      </c>
      <c r="AY56" s="55">
        <v>5.1196057271089895E-3</v>
      </c>
      <c r="AZ56" s="55">
        <v>3.9292123670067796E-3</v>
      </c>
      <c r="BA56" s="55">
        <v>4.4260393269440887E-3</v>
      </c>
      <c r="BB56" s="55">
        <v>6.2066372989086089E-3</v>
      </c>
      <c r="BC56" s="55">
        <v>3.6786399069147443E-3</v>
      </c>
      <c r="BD56" s="55">
        <v>1.0126660623470514</v>
      </c>
      <c r="BE56" s="55">
        <v>5.3534138898783711E-3</v>
      </c>
      <c r="BF56" s="55">
        <v>8.9102818125334094E-3</v>
      </c>
      <c r="BG56" s="55">
        <v>3.6655470838751632E-3</v>
      </c>
      <c r="BH56" s="55">
        <v>5.8539664864092778E-3</v>
      </c>
      <c r="BI56" s="55">
        <v>2.0449019009824753E-3</v>
      </c>
      <c r="BJ56" s="55">
        <v>4.9293438310519279E-3</v>
      </c>
      <c r="BK56" s="55">
        <v>4.8060858637022632E-3</v>
      </c>
      <c r="BL56" s="55">
        <v>4.9641295915970173E-3</v>
      </c>
      <c r="BM56" s="67">
        <v>8.1389523644296892E-3</v>
      </c>
    </row>
    <row r="57" spans="1:65" x14ac:dyDescent="0.25">
      <c r="A57" s="53" t="s">
        <v>116</v>
      </c>
      <c r="B57" s="56" t="s">
        <v>59</v>
      </c>
      <c r="C57" s="55">
        <v>3.1865654613904157E-2</v>
      </c>
      <c r="D57" s="55">
        <v>2.6264889628286575E-2</v>
      </c>
      <c r="E57" s="55">
        <v>3.0253762560080867E-2</v>
      </c>
      <c r="F57" s="55">
        <v>2.4292762465628635E-2</v>
      </c>
      <c r="G57" s="55">
        <v>2.4710764722356112E-2</v>
      </c>
      <c r="H57" s="55">
        <v>3.7295352114032385E-2</v>
      </c>
      <c r="I57" s="55">
        <v>4.5449442571218558E-2</v>
      </c>
      <c r="J57" s="55">
        <v>5.4288788257689687E-2</v>
      </c>
      <c r="K57" s="55">
        <v>5.8190470858493805E-2</v>
      </c>
      <c r="L57" s="55">
        <v>4.9013453777654412E-2</v>
      </c>
      <c r="M57" s="55">
        <v>7.4551695183080455E-2</v>
      </c>
      <c r="N57" s="55">
        <v>6.0567817473032567E-2</v>
      </c>
      <c r="O57" s="55">
        <v>5.7564013954839656E-2</v>
      </c>
      <c r="P57" s="55">
        <v>1.5074662744473326E-2</v>
      </c>
      <c r="Q57" s="55">
        <v>3.5729562216980953E-2</v>
      </c>
      <c r="R57" s="55">
        <v>2.4260438400651056E-2</v>
      </c>
      <c r="S57" s="55">
        <v>1.8235851266781334E-2</v>
      </c>
      <c r="T57" s="55">
        <v>2.514566449099951E-2</v>
      </c>
      <c r="U57" s="55">
        <v>4.2488462599271241E-2</v>
      </c>
      <c r="V57" s="55">
        <v>4.3967195193584496E-2</v>
      </c>
      <c r="W57" s="55">
        <v>4.5251012529815712E-2</v>
      </c>
      <c r="X57" s="55">
        <v>4.991465145094285E-2</v>
      </c>
      <c r="Y57" s="55">
        <v>8.0549799656405907E-2</v>
      </c>
      <c r="Z57" s="55">
        <v>4.8472806149864933E-2</v>
      </c>
      <c r="AA57" s="55">
        <v>1.7885872494396934E-2</v>
      </c>
      <c r="AB57" s="55">
        <v>3.5831661326819836E-2</v>
      </c>
      <c r="AC57" s="55">
        <v>4.9236999343848439E-2</v>
      </c>
      <c r="AD57" s="55">
        <v>4.8049839685618739E-2</v>
      </c>
      <c r="AE57" s="55">
        <v>4.5640938772867706E-2</v>
      </c>
      <c r="AF57" s="55">
        <v>3.1698036745140823E-2</v>
      </c>
      <c r="AG57" s="55">
        <v>5.3774828647926917E-2</v>
      </c>
      <c r="AH57" s="55">
        <v>4.1465990055839577E-2</v>
      </c>
      <c r="AI57" s="55">
        <v>0.11748326049555347</v>
      </c>
      <c r="AJ57" s="55">
        <v>2.9698072008354708E-2</v>
      </c>
      <c r="AK57" s="55">
        <v>9.3255697841958599E-2</v>
      </c>
      <c r="AL57" s="55">
        <v>1.1301552221308533E-2</v>
      </c>
      <c r="AM57" s="55">
        <v>5.4730230622782379E-2</v>
      </c>
      <c r="AN57" s="55">
        <v>4.9320471279882608E-2</v>
      </c>
      <c r="AO57" s="55">
        <v>0.20867205818209378</v>
      </c>
      <c r="AP57" s="55">
        <v>5.3588525401665248E-2</v>
      </c>
      <c r="AQ57" s="55">
        <v>3.68668795224813E-2</v>
      </c>
      <c r="AR57" s="55">
        <v>7.932658662431176E-2</v>
      </c>
      <c r="AS57" s="55">
        <v>0.13210942430089367</v>
      </c>
      <c r="AT57" s="55">
        <v>4.11426845250977E-2</v>
      </c>
      <c r="AU57" s="55">
        <v>5.3786144284897495E-2</v>
      </c>
      <c r="AV57" s="55">
        <v>5.3839523002394099E-2</v>
      </c>
      <c r="AW57" s="55">
        <v>6.2653297316505763E-2</v>
      </c>
      <c r="AX57" s="55">
        <v>1.9368303367956741E-2</v>
      </c>
      <c r="AY57" s="55">
        <v>3.9674957134514896E-2</v>
      </c>
      <c r="AZ57" s="55">
        <v>2.4108824183130456E-2</v>
      </c>
      <c r="BA57" s="55">
        <v>0.1030676849241732</v>
      </c>
      <c r="BB57" s="55">
        <v>5.5337267753540469E-2</v>
      </c>
      <c r="BC57" s="55">
        <v>2.8266414591266407E-2</v>
      </c>
      <c r="BD57" s="55">
        <v>2.7972537406566397E-2</v>
      </c>
      <c r="BE57" s="55">
        <v>1.0629850622529597</v>
      </c>
      <c r="BF57" s="55">
        <v>6.2839482130890439E-2</v>
      </c>
      <c r="BG57" s="55">
        <v>3.8371157155816439E-2</v>
      </c>
      <c r="BH57" s="55">
        <v>6.9633228478437698E-2</v>
      </c>
      <c r="BI57" s="55">
        <v>1.9546325403136732E-2</v>
      </c>
      <c r="BJ57" s="55">
        <v>2.4521123207595551E-2</v>
      </c>
      <c r="BK57" s="55">
        <v>2.8172032340273843E-2</v>
      </c>
      <c r="BL57" s="55">
        <v>2.7152485100910603E-2</v>
      </c>
      <c r="BM57" s="67">
        <v>4.0487387479793989E-2</v>
      </c>
    </row>
    <row r="58" spans="1:65" x14ac:dyDescent="0.25">
      <c r="A58" s="53" t="s">
        <v>117</v>
      </c>
      <c r="B58" s="54" t="s">
        <v>160</v>
      </c>
      <c r="C58" s="55">
        <v>2.9927222803852151E-2</v>
      </c>
      <c r="D58" s="55">
        <v>2.9041593939361857E-2</v>
      </c>
      <c r="E58" s="55">
        <v>5.9960501836098704E-2</v>
      </c>
      <c r="F58" s="55">
        <v>3.426395078517528E-2</v>
      </c>
      <c r="G58" s="55">
        <v>3.3029125755179495E-2</v>
      </c>
      <c r="H58" s="55">
        <v>4.1257808122948908E-2</v>
      </c>
      <c r="I58" s="55">
        <v>5.75345747627811E-2</v>
      </c>
      <c r="J58" s="55">
        <v>5.7127564989731421E-2</v>
      </c>
      <c r="K58" s="55">
        <v>6.2799210375213382E-2</v>
      </c>
      <c r="L58" s="55">
        <v>5.3484564147593748E-2</v>
      </c>
      <c r="M58" s="55">
        <v>7.6051598076332286E-2</v>
      </c>
      <c r="N58" s="55">
        <v>5.2729532272291872E-2</v>
      </c>
      <c r="O58" s="55">
        <v>5.5009624196336274E-2</v>
      </c>
      <c r="P58" s="55">
        <v>8.1304337126869956E-3</v>
      </c>
      <c r="Q58" s="55">
        <v>4.3601454818812058E-2</v>
      </c>
      <c r="R58" s="55">
        <v>5.4853378623366179E-2</v>
      </c>
      <c r="S58" s="55">
        <v>2.6051819432521016E-2</v>
      </c>
      <c r="T58" s="55">
        <v>3.5816944204166819E-2</v>
      </c>
      <c r="U58" s="55">
        <v>6.3779869203212214E-2</v>
      </c>
      <c r="V58" s="55">
        <v>6.5714837855240946E-2</v>
      </c>
      <c r="W58" s="55">
        <v>9.4124937208363013E-2</v>
      </c>
      <c r="X58" s="55">
        <v>8.3900854630033814E-2</v>
      </c>
      <c r="Y58" s="55">
        <v>7.8813570233049746E-2</v>
      </c>
      <c r="Z58" s="55">
        <v>3.8277719371570158E-2</v>
      </c>
      <c r="AA58" s="55">
        <v>3.1713836415612817E-2</v>
      </c>
      <c r="AB58" s="55">
        <v>5.5188316933555082E-2</v>
      </c>
      <c r="AC58" s="55">
        <v>3.0336700664630088E-2</v>
      </c>
      <c r="AD58" s="55">
        <v>3.0690781484584935E-2</v>
      </c>
      <c r="AE58" s="55">
        <v>4.0953859206392669E-2</v>
      </c>
      <c r="AF58" s="55">
        <v>3.0542079808499635E-2</v>
      </c>
      <c r="AG58" s="55">
        <v>4.5904998255635383E-2</v>
      </c>
      <c r="AH58" s="55">
        <v>3.6066749446730932E-2</v>
      </c>
      <c r="AI58" s="55">
        <v>8.5525118484163734E-2</v>
      </c>
      <c r="AJ58" s="55">
        <v>3.1548220438514116E-2</v>
      </c>
      <c r="AK58" s="55">
        <v>5.8042469627575595E-2</v>
      </c>
      <c r="AL58" s="55">
        <v>9.9736632628605812E-3</v>
      </c>
      <c r="AM58" s="55">
        <v>3.2305869086190424E-2</v>
      </c>
      <c r="AN58" s="55">
        <v>4.2819348851542663E-2</v>
      </c>
      <c r="AO58" s="55">
        <v>6.4129351954025346E-2</v>
      </c>
      <c r="AP58" s="55">
        <v>5.208389055531263E-2</v>
      </c>
      <c r="AQ58" s="55">
        <v>2.9967017718803741E-2</v>
      </c>
      <c r="AR58" s="55">
        <v>4.8928921710444717E-2</v>
      </c>
      <c r="AS58" s="55">
        <v>8.9339174863723531E-2</v>
      </c>
      <c r="AT58" s="55">
        <v>5.4682809879599732E-2</v>
      </c>
      <c r="AU58" s="55">
        <v>5.3378866479568791E-2</v>
      </c>
      <c r="AV58" s="55">
        <v>5.5097992839019408E-2</v>
      </c>
      <c r="AW58" s="55">
        <v>4.6615095586976039E-2</v>
      </c>
      <c r="AX58" s="55">
        <v>2.6673391020240328E-2</v>
      </c>
      <c r="AY58" s="55">
        <v>6.5314456941952398E-2</v>
      </c>
      <c r="AZ58" s="55">
        <v>3.1638896592453843E-2</v>
      </c>
      <c r="BA58" s="55">
        <v>7.4128757386126537E-2</v>
      </c>
      <c r="BB58" s="55">
        <v>0.10364673761746936</v>
      </c>
      <c r="BC58" s="55">
        <v>4.0233267572884757E-2</v>
      </c>
      <c r="BD58" s="55">
        <v>4.251082151787855E-2</v>
      </c>
      <c r="BE58" s="55">
        <v>6.2289765550180419E-2</v>
      </c>
      <c r="BF58" s="55">
        <v>1.07142584367074</v>
      </c>
      <c r="BG58" s="55">
        <v>3.0680079711929879E-2</v>
      </c>
      <c r="BH58" s="55">
        <v>5.1661931384652027E-2</v>
      </c>
      <c r="BI58" s="55">
        <v>1.7502589703322736E-2</v>
      </c>
      <c r="BJ58" s="55">
        <v>3.5801548841858634E-2</v>
      </c>
      <c r="BK58" s="55">
        <v>3.9081681409534649E-2</v>
      </c>
      <c r="BL58" s="55">
        <v>3.7386644636332948E-2</v>
      </c>
      <c r="BM58" s="67">
        <v>5.911275629854125E-2</v>
      </c>
    </row>
    <row r="59" spans="1:65" x14ac:dyDescent="0.25">
      <c r="A59" s="53" t="s">
        <v>118</v>
      </c>
      <c r="B59" s="54" t="s">
        <v>161</v>
      </c>
      <c r="C59" s="55">
        <v>4.2096392638068204E-3</v>
      </c>
      <c r="D59" s="55">
        <v>4.0068330760831706E-3</v>
      </c>
      <c r="E59" s="55">
        <v>5.2458917447566139E-3</v>
      </c>
      <c r="F59" s="55">
        <v>5.6056459391107269E-3</v>
      </c>
      <c r="G59" s="55">
        <v>4.1895043513928533E-3</v>
      </c>
      <c r="H59" s="55">
        <v>3.5797303276385757E-3</v>
      </c>
      <c r="I59" s="55">
        <v>4.669814646562933E-3</v>
      </c>
      <c r="J59" s="55">
        <v>5.0261887826382858E-3</v>
      </c>
      <c r="K59" s="55">
        <v>5.8212579657261855E-3</v>
      </c>
      <c r="L59" s="55">
        <v>4.8919469088113624E-3</v>
      </c>
      <c r="M59" s="55">
        <v>4.522759251359405E-3</v>
      </c>
      <c r="N59" s="55">
        <v>3.6156858283400459E-3</v>
      </c>
      <c r="O59" s="55">
        <v>5.0020641853233457E-3</v>
      </c>
      <c r="P59" s="55">
        <v>5.7404590916752775E-4</v>
      </c>
      <c r="Q59" s="55">
        <v>4.5789167685299911E-3</v>
      </c>
      <c r="R59" s="55">
        <v>3.3066561197643025E-3</v>
      </c>
      <c r="S59" s="55">
        <v>3.5314782218393509E-3</v>
      </c>
      <c r="T59" s="55">
        <v>5.3151531711423915E-3</v>
      </c>
      <c r="U59" s="55">
        <v>6.6050259398680337E-3</v>
      </c>
      <c r="V59" s="55">
        <v>5.3958202068101532E-3</v>
      </c>
      <c r="W59" s="55">
        <v>5.5468066707752171E-3</v>
      </c>
      <c r="X59" s="55">
        <v>5.9489146653674847E-3</v>
      </c>
      <c r="Y59" s="55">
        <v>4.6730730285941043E-3</v>
      </c>
      <c r="Z59" s="55">
        <v>3.4055070652966499E-3</v>
      </c>
      <c r="AA59" s="55">
        <v>2.3867805299605162E-3</v>
      </c>
      <c r="AB59" s="55">
        <v>2.8056503689567543E-3</v>
      </c>
      <c r="AC59" s="55">
        <v>2.4611624412230848E-3</v>
      </c>
      <c r="AD59" s="55">
        <v>2.5998658077340435E-3</v>
      </c>
      <c r="AE59" s="55">
        <v>2.362251314205054E-3</v>
      </c>
      <c r="AF59" s="55">
        <v>1.9688611815396376E-3</v>
      </c>
      <c r="AG59" s="55">
        <v>3.9321883831427203E-3</v>
      </c>
      <c r="AH59" s="55">
        <v>3.5083082514926378E-3</v>
      </c>
      <c r="AI59" s="55">
        <v>3.8797367061662513E-3</v>
      </c>
      <c r="AJ59" s="55">
        <v>3.5730063700346974E-3</v>
      </c>
      <c r="AK59" s="55">
        <v>4.8549618133746806E-3</v>
      </c>
      <c r="AL59" s="55">
        <v>9.5731115299074287E-4</v>
      </c>
      <c r="AM59" s="55">
        <v>3.4587601970570976E-3</v>
      </c>
      <c r="AN59" s="55">
        <v>3.7298351719961295E-3</v>
      </c>
      <c r="AO59" s="55">
        <v>6.1098507685945196E-3</v>
      </c>
      <c r="AP59" s="55">
        <v>5.9386640438433931E-3</v>
      </c>
      <c r="AQ59" s="55">
        <v>4.2278414947468637E-3</v>
      </c>
      <c r="AR59" s="55">
        <v>5.5937274508920873E-3</v>
      </c>
      <c r="AS59" s="55">
        <v>6.0056737360514797E-3</v>
      </c>
      <c r="AT59" s="55">
        <v>6.6621731739779835E-3</v>
      </c>
      <c r="AU59" s="55">
        <v>6.6190682361551454E-3</v>
      </c>
      <c r="AV59" s="55">
        <v>6.5086137006488565E-3</v>
      </c>
      <c r="AW59" s="55">
        <v>4.6116247361949105E-3</v>
      </c>
      <c r="AX59" s="55">
        <v>3.2724968862104381E-3</v>
      </c>
      <c r="AY59" s="55">
        <v>5.1649401980132731E-3</v>
      </c>
      <c r="AZ59" s="55">
        <v>4.6448491508893205E-3</v>
      </c>
      <c r="BA59" s="55">
        <v>5.0718629035239344E-3</v>
      </c>
      <c r="BB59" s="55">
        <v>6.5437243745315671E-3</v>
      </c>
      <c r="BC59" s="55">
        <v>3.9897374911284636E-3</v>
      </c>
      <c r="BD59" s="55">
        <v>5.8921643929346866E-3</v>
      </c>
      <c r="BE59" s="55">
        <v>4.59301452814631E-3</v>
      </c>
      <c r="BF59" s="55">
        <v>5.2120286120570774E-3</v>
      </c>
      <c r="BG59" s="55">
        <v>1.0041792533728719</v>
      </c>
      <c r="BH59" s="55">
        <v>6.178969229524967E-3</v>
      </c>
      <c r="BI59" s="55">
        <v>2.044522935420521E-3</v>
      </c>
      <c r="BJ59" s="55">
        <v>5.8549426993772542E-3</v>
      </c>
      <c r="BK59" s="55">
        <v>5.6062997482515704E-3</v>
      </c>
      <c r="BL59" s="55">
        <v>5.8878548318191644E-3</v>
      </c>
      <c r="BM59" s="67">
        <v>9.6672298301674012E-3</v>
      </c>
    </row>
    <row r="60" spans="1:65" x14ac:dyDescent="0.25">
      <c r="A60" s="53" t="s">
        <v>119</v>
      </c>
      <c r="B60" s="54" t="s">
        <v>162</v>
      </c>
      <c r="C60" s="55">
        <v>6.2899918893796524E-3</v>
      </c>
      <c r="D60" s="55">
        <v>5.9638819209753818E-3</v>
      </c>
      <c r="E60" s="55">
        <v>7.6502245576593629E-3</v>
      </c>
      <c r="F60" s="55">
        <v>8.0258094369207462E-3</v>
      </c>
      <c r="G60" s="55">
        <v>8.0809998015785502E-3</v>
      </c>
      <c r="H60" s="55">
        <v>6.294488786162321E-3</v>
      </c>
      <c r="I60" s="55">
        <v>7.0761051657104541E-3</v>
      </c>
      <c r="J60" s="55">
        <v>7.6153635907347788E-3</v>
      </c>
      <c r="K60" s="55">
        <v>7.6676394948307809E-3</v>
      </c>
      <c r="L60" s="55">
        <v>7.244229409217982E-3</v>
      </c>
      <c r="M60" s="55">
        <v>9.9333395730293195E-3</v>
      </c>
      <c r="N60" s="55">
        <v>1.030251755431412E-2</v>
      </c>
      <c r="O60" s="55">
        <v>9.6257722870052038E-3</v>
      </c>
      <c r="P60" s="55">
        <v>1.7717736598620993E-3</v>
      </c>
      <c r="Q60" s="55">
        <v>8.0463732110191196E-3</v>
      </c>
      <c r="R60" s="55">
        <v>5.2197532102418393E-3</v>
      </c>
      <c r="S60" s="55">
        <v>5.3924967414819497E-3</v>
      </c>
      <c r="T60" s="55">
        <v>8.3776012179145667E-3</v>
      </c>
      <c r="U60" s="55">
        <v>1.5892837860832901E-2</v>
      </c>
      <c r="V60" s="55">
        <v>1.0115763185923991E-2</v>
      </c>
      <c r="W60" s="55">
        <v>9.2395100984670291E-3</v>
      </c>
      <c r="X60" s="55">
        <v>1.2661451637561457E-2</v>
      </c>
      <c r="Y60" s="55">
        <v>7.7885706049148767E-3</v>
      </c>
      <c r="Z60" s="55">
        <v>6.2872398512725924E-3</v>
      </c>
      <c r="AA60" s="55">
        <v>4.7573058332405225E-3</v>
      </c>
      <c r="AB60" s="55">
        <v>8.3370738615240955E-3</v>
      </c>
      <c r="AC60" s="55">
        <v>4.6452796891440027E-3</v>
      </c>
      <c r="AD60" s="55">
        <v>4.8544800675543237E-3</v>
      </c>
      <c r="AE60" s="55">
        <v>4.3227066295189057E-3</v>
      </c>
      <c r="AF60" s="55">
        <v>3.4262523490920802E-3</v>
      </c>
      <c r="AG60" s="55">
        <v>7.4979863853750512E-3</v>
      </c>
      <c r="AH60" s="55">
        <v>6.4998111861239655E-3</v>
      </c>
      <c r="AI60" s="55">
        <v>7.5337341842080094E-3</v>
      </c>
      <c r="AJ60" s="55">
        <v>7.7766406645602077E-3</v>
      </c>
      <c r="AK60" s="55">
        <v>8.3020414240865086E-3</v>
      </c>
      <c r="AL60" s="55">
        <v>1.5532913338043848E-3</v>
      </c>
      <c r="AM60" s="55">
        <v>5.3565661552820902E-3</v>
      </c>
      <c r="AN60" s="55">
        <v>5.9994353623443646E-3</v>
      </c>
      <c r="AO60" s="55">
        <v>1.0158236045855546E-2</v>
      </c>
      <c r="AP60" s="55">
        <v>1.100269549421113E-2</v>
      </c>
      <c r="AQ60" s="55">
        <v>6.386464769087578E-3</v>
      </c>
      <c r="AR60" s="55">
        <v>8.2656322324981008E-3</v>
      </c>
      <c r="AS60" s="55">
        <v>1.3742663613677245E-2</v>
      </c>
      <c r="AT60" s="55">
        <v>1.2177069743346801E-2</v>
      </c>
      <c r="AU60" s="55">
        <v>9.6193975483406559E-3</v>
      </c>
      <c r="AV60" s="55">
        <v>1.0283716180322778E-2</v>
      </c>
      <c r="AW60" s="55">
        <v>2.2513380969544715E-2</v>
      </c>
      <c r="AX60" s="55">
        <v>5.0667262562344145E-3</v>
      </c>
      <c r="AY60" s="55">
        <v>7.9844703468533208E-3</v>
      </c>
      <c r="AZ60" s="55">
        <v>6.702310356742347E-3</v>
      </c>
      <c r="BA60" s="55">
        <v>1.0052449396371083E-2</v>
      </c>
      <c r="BB60" s="55">
        <v>1.3582431619592293E-2</v>
      </c>
      <c r="BC60" s="55">
        <v>6.4392290236666766E-3</v>
      </c>
      <c r="BD60" s="55">
        <v>9.1258215795807854E-3</v>
      </c>
      <c r="BE60" s="55">
        <v>8.5693251257295631E-3</v>
      </c>
      <c r="BF60" s="55">
        <v>9.7407139395884867E-3</v>
      </c>
      <c r="BG60" s="55">
        <v>6.8148227440942228E-3</v>
      </c>
      <c r="BH60" s="55">
        <v>1.0169741711901723</v>
      </c>
      <c r="BI60" s="55">
        <v>3.0624628101466613E-3</v>
      </c>
      <c r="BJ60" s="55">
        <v>8.3749031987877687E-3</v>
      </c>
      <c r="BK60" s="55">
        <v>8.5374082007600924E-3</v>
      </c>
      <c r="BL60" s="55">
        <v>8.6251912120776774E-3</v>
      </c>
      <c r="BM60" s="67">
        <v>1.3827994258030369E-2</v>
      </c>
    </row>
    <row r="61" spans="1:65" x14ac:dyDescent="0.25">
      <c r="A61" s="53" t="s">
        <v>120</v>
      </c>
      <c r="B61" s="56" t="s">
        <v>22</v>
      </c>
      <c r="C61" s="55">
        <v>7.4038110734062478E-3</v>
      </c>
      <c r="D61" s="55">
        <v>6.8659774379799393E-3</v>
      </c>
      <c r="E61" s="55">
        <v>8.3699016485734683E-3</v>
      </c>
      <c r="F61" s="55">
        <v>8.3229997577242386E-3</v>
      </c>
      <c r="G61" s="55">
        <v>6.5793968764533105E-3</v>
      </c>
      <c r="H61" s="55">
        <v>5.8849083232373721E-3</v>
      </c>
      <c r="I61" s="55">
        <v>7.5128628790228002E-3</v>
      </c>
      <c r="J61" s="55">
        <v>8.3053993465534923E-3</v>
      </c>
      <c r="K61" s="55">
        <v>9.4097087789913082E-3</v>
      </c>
      <c r="L61" s="55">
        <v>8.0994771001298774E-3</v>
      </c>
      <c r="M61" s="55">
        <v>7.617732939381873E-3</v>
      </c>
      <c r="N61" s="55">
        <v>6.0427857817502185E-3</v>
      </c>
      <c r="O61" s="55">
        <v>8.3085181817391229E-3</v>
      </c>
      <c r="P61" s="55">
        <v>1.138172418180982E-3</v>
      </c>
      <c r="Q61" s="55">
        <v>7.3104043209456975E-3</v>
      </c>
      <c r="R61" s="55">
        <v>5.8467926506609886E-3</v>
      </c>
      <c r="S61" s="55">
        <v>5.4690367912675663E-3</v>
      </c>
      <c r="T61" s="55">
        <v>8.0690631636439157E-3</v>
      </c>
      <c r="U61" s="55">
        <v>1.0692268544899788E-2</v>
      </c>
      <c r="V61" s="55">
        <v>8.7760374904123917E-3</v>
      </c>
      <c r="W61" s="55">
        <v>9.0632084802826432E-3</v>
      </c>
      <c r="X61" s="55">
        <v>1.0607728541458144E-2</v>
      </c>
      <c r="Y61" s="55">
        <v>6.7338710195395399E-3</v>
      </c>
      <c r="Z61" s="55">
        <v>5.7644045974657703E-3</v>
      </c>
      <c r="AA61" s="55">
        <v>4.0357416578849295E-3</v>
      </c>
      <c r="AB61" s="55">
        <v>5.8481520283667852E-3</v>
      </c>
      <c r="AC61" s="55">
        <v>4.1147594810118111E-3</v>
      </c>
      <c r="AD61" s="55">
        <v>4.3676628211954316E-3</v>
      </c>
      <c r="AE61" s="55">
        <v>3.9683968311913526E-3</v>
      </c>
      <c r="AF61" s="55">
        <v>3.2490208574871408E-3</v>
      </c>
      <c r="AG61" s="55">
        <v>6.4830537309434047E-3</v>
      </c>
      <c r="AH61" s="55">
        <v>6.0486884075836795E-3</v>
      </c>
      <c r="AI61" s="55">
        <v>8.7660084675312833E-3</v>
      </c>
      <c r="AJ61" s="55">
        <v>6.2125388423479935E-3</v>
      </c>
      <c r="AK61" s="55">
        <v>8.2389716228778893E-3</v>
      </c>
      <c r="AL61" s="55">
        <v>4.1728168665759797E-2</v>
      </c>
      <c r="AM61" s="55">
        <v>1.0203474716307675E-2</v>
      </c>
      <c r="AN61" s="55">
        <v>6.0009914164546995E-3</v>
      </c>
      <c r="AO61" s="55">
        <v>1.0140740613859637E-2</v>
      </c>
      <c r="AP61" s="55">
        <v>1.0411103886457372E-2</v>
      </c>
      <c r="AQ61" s="55">
        <v>6.495024016318649E-3</v>
      </c>
      <c r="AR61" s="55">
        <v>9.392737349455756E-3</v>
      </c>
      <c r="AS61" s="55">
        <v>1.2465868309291219E-2</v>
      </c>
      <c r="AT61" s="55">
        <v>1.0910970605653617E-2</v>
      </c>
      <c r="AU61" s="55">
        <v>1.0734614708572019E-2</v>
      </c>
      <c r="AV61" s="55">
        <v>1.0377980176542458E-2</v>
      </c>
      <c r="AW61" s="55">
        <v>1.2571143804880655E-2</v>
      </c>
      <c r="AX61" s="55">
        <v>5.3262305811857466E-3</v>
      </c>
      <c r="AY61" s="55">
        <v>8.2894349250931688E-3</v>
      </c>
      <c r="AZ61" s="55">
        <v>7.0944206211743079E-3</v>
      </c>
      <c r="BA61" s="55">
        <v>8.4211706468366697E-3</v>
      </c>
      <c r="BB61" s="55">
        <v>1.0530062514472166E-2</v>
      </c>
      <c r="BC61" s="55">
        <v>6.3650564684170543E-3</v>
      </c>
      <c r="BD61" s="55">
        <v>9.1406311064479075E-3</v>
      </c>
      <c r="BE61" s="55">
        <v>8.1146593291830625E-3</v>
      </c>
      <c r="BF61" s="55">
        <v>8.6893836240370167E-3</v>
      </c>
      <c r="BG61" s="55">
        <v>6.6206288703639354E-3</v>
      </c>
      <c r="BH61" s="55">
        <v>1.0393399075609574E-2</v>
      </c>
      <c r="BI61" s="55">
        <v>1.0033634476212827</v>
      </c>
      <c r="BJ61" s="55">
        <v>8.8499158735791793E-3</v>
      </c>
      <c r="BK61" s="55">
        <v>8.6703630559721561E-3</v>
      </c>
      <c r="BL61" s="55">
        <v>8.9808110500645289E-3</v>
      </c>
      <c r="BM61" s="67">
        <v>1.4612298551894687E-2</v>
      </c>
    </row>
    <row r="62" spans="1:65" x14ac:dyDescent="0.25">
      <c r="A62" s="53" t="s">
        <v>121</v>
      </c>
      <c r="B62" s="56" t="s">
        <v>163</v>
      </c>
      <c r="C62" s="55">
        <v>0</v>
      </c>
      <c r="D62" s="55">
        <v>0</v>
      </c>
      <c r="E62" s="55">
        <v>0</v>
      </c>
      <c r="F62" s="55">
        <v>0</v>
      </c>
      <c r="G62" s="55">
        <v>0</v>
      </c>
      <c r="H62" s="55">
        <v>0</v>
      </c>
      <c r="I62" s="55">
        <v>0</v>
      </c>
      <c r="J62" s="55">
        <v>0</v>
      </c>
      <c r="K62" s="55">
        <v>0</v>
      </c>
      <c r="L62" s="55">
        <v>0</v>
      </c>
      <c r="M62" s="55">
        <v>0</v>
      </c>
      <c r="N62" s="55">
        <v>0</v>
      </c>
      <c r="O62" s="55">
        <v>0</v>
      </c>
      <c r="P62" s="55">
        <v>0</v>
      </c>
      <c r="Q62" s="55">
        <v>0</v>
      </c>
      <c r="R62" s="55">
        <v>0</v>
      </c>
      <c r="S62" s="55">
        <v>0</v>
      </c>
      <c r="T62" s="55">
        <v>0</v>
      </c>
      <c r="U62" s="55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0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55">
        <v>0</v>
      </c>
      <c r="AN62" s="55">
        <v>0</v>
      </c>
      <c r="AO62" s="55">
        <v>0</v>
      </c>
      <c r="AP62" s="55">
        <v>0</v>
      </c>
      <c r="AQ62" s="55">
        <v>0</v>
      </c>
      <c r="AR62" s="55">
        <v>0</v>
      </c>
      <c r="AS62" s="55">
        <v>0</v>
      </c>
      <c r="AT62" s="55">
        <v>0</v>
      </c>
      <c r="AU62" s="55">
        <v>0</v>
      </c>
      <c r="AV62" s="55">
        <v>0</v>
      </c>
      <c r="AW62" s="55">
        <v>0</v>
      </c>
      <c r="AX62" s="55">
        <v>0</v>
      </c>
      <c r="AY62" s="55">
        <v>0</v>
      </c>
      <c r="AZ62" s="55">
        <v>0</v>
      </c>
      <c r="BA62" s="55">
        <v>0</v>
      </c>
      <c r="BB62" s="55">
        <v>0</v>
      </c>
      <c r="BC62" s="55">
        <v>0</v>
      </c>
      <c r="BD62" s="55">
        <v>0</v>
      </c>
      <c r="BE62" s="55">
        <v>0</v>
      </c>
      <c r="BF62" s="55">
        <v>0</v>
      </c>
      <c r="BG62" s="55">
        <v>0</v>
      </c>
      <c r="BH62" s="55">
        <v>0</v>
      </c>
      <c r="BI62" s="55">
        <v>0</v>
      </c>
      <c r="BJ62" s="55">
        <v>1</v>
      </c>
      <c r="BK62" s="55">
        <v>0</v>
      </c>
      <c r="BL62" s="55">
        <v>0</v>
      </c>
      <c r="BM62" s="67">
        <v>0</v>
      </c>
    </row>
    <row r="63" spans="1:65" x14ac:dyDescent="0.25">
      <c r="A63" s="53" t="s">
        <v>122</v>
      </c>
      <c r="B63" s="56" t="s">
        <v>164</v>
      </c>
      <c r="C63" s="55">
        <v>7.7118285026717094E-3</v>
      </c>
      <c r="D63" s="55">
        <v>7.304087440415003E-3</v>
      </c>
      <c r="E63" s="55">
        <v>1.0528483696899392E-2</v>
      </c>
      <c r="F63" s="55">
        <v>8.6095525012088465E-3</v>
      </c>
      <c r="G63" s="55">
        <v>8.5227013268126348E-3</v>
      </c>
      <c r="H63" s="55">
        <v>9.5645444005870318E-3</v>
      </c>
      <c r="I63" s="55">
        <v>1.7988471972184748E-2</v>
      </c>
      <c r="J63" s="55">
        <v>1.1790650142917631E-2</v>
      </c>
      <c r="K63" s="55">
        <v>1.3148532895399637E-2</v>
      </c>
      <c r="L63" s="55">
        <v>1.390779831911298E-2</v>
      </c>
      <c r="M63" s="55">
        <v>1.8639452375386816E-2</v>
      </c>
      <c r="N63" s="55">
        <v>1.050780302430547E-2</v>
      </c>
      <c r="O63" s="55">
        <v>1.5064990382792404E-2</v>
      </c>
      <c r="P63" s="55">
        <v>1.6600052578545539E-3</v>
      </c>
      <c r="Q63" s="55">
        <v>1.1191859227350548E-2</v>
      </c>
      <c r="R63" s="55">
        <v>1.2906832261339578E-2</v>
      </c>
      <c r="S63" s="55">
        <v>6.0424114235214411E-3</v>
      </c>
      <c r="T63" s="55">
        <v>9.1200174492144289E-3</v>
      </c>
      <c r="U63" s="55">
        <v>1.2372732342842157E-2</v>
      </c>
      <c r="V63" s="55">
        <v>1.8695921991348646E-2</v>
      </c>
      <c r="W63" s="55">
        <v>1.0937899790156549E-2</v>
      </c>
      <c r="X63" s="55">
        <v>1.8765191245090927E-2</v>
      </c>
      <c r="Y63" s="55">
        <v>2.8430658567404305E-2</v>
      </c>
      <c r="Z63" s="55">
        <v>1.0544527354085786E-2</v>
      </c>
      <c r="AA63" s="55">
        <v>6.0875865880023047E-3</v>
      </c>
      <c r="AB63" s="55">
        <v>1.3005418870041878E-2</v>
      </c>
      <c r="AC63" s="55">
        <v>1.0650145839011943E-2</v>
      </c>
      <c r="AD63" s="55">
        <v>1.0580152100514079E-2</v>
      </c>
      <c r="AE63" s="55">
        <v>1.9123083147226647E-2</v>
      </c>
      <c r="AF63" s="55">
        <v>1.2748871687129452E-2</v>
      </c>
      <c r="AG63" s="55">
        <v>1.5255975996141565E-2</v>
      </c>
      <c r="AH63" s="55">
        <v>1.3874181917661491E-2</v>
      </c>
      <c r="AI63" s="55">
        <v>3.2294596653923889E-2</v>
      </c>
      <c r="AJ63" s="55">
        <v>1.2154549928643694E-2</v>
      </c>
      <c r="AK63" s="55">
        <v>2.7113654285550529E-2</v>
      </c>
      <c r="AL63" s="55">
        <v>3.1890503612987233E-3</v>
      </c>
      <c r="AM63" s="55">
        <v>7.0016656467522444E-3</v>
      </c>
      <c r="AN63" s="55">
        <v>9.0916299976131244E-3</v>
      </c>
      <c r="AO63" s="55">
        <v>3.0753937351769317E-2</v>
      </c>
      <c r="AP63" s="55">
        <v>1.625714525612873E-2</v>
      </c>
      <c r="AQ63" s="55">
        <v>8.3323401753312848E-3</v>
      </c>
      <c r="AR63" s="55">
        <v>1.4024162271061178E-2</v>
      </c>
      <c r="AS63" s="55">
        <v>2.2566975163012148E-2</v>
      </c>
      <c r="AT63" s="55">
        <v>1.5810730138605504E-2</v>
      </c>
      <c r="AU63" s="55">
        <v>1.221459187405128E-2</v>
      </c>
      <c r="AV63" s="55">
        <v>1.5563923348415203E-2</v>
      </c>
      <c r="AW63" s="55">
        <v>1.3894221103013128E-2</v>
      </c>
      <c r="AX63" s="55">
        <v>6.2429574489592365E-3</v>
      </c>
      <c r="AY63" s="55">
        <v>1.1346281642979423E-2</v>
      </c>
      <c r="AZ63" s="55">
        <v>8.4982747786142496E-3</v>
      </c>
      <c r="BA63" s="55">
        <v>2.7458733432139098E-2</v>
      </c>
      <c r="BB63" s="55">
        <v>1.4508510248021848E-2</v>
      </c>
      <c r="BC63" s="55">
        <v>1.3603542436649647E-2</v>
      </c>
      <c r="BD63" s="55">
        <v>1.2265683806638079E-2</v>
      </c>
      <c r="BE63" s="55">
        <v>2.3528700152391994E-2</v>
      </c>
      <c r="BF63" s="55">
        <v>1.8383578422295047E-2</v>
      </c>
      <c r="BG63" s="55">
        <v>1.0291888048864266E-2</v>
      </c>
      <c r="BH63" s="55">
        <v>1.973250269756498E-2</v>
      </c>
      <c r="BI63" s="55">
        <v>7.4676423129199287E-3</v>
      </c>
      <c r="BJ63" s="55">
        <v>8.9335489025315507E-3</v>
      </c>
      <c r="BK63" s="55">
        <v>1.011320868125609</v>
      </c>
      <c r="BL63" s="55">
        <v>9.3269631500618299E-3</v>
      </c>
      <c r="BM63" s="67">
        <v>1.4750386959209348E-2</v>
      </c>
    </row>
    <row r="64" spans="1:65" x14ac:dyDescent="0.25">
      <c r="A64" s="53" t="s">
        <v>123</v>
      </c>
      <c r="B64" s="56" t="s">
        <v>13</v>
      </c>
      <c r="C64" s="55">
        <v>5.1170969928051056E-2</v>
      </c>
      <c r="D64" s="55">
        <v>5.7455999956143949E-2</v>
      </c>
      <c r="E64" s="55">
        <v>4.8751444003428408E-2</v>
      </c>
      <c r="F64" s="55">
        <v>4.8610080556840081E-2</v>
      </c>
      <c r="G64" s="55">
        <v>5.3017208840743846E-2</v>
      </c>
      <c r="H64" s="55">
        <v>3.5112916496736701E-2</v>
      </c>
      <c r="I64" s="55">
        <v>4.6263212801169025E-2</v>
      </c>
      <c r="J64" s="55">
        <v>4.92319665261493E-2</v>
      </c>
      <c r="K64" s="55">
        <v>5.0481629847583524E-2</v>
      </c>
      <c r="L64" s="55">
        <v>4.8144067218292834E-2</v>
      </c>
      <c r="M64" s="55">
        <v>4.3869418973577358E-2</v>
      </c>
      <c r="N64" s="55">
        <v>5.4341172579265476E-2</v>
      </c>
      <c r="O64" s="55">
        <v>4.8526219367334221E-2</v>
      </c>
      <c r="P64" s="55">
        <v>1.0062250027641649E-2</v>
      </c>
      <c r="Q64" s="55">
        <v>4.5852347705551862E-2</v>
      </c>
      <c r="R64" s="55">
        <v>0.13187936135178679</v>
      </c>
      <c r="S64" s="55">
        <v>6.0351827299860814E-2</v>
      </c>
      <c r="T64" s="55">
        <v>4.8632808262612112E-2</v>
      </c>
      <c r="U64" s="55">
        <v>7.9026634790681782E-2</v>
      </c>
      <c r="V64" s="55">
        <v>5.0996261094024914E-2</v>
      </c>
      <c r="W64" s="55">
        <v>0.17073413639661897</v>
      </c>
      <c r="X64" s="55">
        <v>5.9905062778243957E-2</v>
      </c>
      <c r="Y64" s="55">
        <v>4.2595408885421411E-2</v>
      </c>
      <c r="Z64" s="55">
        <v>3.4677757977392608E-2</v>
      </c>
      <c r="AA64" s="55">
        <v>2.2662513309990733E-2</v>
      </c>
      <c r="AB64" s="55">
        <v>2.8944275776490759E-2</v>
      </c>
      <c r="AC64" s="55">
        <v>2.4512279126938572E-2</v>
      </c>
      <c r="AD64" s="55">
        <v>2.5957733901896058E-2</v>
      </c>
      <c r="AE64" s="55">
        <v>2.4806198947738552E-2</v>
      </c>
      <c r="AF64" s="55">
        <v>1.9240788089036703E-2</v>
      </c>
      <c r="AG64" s="55">
        <v>3.6950583463451904E-2</v>
      </c>
      <c r="AH64" s="55">
        <v>4.4640214715527655E-2</v>
      </c>
      <c r="AI64" s="55">
        <v>4.0812847486417982E-2</v>
      </c>
      <c r="AJ64" s="55">
        <v>3.366095805916039E-2</v>
      </c>
      <c r="AK64" s="55">
        <v>5.0464944404572616E-2</v>
      </c>
      <c r="AL64" s="55">
        <v>9.4378098211530762E-3</v>
      </c>
      <c r="AM64" s="55">
        <v>4.3183970510782897E-2</v>
      </c>
      <c r="AN64" s="55">
        <v>8.2404016453241746E-2</v>
      </c>
      <c r="AO64" s="55">
        <v>6.3018932782813647E-2</v>
      </c>
      <c r="AP64" s="55">
        <v>6.0488005524059786E-2</v>
      </c>
      <c r="AQ64" s="55">
        <v>3.7757434531269167E-2</v>
      </c>
      <c r="AR64" s="55">
        <v>5.6054490438084068E-2</v>
      </c>
      <c r="AS64" s="55">
        <v>6.3163673489191371E-2</v>
      </c>
      <c r="AT64" s="55">
        <v>6.2788016270221528E-2</v>
      </c>
      <c r="AU64" s="55">
        <v>6.1905184384002616E-2</v>
      </c>
      <c r="AV64" s="55">
        <v>6.2803856611388584E-2</v>
      </c>
      <c r="AW64" s="55">
        <v>0.15443236854979212</v>
      </c>
      <c r="AX64" s="55">
        <v>2.9453195758938903E-2</v>
      </c>
      <c r="AY64" s="55">
        <v>4.861258291753344E-2</v>
      </c>
      <c r="AZ64" s="55">
        <v>4.1144502286271818E-2</v>
      </c>
      <c r="BA64" s="55">
        <v>6.1355227152985872E-2</v>
      </c>
      <c r="BB64" s="55">
        <v>6.0480685105780432E-2</v>
      </c>
      <c r="BC64" s="55">
        <v>3.7259704370133179E-2</v>
      </c>
      <c r="BD64" s="55">
        <v>5.3956227732717833E-2</v>
      </c>
      <c r="BE64" s="55">
        <v>5.6001236477579132E-2</v>
      </c>
      <c r="BF64" s="55">
        <v>5.304724958270008E-2</v>
      </c>
      <c r="BG64" s="55">
        <v>3.8043837890378726E-2</v>
      </c>
      <c r="BH64" s="55">
        <v>5.8851922308284475E-2</v>
      </c>
      <c r="BI64" s="55">
        <v>1.9230952172479259E-2</v>
      </c>
      <c r="BJ64" s="55">
        <v>5.0989280398528555E-2</v>
      </c>
      <c r="BK64" s="55">
        <v>5.4600787557243548E-2</v>
      </c>
      <c r="BL64" s="55">
        <v>1.0520806913398815</v>
      </c>
      <c r="BM64" s="67">
        <v>8.4189567310343424E-2</v>
      </c>
    </row>
    <row r="65" spans="1:65" x14ac:dyDescent="0.25">
      <c r="A65" s="58"/>
      <c r="B65" s="59" t="s">
        <v>188</v>
      </c>
      <c r="C65" s="60">
        <v>0.5494328422044622</v>
      </c>
      <c r="D65" s="60">
        <v>0.53763506612622247</v>
      </c>
      <c r="E65" s="60">
        <v>0.67444410587184145</v>
      </c>
      <c r="F65" s="60">
        <v>0.75251810822034326</v>
      </c>
      <c r="G65" s="60">
        <v>0.56777402468930993</v>
      </c>
      <c r="H65" s="60">
        <v>0.46751276968714039</v>
      </c>
      <c r="I65" s="60">
        <v>0.61568521716988045</v>
      </c>
      <c r="J65" s="60">
        <v>0.65147271803048312</v>
      </c>
      <c r="K65" s="60">
        <v>0.65707361000087205</v>
      </c>
      <c r="L65" s="60">
        <v>0.62463077642035159</v>
      </c>
      <c r="M65" s="60">
        <v>0.55921403217540344</v>
      </c>
      <c r="N65" s="60">
        <v>0.44936349921473673</v>
      </c>
      <c r="O65" s="60">
        <v>0.64371902604207309</v>
      </c>
      <c r="P65" s="60">
        <v>6.3190799049869267E-2</v>
      </c>
      <c r="Q65" s="60">
        <v>0.59980125916307991</v>
      </c>
      <c r="R65" s="60">
        <v>0.43517376413614245</v>
      </c>
      <c r="S65" s="60">
        <v>0.48101025638584521</v>
      </c>
      <c r="T65" s="60">
        <v>0.68840931985315201</v>
      </c>
      <c r="U65" s="60">
        <v>0.85479525193607886</v>
      </c>
      <c r="V65" s="60">
        <v>0.67198927504012751</v>
      </c>
      <c r="W65" s="60">
        <v>0.73227291997490729</v>
      </c>
      <c r="X65" s="60">
        <v>0.7429234533926341</v>
      </c>
      <c r="Y65" s="60">
        <v>0.49713546527595925</v>
      </c>
      <c r="Z65" s="60">
        <v>0.45052814725872781</v>
      </c>
      <c r="AA65" s="60">
        <v>0.30760390737570581</v>
      </c>
      <c r="AB65" s="60">
        <v>0.31051289607326998</v>
      </c>
      <c r="AC65" s="60">
        <v>0.32083753632159584</v>
      </c>
      <c r="AD65" s="60">
        <v>0.34655296785806322</v>
      </c>
      <c r="AE65" s="60">
        <v>0.3085123676205489</v>
      </c>
      <c r="AF65" s="60">
        <v>0.26010265132533633</v>
      </c>
      <c r="AG65" s="60">
        <v>0.4939741465609892</v>
      </c>
      <c r="AH65" s="60">
        <v>0.46191298757535282</v>
      </c>
      <c r="AI65" s="60">
        <v>0.48126363834866137</v>
      </c>
      <c r="AJ65" s="60">
        <v>0.46747707154661866</v>
      </c>
      <c r="AK65" s="60">
        <v>0.63549849620478938</v>
      </c>
      <c r="AL65" s="60">
        <v>0.11787413677956941</v>
      </c>
      <c r="AM65" s="60">
        <v>0.45434036645903431</v>
      </c>
      <c r="AN65" s="60">
        <v>0.45131507536024013</v>
      </c>
      <c r="AO65" s="60">
        <v>0.80450347622110874</v>
      </c>
      <c r="AP65" s="60">
        <v>0.77737239390561619</v>
      </c>
      <c r="AQ65" s="60">
        <v>0.56919307919090367</v>
      </c>
      <c r="AR65" s="60">
        <v>0.71384475403227321</v>
      </c>
      <c r="AS65" s="60">
        <v>0.78509105465796614</v>
      </c>
      <c r="AT65" s="60">
        <v>0.86132912997682443</v>
      </c>
      <c r="AU65" s="60">
        <v>0.88507032671256647</v>
      </c>
      <c r="AV65" s="60">
        <v>0.88785334025478568</v>
      </c>
      <c r="AW65" s="60">
        <v>0.60985789323593609</v>
      </c>
      <c r="AX65" s="60">
        <v>0.44507659381966647</v>
      </c>
      <c r="AY65" s="60">
        <v>0.69371898297223622</v>
      </c>
      <c r="AZ65" s="60">
        <v>0.63691856422651283</v>
      </c>
      <c r="BA65" s="60">
        <v>0.64279462263619269</v>
      </c>
      <c r="BB65" s="60">
        <v>0.8794484274361466</v>
      </c>
      <c r="BC65" s="60">
        <v>0.53850869071355956</v>
      </c>
      <c r="BD65" s="60">
        <v>0.80242098999400246</v>
      </c>
      <c r="BE65" s="60">
        <v>0.55441884208742342</v>
      </c>
      <c r="BF65" s="60">
        <v>0.66982347937176612</v>
      </c>
      <c r="BG65" s="60">
        <v>0.56620315602525095</v>
      </c>
      <c r="BH65" s="60">
        <v>0.8192123703319043</v>
      </c>
      <c r="BI65" s="60">
        <v>0.27277438860070846</v>
      </c>
      <c r="BJ65" s="60">
        <v>0.80512640392603341</v>
      </c>
      <c r="BK65" s="60">
        <v>0.76513207518737647</v>
      </c>
      <c r="BL65" s="60">
        <v>0.80773373086126721</v>
      </c>
      <c r="BM65" s="68">
        <v>1.3293626238079175</v>
      </c>
    </row>
    <row r="67" spans="1:65" x14ac:dyDescent="0.25">
      <c r="A67" s="111"/>
      <c r="B67" s="112" t="s">
        <v>166</v>
      </c>
      <c r="C67" s="113">
        <v>1.8789140031777591</v>
      </c>
      <c r="D67" s="113">
        <v>1.8234871065050726</v>
      </c>
      <c r="E67" s="113">
        <v>2.055818870100603</v>
      </c>
      <c r="F67" s="113">
        <v>2.2192086036270098</v>
      </c>
      <c r="G67" s="113">
        <v>1.9579289871934813</v>
      </c>
      <c r="H67" s="113">
        <v>1.9308596265132241</v>
      </c>
      <c r="I67" s="113">
        <v>2.0447627850170607</v>
      </c>
      <c r="J67" s="113">
        <v>2.1186078691801518</v>
      </c>
      <c r="K67" s="113">
        <v>2.1304739591087882</v>
      </c>
      <c r="L67" s="113">
        <v>2.0506088352872349</v>
      </c>
      <c r="M67" s="113">
        <v>2.1138049862414361</v>
      </c>
      <c r="N67" s="113">
        <v>2.0003106468762306</v>
      </c>
      <c r="O67" s="113">
        <v>2.0151392344655013</v>
      </c>
      <c r="P67" s="113">
        <v>1.1596028511722187</v>
      </c>
      <c r="Q67" s="113">
        <v>1.7455260521330294</v>
      </c>
      <c r="R67" s="113">
        <v>1.7627007249418289</v>
      </c>
      <c r="S67" s="113">
        <v>1.5730797035976762</v>
      </c>
      <c r="T67" s="113">
        <v>1.7775988404101903</v>
      </c>
      <c r="U67" s="113">
        <v>2.1155297641043669</v>
      </c>
      <c r="V67" s="113">
        <v>2.2645262110886941</v>
      </c>
      <c r="W67" s="113">
        <v>2.2181701881553217</v>
      </c>
      <c r="X67" s="113">
        <v>2.3311220433907298</v>
      </c>
      <c r="Y67" s="113">
        <v>2.0980099882891086</v>
      </c>
      <c r="Z67" s="113">
        <v>1.8691409719871199</v>
      </c>
      <c r="AA67" s="113">
        <v>1.4671172057718942</v>
      </c>
      <c r="AB67" s="113">
        <v>1.8042291435835374</v>
      </c>
      <c r="AC67" s="113">
        <v>1.5095881570801388</v>
      </c>
      <c r="AD67" s="113">
        <v>1.5244757184976407</v>
      </c>
      <c r="AE67" s="113">
        <v>1.8495494983468084</v>
      </c>
      <c r="AF67" s="113">
        <v>1.6451686980161495</v>
      </c>
      <c r="AG67" s="113">
        <v>1.766508496851136</v>
      </c>
      <c r="AH67" s="113">
        <v>1.710325205897526</v>
      </c>
      <c r="AI67" s="113">
        <v>2.1607184852398009</v>
      </c>
      <c r="AJ67" s="113">
        <v>1.7961389995966519</v>
      </c>
      <c r="AK67" s="113">
        <v>2.4525618893471579</v>
      </c>
      <c r="AL67" s="113">
        <v>1.4300096798443129</v>
      </c>
      <c r="AM67" s="113">
        <v>1.7556559790695105</v>
      </c>
      <c r="AN67" s="113">
        <v>1.6934186253599486</v>
      </c>
      <c r="AO67" s="113">
        <v>2.4278697824081661</v>
      </c>
      <c r="AP67" s="113">
        <v>2.3196113205470366</v>
      </c>
      <c r="AQ67" s="113">
        <v>1.616826830420462</v>
      </c>
      <c r="AR67" s="113">
        <v>2.1318292724216148</v>
      </c>
      <c r="AS67" s="113">
        <v>2.3443142754378337</v>
      </c>
      <c r="AT67" s="113">
        <v>2.1548652257429706</v>
      </c>
      <c r="AU67" s="113">
        <v>2.051358500495712</v>
      </c>
      <c r="AV67" s="113">
        <v>2.0519027259711957</v>
      </c>
      <c r="AW67" s="113">
        <v>2.1270399683779129</v>
      </c>
      <c r="AX67" s="113">
        <v>1.464798343570755</v>
      </c>
      <c r="AY67" s="113">
        <v>1.9557646392414709</v>
      </c>
      <c r="AZ67" s="113">
        <v>1.7506544736390244</v>
      </c>
      <c r="BA67" s="113">
        <v>2.2345213624053506</v>
      </c>
      <c r="BB67" s="113">
        <v>2.1769050206828817</v>
      </c>
      <c r="BC67" s="113">
        <v>1.6657917712275512</v>
      </c>
      <c r="BD67" s="113">
        <v>1.8133700406767668</v>
      </c>
      <c r="BE67" s="113">
        <v>2.1022554716262571</v>
      </c>
      <c r="BF67" s="113">
        <v>2.1393386435437671</v>
      </c>
      <c r="BG67" s="113">
        <v>1.6430934008571978</v>
      </c>
      <c r="BH67" s="113">
        <v>2.1166240878376374</v>
      </c>
      <c r="BI67" s="113">
        <v>1.4246669034242552</v>
      </c>
      <c r="BJ67" s="113">
        <v>1.7457076236262252</v>
      </c>
      <c r="BK67" s="113">
        <v>1.8112969346818804</v>
      </c>
      <c r="BL67" s="113">
        <v>1.7694974455747663</v>
      </c>
      <c r="BM67" s="114">
        <v>1.2749817119712556</v>
      </c>
    </row>
    <row r="68" spans="1:65" ht="13" x14ac:dyDescent="0.3">
      <c r="A68" s="64"/>
      <c r="B68" s="65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847dec6-63b2-43f9-a6d0-58a40aaa1a10}" enabled="0" method="" siteId="{3847dec6-63b2-43f9-a6d0-58a40aaa1a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I-O</vt:lpstr>
      <vt:lpstr>fd, income ML</vt:lpstr>
      <vt:lpstr>job ML</vt:lpstr>
      <vt:lpstr>direct requirements</vt:lpstr>
      <vt:lpstr>ttl req. - type 1</vt:lpstr>
      <vt:lpstr>fd, income ML (2)</vt:lpstr>
      <vt:lpstr>ttl req. - type 2</vt:lpstr>
      <vt:lpstr>'I-O'!Print_Area</vt:lpstr>
      <vt:lpstr>'job ML'!Print_Area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Peterson</dc:creator>
  <cp:lastModifiedBy>Roos, Joseph A</cp:lastModifiedBy>
  <cp:lastPrinted>2025-08-19T20:51:52Z</cp:lastPrinted>
  <dcterms:created xsi:type="dcterms:W3CDTF">2001-12-05T19:20:21Z</dcterms:created>
  <dcterms:modified xsi:type="dcterms:W3CDTF">2025-10-20T22:48:44Z</dcterms:modified>
</cp:coreProperties>
</file>